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lucia\OneDrive\Documentos\VIASANO SALUD\"/>
    </mc:Choice>
  </mc:AlternateContent>
  <xr:revisionPtr revIDLastSave="0" documentId="8_{0E1EEA79-CCD6-4354-99CD-B4BDA61CA28D}" xr6:coauthVersionLast="47" xr6:coauthVersionMax="47" xr10:uidLastSave="{00000000-0000-0000-0000-000000000000}"/>
  <bookViews>
    <workbookView xWindow="-108" yWindow="-108" windowWidth="23256" windowHeight="12456" xr2:uid="{F7566758-7010-4DE6-B8AE-99ECB8786479}"/>
  </bookViews>
  <sheets>
    <sheet name="Hoja1" sheetId="1" r:id="rId1"/>
  </sheets>
  <definedNames>
    <definedName name="_xlnm._FilterDatabase" localSheetId="0" hidden="1">Hoja1!$B$1:$B$565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9" i="1" l="1"/>
  <c r="AN9" i="1"/>
  <c r="AM10" i="1"/>
  <c r="AN10" i="1"/>
  <c r="AM11" i="1"/>
  <c r="AN11" i="1"/>
  <c r="AM12" i="1"/>
  <c r="AN12" i="1"/>
  <c r="AM13" i="1"/>
  <c r="AN13" i="1"/>
  <c r="AM14" i="1"/>
  <c r="AN14" i="1"/>
  <c r="AM20" i="1"/>
  <c r="AN21" i="1"/>
  <c r="AM22" i="1"/>
  <c r="AN23" i="1"/>
  <c r="AM24" i="1"/>
  <c r="AN24" i="1"/>
  <c r="AM25" i="1"/>
  <c r="AN25" i="1"/>
  <c r="AM26" i="1"/>
  <c r="AN26" i="1"/>
  <c r="AM27" i="1"/>
  <c r="AN27" i="1"/>
  <c r="AM28" i="1"/>
  <c r="AN28" i="1"/>
  <c r="AM29" i="1"/>
  <c r="AN29" i="1"/>
  <c r="AM30" i="1"/>
  <c r="AN30" i="1"/>
  <c r="AM31" i="1"/>
  <c r="AN32" i="1"/>
  <c r="AM34" i="1"/>
  <c r="AN34" i="1"/>
  <c r="AM36" i="1"/>
  <c r="AN36" i="1"/>
  <c r="AM37" i="1"/>
  <c r="AN37" i="1"/>
  <c r="AM38" i="1"/>
  <c r="AN38" i="1"/>
  <c r="AM39" i="1"/>
  <c r="AN39" i="1"/>
  <c r="AM40" i="1"/>
  <c r="AN40" i="1"/>
  <c r="AM41" i="1"/>
  <c r="AN41" i="1"/>
  <c r="AM42" i="1"/>
  <c r="AN42" i="1"/>
  <c r="AM43" i="1"/>
  <c r="AN43" i="1"/>
  <c r="AM46" i="1"/>
  <c r="AN46" i="1"/>
  <c r="AM47" i="1"/>
  <c r="AN47" i="1"/>
  <c r="AM49" i="1"/>
  <c r="AN49" i="1"/>
  <c r="AM50" i="1"/>
  <c r="AN50" i="1"/>
  <c r="AM51" i="1"/>
  <c r="AN51" i="1"/>
  <c r="AM53" i="1"/>
  <c r="AN53" i="1"/>
  <c r="AM54" i="1"/>
  <c r="AN54" i="1"/>
  <c r="AM55" i="1"/>
  <c r="AN55" i="1"/>
  <c r="AM56" i="1"/>
  <c r="AN56" i="1"/>
  <c r="AM57" i="1"/>
  <c r="AN57" i="1"/>
  <c r="AM58" i="1"/>
  <c r="AN58" i="1"/>
  <c r="AM60" i="1"/>
  <c r="AN60" i="1"/>
  <c r="AM61" i="1"/>
  <c r="AN61" i="1"/>
  <c r="AM62" i="1"/>
  <c r="AN62" i="1"/>
  <c r="AM63" i="1"/>
  <c r="AN63" i="1"/>
  <c r="AM64" i="1"/>
  <c r="AN64" i="1"/>
  <c r="AM65" i="1"/>
  <c r="AN65" i="1"/>
  <c r="AM66" i="1"/>
  <c r="AN66" i="1"/>
  <c r="AM67" i="1"/>
  <c r="AN67" i="1"/>
  <c r="AM68" i="1"/>
  <c r="AN68" i="1"/>
  <c r="AM69" i="1"/>
  <c r="AN69" i="1"/>
  <c r="AM71" i="1"/>
  <c r="AN71" i="1"/>
  <c r="AM72" i="1"/>
  <c r="AN72" i="1"/>
  <c r="AM73" i="1"/>
  <c r="AN73" i="1"/>
  <c r="AM74" i="1"/>
  <c r="AN74" i="1"/>
  <c r="AM75" i="1"/>
  <c r="AN75" i="1"/>
  <c r="AM76" i="1"/>
  <c r="AN76" i="1"/>
  <c r="AM77" i="1"/>
  <c r="AN77" i="1"/>
  <c r="AM78" i="1"/>
  <c r="AN78" i="1"/>
  <c r="AM79" i="1"/>
  <c r="AN79" i="1"/>
  <c r="AM80" i="1"/>
  <c r="AN80" i="1"/>
  <c r="AM81" i="1"/>
  <c r="AN81" i="1"/>
  <c r="AM82" i="1"/>
  <c r="AN82" i="1"/>
  <c r="AM86" i="1"/>
  <c r="AN86" i="1"/>
  <c r="AM87" i="1"/>
  <c r="AN87" i="1"/>
  <c r="AM88" i="1"/>
  <c r="AN88" i="1"/>
  <c r="AM89" i="1"/>
  <c r="AN89" i="1"/>
  <c r="AM91" i="1"/>
  <c r="AM92" i="1"/>
  <c r="AM98" i="1"/>
  <c r="AN98" i="1"/>
  <c r="AM99" i="1"/>
  <c r="AN99" i="1"/>
  <c r="AM100" i="1"/>
  <c r="AN100" i="1"/>
  <c r="AM101" i="1"/>
  <c r="AN101" i="1"/>
  <c r="AM102" i="1"/>
  <c r="AN102" i="1"/>
  <c r="AM103" i="1"/>
  <c r="AN103" i="1"/>
  <c r="AM104" i="1"/>
  <c r="AN104" i="1"/>
  <c r="AM106" i="1"/>
  <c r="AN106" i="1"/>
  <c r="AM107" i="1"/>
  <c r="AN107" i="1"/>
  <c r="AM108" i="1"/>
  <c r="AN108" i="1"/>
  <c r="AM109" i="1"/>
  <c r="AN109" i="1"/>
  <c r="AM111" i="1"/>
  <c r="AN111" i="1"/>
  <c r="AM113" i="1"/>
  <c r="AN113" i="1"/>
  <c r="AM116" i="1"/>
  <c r="AM117" i="1"/>
  <c r="AM118" i="1"/>
  <c r="AN118" i="1"/>
  <c r="AM119" i="1"/>
  <c r="AN119" i="1"/>
  <c r="AM122" i="1"/>
  <c r="AN122" i="1"/>
  <c r="AM123" i="1"/>
  <c r="AN123" i="1"/>
  <c r="AM124" i="1"/>
  <c r="AN124" i="1"/>
  <c r="AM125" i="1"/>
  <c r="AN125" i="1"/>
  <c r="AM126" i="1"/>
  <c r="AN126" i="1"/>
  <c r="AM127" i="1"/>
  <c r="AN127" i="1"/>
  <c r="AM128" i="1"/>
  <c r="AN128" i="1"/>
  <c r="AM129" i="1"/>
  <c r="AN129" i="1"/>
  <c r="AM130" i="1"/>
  <c r="AN130" i="1"/>
  <c r="AM131" i="1"/>
  <c r="AN131" i="1"/>
  <c r="AM132" i="1"/>
  <c r="AN132" i="1"/>
  <c r="AM134" i="1"/>
  <c r="AN134" i="1"/>
  <c r="AM135" i="1"/>
  <c r="AN135" i="1"/>
  <c r="AM136" i="1"/>
  <c r="AN136" i="1"/>
  <c r="AM137" i="1"/>
  <c r="AN137" i="1"/>
  <c r="AM138" i="1"/>
  <c r="AN138" i="1"/>
  <c r="AM149" i="1"/>
  <c r="AN149" i="1"/>
  <c r="AM150" i="1"/>
  <c r="AN150" i="1"/>
  <c r="AM153" i="1"/>
  <c r="AN153" i="1"/>
  <c r="AM157" i="1"/>
  <c r="AN157" i="1"/>
  <c r="AM158" i="1"/>
  <c r="AN158" i="1"/>
  <c r="AM164" i="1"/>
  <c r="AN164" i="1"/>
  <c r="AM165" i="1"/>
  <c r="AN165" i="1"/>
  <c r="AM166" i="1"/>
  <c r="AN166" i="1"/>
  <c r="AM168" i="1"/>
  <c r="AN168" i="1"/>
  <c r="AM173" i="1"/>
  <c r="AN173" i="1"/>
  <c r="AM178" i="1"/>
  <c r="AN178" i="1"/>
  <c r="AM179" i="1"/>
  <c r="AN179" i="1"/>
  <c r="AM180" i="1"/>
  <c r="AN180" i="1"/>
  <c r="AM181" i="1"/>
  <c r="AN181" i="1"/>
  <c r="AM182" i="1"/>
  <c r="AN182" i="1"/>
  <c r="AM183" i="1"/>
  <c r="AN183" i="1"/>
  <c r="AM184" i="1"/>
  <c r="AN184" i="1"/>
  <c r="AM185" i="1"/>
  <c r="AN185" i="1"/>
  <c r="AM186" i="1"/>
  <c r="AN186" i="1"/>
  <c r="AM187" i="1"/>
  <c r="AN187" i="1"/>
  <c r="AM188" i="1"/>
  <c r="AN188" i="1"/>
  <c r="AM189" i="1"/>
  <c r="AN189" i="1"/>
  <c r="AM190" i="1"/>
  <c r="AN190" i="1"/>
  <c r="AM191" i="1"/>
  <c r="AN191" i="1"/>
  <c r="AM192" i="1"/>
  <c r="AN192" i="1"/>
  <c r="AM193" i="1"/>
  <c r="AN193" i="1"/>
  <c r="AM194" i="1"/>
  <c r="AN194" i="1"/>
  <c r="AM195" i="1"/>
  <c r="AN195" i="1"/>
  <c r="AM196" i="1"/>
  <c r="AN196" i="1"/>
  <c r="AM197" i="1"/>
  <c r="AN197" i="1"/>
  <c r="AM198" i="1"/>
  <c r="AN198" i="1"/>
  <c r="AM199" i="1"/>
  <c r="AN199" i="1"/>
  <c r="AM200" i="1"/>
  <c r="AN200" i="1"/>
  <c r="AM201" i="1"/>
  <c r="AN201" i="1"/>
  <c r="AM202" i="1"/>
  <c r="AN202" i="1"/>
  <c r="AM203" i="1"/>
  <c r="AN203" i="1"/>
  <c r="AM204" i="1"/>
  <c r="AN204" i="1"/>
  <c r="AM205" i="1"/>
  <c r="AN205" i="1"/>
  <c r="AM206" i="1"/>
  <c r="AN206" i="1"/>
  <c r="AM208" i="1"/>
  <c r="AN208" i="1"/>
  <c r="AM209" i="1"/>
  <c r="AN209" i="1"/>
  <c r="AM210" i="1"/>
  <c r="AN210" i="1"/>
  <c r="AM211" i="1"/>
  <c r="AN211" i="1"/>
  <c r="AM212" i="1"/>
  <c r="AN212" i="1"/>
  <c r="AM213" i="1"/>
  <c r="AN213" i="1"/>
  <c r="AM214" i="1"/>
  <c r="AN214" i="1"/>
  <c r="AM222" i="1"/>
  <c r="AN222" i="1"/>
  <c r="AM223" i="1"/>
  <c r="AN223" i="1"/>
  <c r="AM224" i="1"/>
  <c r="AN224" i="1"/>
  <c r="AM226" i="1"/>
  <c r="AN226" i="1"/>
  <c r="AM227" i="1"/>
  <c r="AN227" i="1"/>
  <c r="AM228" i="1"/>
  <c r="AN228" i="1"/>
  <c r="AM229" i="1"/>
  <c r="AN229" i="1"/>
  <c r="AM230" i="1"/>
  <c r="AN230" i="1"/>
  <c r="AM231" i="1"/>
  <c r="AN231" i="1"/>
  <c r="AM232" i="1"/>
  <c r="AN232" i="1"/>
  <c r="AM233" i="1"/>
  <c r="AN233" i="1"/>
  <c r="AM234" i="1"/>
  <c r="AN234" i="1"/>
  <c r="AM235" i="1"/>
  <c r="AN235" i="1"/>
  <c r="AM236" i="1"/>
  <c r="AN236" i="1"/>
  <c r="AM237" i="1"/>
  <c r="AN237" i="1"/>
  <c r="AM238" i="1"/>
  <c r="AN238" i="1"/>
  <c r="AM239" i="1"/>
  <c r="AN239" i="1"/>
  <c r="AM240" i="1"/>
  <c r="AN240" i="1"/>
  <c r="AM241" i="1"/>
  <c r="AN241" i="1"/>
  <c r="AM242" i="1"/>
  <c r="AN242" i="1"/>
  <c r="AM243" i="1"/>
  <c r="AN243" i="1"/>
  <c r="AM244" i="1"/>
  <c r="AN244" i="1"/>
  <c r="AM245" i="1"/>
  <c r="AN245" i="1"/>
  <c r="AM246" i="1"/>
  <c r="AN246" i="1"/>
  <c r="AM247" i="1"/>
  <c r="AN247" i="1"/>
  <c r="AM248" i="1"/>
  <c r="AN248" i="1"/>
  <c r="AM249" i="1"/>
  <c r="AN249" i="1"/>
  <c r="AM250" i="1"/>
  <c r="AN250" i="1"/>
  <c r="AM251" i="1"/>
  <c r="AN251" i="1"/>
  <c r="AM252" i="1"/>
  <c r="AN252" i="1"/>
  <c r="AM253" i="1"/>
  <c r="AN253" i="1"/>
  <c r="AM254" i="1"/>
  <c r="AN254" i="1"/>
  <c r="AM255" i="1"/>
  <c r="AN255" i="1"/>
  <c r="AM256" i="1"/>
  <c r="AN256" i="1"/>
  <c r="AM257" i="1"/>
  <c r="AN257" i="1"/>
  <c r="AM258" i="1"/>
  <c r="AN258" i="1"/>
  <c r="AM259" i="1"/>
  <c r="AN259" i="1"/>
  <c r="AM260" i="1"/>
  <c r="AN260" i="1"/>
  <c r="AM261" i="1"/>
  <c r="AN261" i="1"/>
  <c r="AM262" i="1"/>
  <c r="AN262" i="1"/>
  <c r="AM263" i="1"/>
  <c r="AN263" i="1"/>
  <c r="AM264" i="1"/>
  <c r="AN264" i="1"/>
  <c r="AM265" i="1"/>
  <c r="AN265" i="1"/>
  <c r="AM266" i="1"/>
  <c r="AN266" i="1"/>
  <c r="AM267" i="1"/>
  <c r="AN267" i="1"/>
  <c r="AM268" i="1"/>
  <c r="AN268" i="1"/>
  <c r="AM269" i="1"/>
  <c r="AN269" i="1"/>
  <c r="AM270" i="1"/>
  <c r="AN270" i="1"/>
  <c r="AM271" i="1"/>
  <c r="AN271" i="1"/>
  <c r="AM272" i="1"/>
  <c r="AN272" i="1"/>
  <c r="AM273" i="1"/>
  <c r="AN273" i="1"/>
  <c r="AM274" i="1"/>
  <c r="AN274" i="1"/>
  <c r="AM275" i="1"/>
  <c r="AN275" i="1"/>
  <c r="AM276" i="1"/>
  <c r="AN276" i="1"/>
  <c r="AM277" i="1"/>
  <c r="AN277" i="1"/>
  <c r="AM278" i="1"/>
  <c r="AN278" i="1"/>
  <c r="AM279" i="1"/>
  <c r="AM280" i="1"/>
  <c r="AM281" i="1"/>
  <c r="AM282" i="1"/>
  <c r="AM283" i="1"/>
  <c r="AN283" i="1"/>
  <c r="AM284" i="1"/>
  <c r="AN284" i="1"/>
  <c r="AM285" i="1"/>
  <c r="AN285" i="1"/>
  <c r="AM286" i="1"/>
  <c r="AN286" i="1"/>
  <c r="AM287" i="1"/>
  <c r="AN287" i="1"/>
  <c r="AM288" i="1"/>
  <c r="AN288" i="1"/>
  <c r="AM289" i="1"/>
  <c r="AN289" i="1"/>
  <c r="AM290" i="1"/>
  <c r="AN290" i="1"/>
  <c r="AM291" i="1"/>
  <c r="AN291" i="1"/>
  <c r="AM292" i="1"/>
  <c r="AN292" i="1"/>
  <c r="AM293" i="1"/>
  <c r="AN293" i="1"/>
  <c r="AM294" i="1"/>
  <c r="AN294" i="1"/>
  <c r="AM295" i="1"/>
  <c r="AN295" i="1"/>
  <c r="AM296" i="1"/>
  <c r="AN296" i="1"/>
  <c r="AM297" i="1"/>
  <c r="AN297" i="1"/>
  <c r="AM298" i="1"/>
  <c r="AN298" i="1"/>
  <c r="AM299" i="1"/>
  <c r="AN299" i="1"/>
  <c r="AM300" i="1"/>
  <c r="AN300" i="1"/>
  <c r="AM301" i="1"/>
  <c r="AN301" i="1"/>
  <c r="AM302" i="1"/>
  <c r="AN302" i="1"/>
  <c r="AM303" i="1"/>
  <c r="AN303" i="1"/>
  <c r="AM304" i="1"/>
  <c r="AN304" i="1"/>
  <c r="AM305" i="1"/>
  <c r="AN305" i="1"/>
  <c r="AM306" i="1"/>
  <c r="AN306" i="1"/>
  <c r="AM307" i="1"/>
  <c r="AN307" i="1"/>
  <c r="AM308" i="1"/>
  <c r="AN308" i="1"/>
  <c r="AM309" i="1"/>
  <c r="AN309" i="1"/>
  <c r="AM310" i="1"/>
  <c r="AN310" i="1"/>
  <c r="AM311" i="1"/>
  <c r="AN311" i="1"/>
  <c r="AM312" i="1"/>
  <c r="AN312" i="1"/>
  <c r="AM313" i="1"/>
  <c r="AN313" i="1"/>
  <c r="AM314" i="1"/>
  <c r="AN314" i="1"/>
  <c r="AM315" i="1"/>
  <c r="AN315" i="1"/>
  <c r="AM316" i="1"/>
  <c r="AN316" i="1"/>
  <c r="AM317" i="1"/>
  <c r="AN317" i="1"/>
  <c r="AM318" i="1"/>
  <c r="AN318" i="1"/>
  <c r="AM319" i="1"/>
  <c r="AN319" i="1"/>
  <c r="AM320" i="1"/>
  <c r="AN320" i="1"/>
  <c r="AM321" i="1"/>
  <c r="AN321" i="1"/>
  <c r="AM322" i="1"/>
  <c r="AN322" i="1"/>
  <c r="AM323" i="1"/>
  <c r="AN323" i="1"/>
  <c r="AM324" i="1"/>
  <c r="AN324" i="1"/>
  <c r="AM325" i="1"/>
  <c r="AN325" i="1"/>
  <c r="AM326" i="1"/>
  <c r="AN326" i="1"/>
  <c r="AM327" i="1"/>
  <c r="AN327" i="1"/>
  <c r="AM328" i="1"/>
  <c r="AN328" i="1"/>
  <c r="AM329" i="1"/>
  <c r="AN329" i="1"/>
  <c r="AM330" i="1"/>
  <c r="AN330" i="1"/>
  <c r="AM331" i="1"/>
  <c r="AN331" i="1"/>
  <c r="AM332" i="1"/>
  <c r="AN332" i="1"/>
  <c r="AM333" i="1"/>
  <c r="AN333" i="1"/>
  <c r="AM334" i="1"/>
  <c r="AN334" i="1"/>
  <c r="AM335" i="1"/>
  <c r="AN335" i="1"/>
  <c r="AM336" i="1"/>
  <c r="AN336" i="1"/>
  <c r="AM337" i="1"/>
  <c r="AN337" i="1"/>
  <c r="AM338" i="1"/>
  <c r="AN338" i="1"/>
  <c r="AM339" i="1"/>
  <c r="AN339" i="1"/>
  <c r="AM340" i="1"/>
  <c r="AN340" i="1"/>
  <c r="AM341" i="1"/>
  <c r="AN341" i="1"/>
  <c r="AM342" i="1"/>
  <c r="AN342" i="1"/>
  <c r="AM343" i="1"/>
  <c r="AN343" i="1"/>
  <c r="AM347" i="1"/>
  <c r="AN347" i="1"/>
  <c r="AM348" i="1"/>
  <c r="AN348" i="1"/>
  <c r="AM349" i="1"/>
  <c r="AN349" i="1"/>
  <c r="AM350" i="1"/>
  <c r="AN350" i="1"/>
  <c r="AM351" i="1"/>
  <c r="AN351" i="1"/>
  <c r="AM352" i="1"/>
  <c r="AN352" i="1"/>
  <c r="AM353" i="1"/>
  <c r="AN353" i="1"/>
  <c r="AM354" i="1"/>
  <c r="AN354" i="1"/>
  <c r="AM355" i="1"/>
  <c r="AN355" i="1"/>
  <c r="AM356" i="1"/>
  <c r="AN356" i="1"/>
  <c r="AM357" i="1"/>
  <c r="AN357" i="1"/>
  <c r="AM358" i="1"/>
  <c r="AN358" i="1"/>
  <c r="AM359" i="1"/>
  <c r="AN359" i="1"/>
  <c r="AM360" i="1"/>
  <c r="AN360" i="1"/>
  <c r="AM361" i="1"/>
  <c r="AN361" i="1"/>
  <c r="AM362" i="1"/>
  <c r="AN362" i="1"/>
  <c r="AM363" i="1"/>
  <c r="AN363" i="1"/>
  <c r="AM364" i="1"/>
  <c r="AN364" i="1"/>
  <c r="AM365" i="1"/>
  <c r="AN365" i="1"/>
  <c r="AM366" i="1"/>
  <c r="AN366" i="1"/>
  <c r="AM367" i="1"/>
  <c r="AN367" i="1"/>
  <c r="AM368" i="1"/>
  <c r="AN368" i="1"/>
  <c r="AM369" i="1"/>
  <c r="AN369" i="1"/>
  <c r="AM370" i="1"/>
  <c r="AN370" i="1"/>
  <c r="AM371" i="1"/>
  <c r="AN371" i="1"/>
  <c r="AM372" i="1"/>
  <c r="AN372" i="1"/>
  <c r="AM373" i="1"/>
  <c r="AN373" i="1"/>
  <c r="AM374" i="1"/>
  <c r="AN374" i="1"/>
  <c r="AM375" i="1"/>
  <c r="AN375" i="1"/>
  <c r="AM376" i="1"/>
  <c r="AN376" i="1"/>
  <c r="AM377" i="1"/>
  <c r="AN377" i="1"/>
  <c r="AM378" i="1"/>
  <c r="AN378" i="1"/>
  <c r="AM379" i="1"/>
  <c r="AN379" i="1"/>
  <c r="AM380" i="1"/>
  <c r="AN380" i="1"/>
  <c r="AM381" i="1"/>
  <c r="AN381" i="1"/>
  <c r="AM382" i="1"/>
  <c r="AN382" i="1"/>
  <c r="AM383" i="1"/>
  <c r="AN383" i="1"/>
  <c r="AM384" i="1"/>
  <c r="AN384" i="1"/>
  <c r="AM385" i="1"/>
  <c r="AN385" i="1"/>
  <c r="AM386" i="1"/>
  <c r="AN386" i="1"/>
  <c r="AM387" i="1"/>
  <c r="AN387" i="1"/>
  <c r="AM388" i="1"/>
  <c r="AN388" i="1"/>
  <c r="AM389" i="1"/>
  <c r="AN389" i="1"/>
  <c r="AM390" i="1"/>
  <c r="AN390" i="1"/>
  <c r="AM391" i="1"/>
  <c r="AN391" i="1"/>
  <c r="AM392" i="1"/>
  <c r="AN392" i="1"/>
  <c r="AM393" i="1"/>
  <c r="AN393" i="1"/>
  <c r="AM394" i="1"/>
  <c r="AN394" i="1"/>
  <c r="AM395" i="1"/>
  <c r="AN395" i="1"/>
  <c r="AM396" i="1"/>
  <c r="AN396" i="1"/>
  <c r="AM397" i="1"/>
  <c r="AN397" i="1"/>
  <c r="AM398" i="1"/>
  <c r="AN398" i="1"/>
  <c r="AM399" i="1"/>
  <c r="AN399" i="1"/>
  <c r="AM400" i="1"/>
  <c r="AN400" i="1"/>
  <c r="AM401" i="1"/>
  <c r="AN401" i="1"/>
  <c r="AM402" i="1"/>
  <c r="AN402" i="1"/>
  <c r="AM403" i="1"/>
  <c r="AN403" i="1"/>
  <c r="AM404" i="1"/>
  <c r="AN404" i="1"/>
  <c r="AM405" i="1"/>
  <c r="AN405" i="1"/>
  <c r="AM406" i="1"/>
  <c r="AN406" i="1"/>
  <c r="AM407" i="1"/>
  <c r="AN407" i="1"/>
  <c r="AM408" i="1"/>
  <c r="AN408" i="1"/>
  <c r="AM409" i="1"/>
  <c r="AN409" i="1"/>
  <c r="AM410" i="1"/>
  <c r="AN410" i="1"/>
  <c r="AM411" i="1"/>
  <c r="AN411" i="1"/>
  <c r="AM412" i="1"/>
  <c r="AN412" i="1"/>
  <c r="AM413" i="1"/>
  <c r="AN413" i="1"/>
  <c r="AM414" i="1"/>
  <c r="AN414" i="1"/>
  <c r="AM416" i="1"/>
  <c r="AN416" i="1"/>
  <c r="AM417" i="1"/>
  <c r="AN417" i="1"/>
  <c r="AM418" i="1"/>
  <c r="AN418" i="1"/>
  <c r="AM421" i="1"/>
  <c r="AN421" i="1"/>
  <c r="AM422" i="1"/>
  <c r="AN422" i="1"/>
  <c r="AM423" i="1"/>
  <c r="AN423" i="1"/>
  <c r="AM432" i="1"/>
  <c r="AN432" i="1"/>
  <c r="AM434" i="1"/>
  <c r="AN434" i="1"/>
  <c r="AM435" i="1"/>
  <c r="AN435" i="1"/>
  <c r="AM436" i="1"/>
  <c r="AN436" i="1"/>
  <c r="AM437" i="1"/>
  <c r="AN437" i="1"/>
  <c r="AM438" i="1"/>
  <c r="AN438" i="1"/>
  <c r="AM439" i="1"/>
  <c r="AN439" i="1"/>
  <c r="AM444" i="1"/>
  <c r="AN444" i="1"/>
  <c r="AM445" i="1"/>
  <c r="AN445" i="1"/>
  <c r="AN446" i="1"/>
  <c r="AM447" i="1"/>
  <c r="AN447" i="1"/>
  <c r="AM449" i="1"/>
  <c r="AN449" i="1"/>
  <c r="AM450" i="1"/>
  <c r="AN450" i="1"/>
  <c r="AM451" i="1"/>
  <c r="AN451" i="1"/>
  <c r="AM452" i="1"/>
  <c r="AN452" i="1"/>
  <c r="AM453" i="1"/>
  <c r="AN453" i="1"/>
  <c r="AM456" i="1"/>
  <c r="AN456" i="1"/>
  <c r="AM457" i="1"/>
  <c r="AN457" i="1"/>
  <c r="AM459" i="1"/>
  <c r="AN459" i="1"/>
  <c r="AM460" i="1"/>
  <c r="AN460" i="1"/>
  <c r="AM461" i="1"/>
  <c r="AN461" i="1"/>
  <c r="AM462" i="1"/>
  <c r="AN462" i="1"/>
  <c r="AM463" i="1"/>
  <c r="AN463" i="1"/>
  <c r="AM491" i="1"/>
  <c r="AN491" i="1"/>
  <c r="AM493" i="1"/>
  <c r="AN493" i="1"/>
  <c r="AM494" i="1"/>
  <c r="AN494" i="1"/>
  <c r="AM496" i="1"/>
  <c r="AN496" i="1"/>
  <c r="AM497" i="1"/>
  <c r="AN497" i="1"/>
  <c r="AM498" i="1"/>
  <c r="AN498" i="1"/>
  <c r="AM499" i="1"/>
  <c r="AN499" i="1"/>
  <c r="AM500" i="1"/>
  <c r="AN500" i="1"/>
  <c r="AM501" i="1"/>
  <c r="AN501" i="1"/>
  <c r="AM502" i="1"/>
  <c r="AN502" i="1"/>
  <c r="AM503" i="1"/>
  <c r="AN503" i="1"/>
  <c r="AM504" i="1"/>
  <c r="AN504" i="1"/>
  <c r="AM505" i="1"/>
  <c r="AN505" i="1"/>
  <c r="AM506" i="1"/>
  <c r="AN506" i="1"/>
  <c r="AM509" i="1"/>
  <c r="AN509" i="1"/>
  <c r="AM511" i="1"/>
  <c r="AN511" i="1"/>
  <c r="AM512" i="1"/>
  <c r="AN512" i="1"/>
  <c r="AM515" i="1"/>
  <c r="AN515" i="1"/>
  <c r="AM516" i="1"/>
  <c r="AN516" i="1"/>
  <c r="AM518" i="1"/>
  <c r="AN518" i="1"/>
  <c r="AM519" i="1"/>
  <c r="AN519" i="1"/>
  <c r="AM520" i="1"/>
  <c r="AN520" i="1"/>
  <c r="AM521" i="1"/>
  <c r="AN521" i="1"/>
  <c r="AM522" i="1"/>
  <c r="AN522" i="1"/>
  <c r="AM524" i="1"/>
  <c r="AN524" i="1"/>
  <c r="AM528" i="1"/>
  <c r="AN528" i="1"/>
  <c r="AM529" i="1"/>
  <c r="AN529" i="1"/>
  <c r="AM532" i="1"/>
  <c r="AN532" i="1"/>
  <c r="AM533" i="1"/>
  <c r="AN533" i="1"/>
  <c r="AM534" i="1"/>
  <c r="AN534" i="1"/>
  <c r="AM535" i="1"/>
  <c r="AN535" i="1"/>
  <c r="AM536" i="1"/>
  <c r="AN536" i="1"/>
  <c r="AM538" i="1"/>
  <c r="AN538" i="1"/>
  <c r="AM539" i="1"/>
  <c r="AN539" i="1"/>
  <c r="AM540" i="1"/>
  <c r="AN540" i="1"/>
  <c r="AN542" i="1"/>
  <c r="AN543" i="1"/>
  <c r="AN544" i="1"/>
  <c r="AN545" i="1"/>
  <c r="AM546" i="1"/>
  <c r="AN546" i="1"/>
  <c r="AM547" i="1"/>
  <c r="AN547" i="1"/>
  <c r="AM548" i="1"/>
  <c r="AN548" i="1"/>
  <c r="AM549" i="1"/>
  <c r="AN549" i="1"/>
  <c r="AM550" i="1"/>
  <c r="AN550" i="1"/>
  <c r="AM551" i="1"/>
  <c r="AN551" i="1"/>
  <c r="AM552" i="1"/>
  <c r="AN552" i="1"/>
  <c r="AM553" i="1"/>
  <c r="AN553" i="1"/>
  <c r="AM554" i="1"/>
  <c r="AN554" i="1"/>
  <c r="AM555" i="1"/>
  <c r="AN555" i="1"/>
  <c r="AM556" i="1"/>
  <c r="AN556" i="1"/>
  <c r="AM557" i="1"/>
  <c r="AN557" i="1"/>
  <c r="AM558" i="1"/>
  <c r="AN558" i="1"/>
  <c r="AM559" i="1"/>
  <c r="AN559" i="1"/>
  <c r="AM560" i="1"/>
  <c r="AN560" i="1"/>
  <c r="AM561" i="1"/>
  <c r="AN561" i="1"/>
  <c r="AM562" i="1"/>
  <c r="AN562" i="1"/>
  <c r="AM563" i="1"/>
  <c r="AN563" i="1"/>
  <c r="AM564" i="1"/>
  <c r="AN564" i="1"/>
  <c r="AM565" i="1"/>
  <c r="AN565" i="1"/>
  <c r="AN8" i="1"/>
  <c r="AM8" i="1"/>
  <c r="AI11" i="1"/>
  <c r="AK9" i="1"/>
  <c r="AL9" i="1"/>
  <c r="AK10" i="1"/>
  <c r="AL10" i="1"/>
  <c r="AK11" i="1"/>
  <c r="AL11" i="1"/>
  <c r="AK12" i="1"/>
  <c r="AL12" i="1"/>
  <c r="AK13" i="1"/>
  <c r="AL13" i="1"/>
  <c r="AK14" i="1"/>
  <c r="AL14" i="1"/>
  <c r="AK20" i="1"/>
  <c r="AL21" i="1"/>
  <c r="AK22" i="1"/>
  <c r="AL23" i="1"/>
  <c r="AK24" i="1"/>
  <c r="AL24" i="1"/>
  <c r="AK25" i="1"/>
  <c r="AL25" i="1"/>
  <c r="AK26" i="1"/>
  <c r="AL26" i="1"/>
  <c r="AK27" i="1"/>
  <c r="AL27" i="1"/>
  <c r="AK28" i="1"/>
  <c r="AL28" i="1"/>
  <c r="AK29" i="1"/>
  <c r="AL29" i="1"/>
  <c r="AK30" i="1"/>
  <c r="AL30" i="1"/>
  <c r="AK31" i="1"/>
  <c r="AL32" i="1"/>
  <c r="AK34" i="1"/>
  <c r="AL34" i="1"/>
  <c r="AK36" i="1"/>
  <c r="AL36" i="1"/>
  <c r="AK37" i="1"/>
  <c r="AL37" i="1"/>
  <c r="AK38" i="1"/>
  <c r="AL38" i="1"/>
  <c r="AK39" i="1"/>
  <c r="AL39" i="1"/>
  <c r="AK40" i="1"/>
  <c r="AL40" i="1"/>
  <c r="AK41" i="1"/>
  <c r="AL41" i="1"/>
  <c r="AK42" i="1"/>
  <c r="AL42" i="1"/>
  <c r="AK43" i="1"/>
  <c r="AL43" i="1"/>
  <c r="AK46" i="1"/>
  <c r="AL46" i="1"/>
  <c r="AK47" i="1"/>
  <c r="AL47" i="1"/>
  <c r="AK49" i="1"/>
  <c r="AL49" i="1"/>
  <c r="AK50" i="1"/>
  <c r="AL50" i="1"/>
  <c r="AK51" i="1"/>
  <c r="AL51" i="1"/>
  <c r="AK53" i="1"/>
  <c r="AL53" i="1"/>
  <c r="AK54" i="1"/>
  <c r="AL54" i="1"/>
  <c r="AK55" i="1"/>
  <c r="AL55" i="1"/>
  <c r="AK56" i="1"/>
  <c r="AL56" i="1"/>
  <c r="AK57" i="1"/>
  <c r="AL57" i="1"/>
  <c r="AK58" i="1"/>
  <c r="AL58" i="1"/>
  <c r="AK60" i="1"/>
  <c r="AL60" i="1"/>
  <c r="AK61" i="1"/>
  <c r="AL61" i="1"/>
  <c r="AK62" i="1"/>
  <c r="AL62" i="1"/>
  <c r="AK63" i="1"/>
  <c r="AL63" i="1"/>
  <c r="AK64" i="1"/>
  <c r="AL64" i="1"/>
  <c r="AK65" i="1"/>
  <c r="AL65" i="1"/>
  <c r="AK66" i="1"/>
  <c r="AL66" i="1"/>
  <c r="AK67" i="1"/>
  <c r="AL67" i="1"/>
  <c r="AK68" i="1"/>
  <c r="AL68" i="1"/>
  <c r="AK69" i="1"/>
  <c r="AL69" i="1"/>
  <c r="AK71" i="1"/>
  <c r="AL71" i="1"/>
  <c r="AK72" i="1"/>
  <c r="AL72" i="1"/>
  <c r="AK73" i="1"/>
  <c r="AL73" i="1"/>
  <c r="AK74" i="1"/>
  <c r="AL74" i="1"/>
  <c r="AK75" i="1"/>
  <c r="AL75" i="1"/>
  <c r="AK76" i="1"/>
  <c r="AL76" i="1"/>
  <c r="AK77" i="1"/>
  <c r="AL77" i="1"/>
  <c r="AK78" i="1"/>
  <c r="AL78" i="1"/>
  <c r="AK79" i="1"/>
  <c r="AL79" i="1"/>
  <c r="AK80" i="1"/>
  <c r="AL80" i="1"/>
  <c r="AK81" i="1"/>
  <c r="AL81" i="1"/>
  <c r="AK82" i="1"/>
  <c r="AL82" i="1"/>
  <c r="AK86" i="1"/>
  <c r="AL86" i="1"/>
  <c r="AK87" i="1"/>
  <c r="AL87" i="1"/>
  <c r="AK88" i="1"/>
  <c r="AL88" i="1"/>
  <c r="AK89" i="1"/>
  <c r="AL89" i="1"/>
  <c r="AK91" i="1"/>
  <c r="AK92" i="1"/>
  <c r="AK98" i="1"/>
  <c r="AL98" i="1"/>
  <c r="AK99" i="1"/>
  <c r="AL99" i="1"/>
  <c r="AK100" i="1"/>
  <c r="AL100" i="1"/>
  <c r="AK101" i="1"/>
  <c r="AL101" i="1"/>
  <c r="AK102" i="1"/>
  <c r="AL102" i="1"/>
  <c r="AK103" i="1"/>
  <c r="AL103" i="1"/>
  <c r="AK104" i="1"/>
  <c r="AL104" i="1"/>
  <c r="AK106" i="1"/>
  <c r="AL106" i="1"/>
  <c r="AK107" i="1"/>
  <c r="AL107" i="1"/>
  <c r="AK108" i="1"/>
  <c r="AL108" i="1"/>
  <c r="AK109" i="1"/>
  <c r="AL109" i="1"/>
  <c r="AK111" i="1"/>
  <c r="AL111" i="1"/>
  <c r="AK113" i="1"/>
  <c r="AL113" i="1"/>
  <c r="AK116" i="1"/>
  <c r="AK117" i="1"/>
  <c r="AK118" i="1"/>
  <c r="AL118" i="1"/>
  <c r="AK119" i="1"/>
  <c r="AL119" i="1"/>
  <c r="AK122" i="1"/>
  <c r="AL122" i="1"/>
  <c r="AK123" i="1"/>
  <c r="AL123" i="1"/>
  <c r="AK124" i="1"/>
  <c r="AL124" i="1"/>
  <c r="AK125" i="1"/>
  <c r="AL125" i="1"/>
  <c r="AK126" i="1"/>
  <c r="AL126" i="1"/>
  <c r="AK127" i="1"/>
  <c r="AL127" i="1"/>
  <c r="AK128" i="1"/>
  <c r="AL128" i="1"/>
  <c r="AK129" i="1"/>
  <c r="AL129" i="1"/>
  <c r="AK130" i="1"/>
  <c r="AL130" i="1"/>
  <c r="AK131" i="1"/>
  <c r="AL131" i="1"/>
  <c r="AK132" i="1"/>
  <c r="AL132" i="1"/>
  <c r="AK134" i="1"/>
  <c r="AL134" i="1"/>
  <c r="AK135" i="1"/>
  <c r="AL135" i="1"/>
  <c r="AK136" i="1"/>
  <c r="AL136" i="1"/>
  <c r="AK137" i="1"/>
  <c r="AL137" i="1"/>
  <c r="AK138" i="1"/>
  <c r="AL138" i="1"/>
  <c r="AK149" i="1"/>
  <c r="AL149" i="1"/>
  <c r="AK150" i="1"/>
  <c r="AL150" i="1"/>
  <c r="AK153" i="1"/>
  <c r="AL153" i="1"/>
  <c r="AK157" i="1"/>
  <c r="AL157" i="1"/>
  <c r="AK158" i="1"/>
  <c r="AL158" i="1"/>
  <c r="AK164" i="1"/>
  <c r="AL164" i="1"/>
  <c r="AK165" i="1"/>
  <c r="AL165" i="1"/>
  <c r="AK166" i="1"/>
  <c r="AL166" i="1"/>
  <c r="AK168" i="1"/>
  <c r="AL168" i="1"/>
  <c r="AK173" i="1"/>
  <c r="AL173" i="1"/>
  <c r="AK178" i="1"/>
  <c r="AL178" i="1"/>
  <c r="AK179" i="1"/>
  <c r="AL179" i="1"/>
  <c r="AK180" i="1"/>
  <c r="AL180" i="1"/>
  <c r="AK181" i="1"/>
  <c r="AL181" i="1"/>
  <c r="AK182" i="1"/>
  <c r="AL182" i="1"/>
  <c r="AK183" i="1"/>
  <c r="AL183" i="1"/>
  <c r="AK184" i="1"/>
  <c r="AL184" i="1"/>
  <c r="AK185" i="1"/>
  <c r="AL185" i="1"/>
  <c r="AK186" i="1"/>
  <c r="AL186" i="1"/>
  <c r="AK187" i="1"/>
  <c r="AL187" i="1"/>
  <c r="AK188" i="1"/>
  <c r="AL188" i="1"/>
  <c r="AK189" i="1"/>
  <c r="AL189" i="1"/>
  <c r="AK190" i="1"/>
  <c r="AL190" i="1"/>
  <c r="AK191" i="1"/>
  <c r="AL191" i="1"/>
  <c r="AK192" i="1"/>
  <c r="AL192" i="1"/>
  <c r="AK193" i="1"/>
  <c r="AL193" i="1"/>
  <c r="AK194" i="1"/>
  <c r="AL194" i="1"/>
  <c r="AK195" i="1"/>
  <c r="AL195" i="1"/>
  <c r="AK196" i="1"/>
  <c r="AL196" i="1"/>
  <c r="AK197" i="1"/>
  <c r="AL197" i="1"/>
  <c r="AK198" i="1"/>
  <c r="AL198" i="1"/>
  <c r="AK199" i="1"/>
  <c r="AL199" i="1"/>
  <c r="AK200" i="1"/>
  <c r="AL200" i="1"/>
  <c r="AK201" i="1"/>
  <c r="AL201" i="1"/>
  <c r="AK202" i="1"/>
  <c r="AL202" i="1"/>
  <c r="AK203" i="1"/>
  <c r="AL203" i="1"/>
  <c r="AK204" i="1"/>
  <c r="AL204" i="1"/>
  <c r="AK205" i="1"/>
  <c r="AL205" i="1"/>
  <c r="AK206" i="1"/>
  <c r="AL206" i="1"/>
  <c r="AK208" i="1"/>
  <c r="AL208" i="1"/>
  <c r="AK209" i="1"/>
  <c r="AL209" i="1"/>
  <c r="AK210" i="1"/>
  <c r="AL210" i="1"/>
  <c r="AK211" i="1"/>
  <c r="AL211" i="1"/>
  <c r="AK212" i="1"/>
  <c r="AL212" i="1"/>
  <c r="AK213" i="1"/>
  <c r="AL213" i="1"/>
  <c r="AK214" i="1"/>
  <c r="AL214" i="1"/>
  <c r="AK222" i="1"/>
  <c r="AL222" i="1"/>
  <c r="AK223" i="1"/>
  <c r="AL223" i="1"/>
  <c r="AK224" i="1"/>
  <c r="AL224" i="1"/>
  <c r="AK226" i="1"/>
  <c r="AL226" i="1"/>
  <c r="AK227" i="1"/>
  <c r="AL227" i="1"/>
  <c r="AK228" i="1"/>
  <c r="AL228" i="1"/>
  <c r="AK229" i="1"/>
  <c r="AL229" i="1"/>
  <c r="AK230" i="1"/>
  <c r="AL230" i="1"/>
  <c r="AK231" i="1"/>
  <c r="AL231" i="1"/>
  <c r="AK232" i="1"/>
  <c r="AL232" i="1"/>
  <c r="AK233" i="1"/>
  <c r="AL233" i="1"/>
  <c r="AK234" i="1"/>
  <c r="AL234" i="1"/>
  <c r="AK235" i="1"/>
  <c r="AL235" i="1"/>
  <c r="AK236" i="1"/>
  <c r="AL236" i="1"/>
  <c r="AK237" i="1"/>
  <c r="AL237" i="1"/>
  <c r="AK238" i="1"/>
  <c r="AL238" i="1"/>
  <c r="AK239" i="1"/>
  <c r="AL239" i="1"/>
  <c r="AK240" i="1"/>
  <c r="AL240" i="1"/>
  <c r="AK241" i="1"/>
  <c r="AL241" i="1"/>
  <c r="AK242" i="1"/>
  <c r="AL242" i="1"/>
  <c r="AK243" i="1"/>
  <c r="AL243" i="1"/>
  <c r="AK244" i="1"/>
  <c r="AL244" i="1"/>
  <c r="AK245" i="1"/>
  <c r="AL245" i="1"/>
  <c r="AK246" i="1"/>
  <c r="AL246" i="1"/>
  <c r="AK247" i="1"/>
  <c r="AL247" i="1"/>
  <c r="AK248" i="1"/>
  <c r="AL248" i="1"/>
  <c r="AK249" i="1"/>
  <c r="AL249" i="1"/>
  <c r="AK250" i="1"/>
  <c r="AL250" i="1"/>
  <c r="AK251" i="1"/>
  <c r="AL251" i="1"/>
  <c r="AK252" i="1"/>
  <c r="AL252" i="1"/>
  <c r="AK253" i="1"/>
  <c r="AL253" i="1"/>
  <c r="AK254" i="1"/>
  <c r="AL254" i="1"/>
  <c r="AK255" i="1"/>
  <c r="AL255" i="1"/>
  <c r="AK256" i="1"/>
  <c r="AL256" i="1"/>
  <c r="AK257" i="1"/>
  <c r="AL257" i="1"/>
  <c r="AK258" i="1"/>
  <c r="AL258" i="1"/>
  <c r="AK259" i="1"/>
  <c r="AL259" i="1"/>
  <c r="AK260" i="1"/>
  <c r="AL260" i="1"/>
  <c r="AK261" i="1"/>
  <c r="AL261" i="1"/>
  <c r="AK262" i="1"/>
  <c r="AL262" i="1"/>
  <c r="AK263" i="1"/>
  <c r="AL263" i="1"/>
  <c r="AK264" i="1"/>
  <c r="AL264" i="1"/>
  <c r="AK265" i="1"/>
  <c r="AL265" i="1"/>
  <c r="AK266" i="1"/>
  <c r="AL266" i="1"/>
  <c r="AK267" i="1"/>
  <c r="AL267" i="1"/>
  <c r="AK268" i="1"/>
  <c r="AL268" i="1"/>
  <c r="AK269" i="1"/>
  <c r="AL269" i="1"/>
  <c r="AK270" i="1"/>
  <c r="AL270" i="1"/>
  <c r="AK271" i="1"/>
  <c r="AL271" i="1"/>
  <c r="AK272" i="1"/>
  <c r="AL272" i="1"/>
  <c r="AK273" i="1"/>
  <c r="AL273" i="1"/>
  <c r="AK274" i="1"/>
  <c r="AL274" i="1"/>
  <c r="AK275" i="1"/>
  <c r="AL275" i="1"/>
  <c r="AK276" i="1"/>
  <c r="AL276" i="1"/>
  <c r="AK277" i="1"/>
  <c r="AL277" i="1"/>
  <c r="AK278" i="1"/>
  <c r="AL278" i="1"/>
  <c r="AK279" i="1"/>
  <c r="AK280" i="1"/>
  <c r="AK281" i="1"/>
  <c r="AK282" i="1"/>
  <c r="AK283" i="1"/>
  <c r="AL283" i="1"/>
  <c r="AK284" i="1"/>
  <c r="AL284" i="1"/>
  <c r="AK285" i="1"/>
  <c r="AL285" i="1"/>
  <c r="AK286" i="1"/>
  <c r="AL286" i="1"/>
  <c r="AK287" i="1"/>
  <c r="AL287" i="1"/>
  <c r="AK288" i="1"/>
  <c r="AL288" i="1"/>
  <c r="AK289" i="1"/>
  <c r="AL289" i="1"/>
  <c r="AK290" i="1"/>
  <c r="AL290" i="1"/>
  <c r="AK291" i="1"/>
  <c r="AL291" i="1"/>
  <c r="AK292" i="1"/>
  <c r="AL292" i="1"/>
  <c r="AK293" i="1"/>
  <c r="AL293" i="1"/>
  <c r="AK294" i="1"/>
  <c r="AL294" i="1"/>
  <c r="AK295" i="1"/>
  <c r="AL295" i="1"/>
  <c r="AK296" i="1"/>
  <c r="AL296" i="1"/>
  <c r="AK297" i="1"/>
  <c r="AL297" i="1"/>
  <c r="AK298" i="1"/>
  <c r="AL298" i="1"/>
  <c r="AK299" i="1"/>
  <c r="AL299" i="1"/>
  <c r="AK300" i="1"/>
  <c r="AL300" i="1"/>
  <c r="AK301" i="1"/>
  <c r="AL301" i="1"/>
  <c r="AK302" i="1"/>
  <c r="AL302" i="1"/>
  <c r="AK303" i="1"/>
  <c r="AL303" i="1"/>
  <c r="AK304" i="1"/>
  <c r="AL304" i="1"/>
  <c r="AK305" i="1"/>
  <c r="AL305" i="1"/>
  <c r="AK306" i="1"/>
  <c r="AL306" i="1"/>
  <c r="AK307" i="1"/>
  <c r="AL307" i="1"/>
  <c r="AK308" i="1"/>
  <c r="AL308" i="1"/>
  <c r="AK309" i="1"/>
  <c r="AL309" i="1"/>
  <c r="AK310" i="1"/>
  <c r="AL310" i="1"/>
  <c r="AK311" i="1"/>
  <c r="AL311" i="1"/>
  <c r="AK312" i="1"/>
  <c r="AL312" i="1"/>
  <c r="AK313" i="1"/>
  <c r="AL313" i="1"/>
  <c r="AK314" i="1"/>
  <c r="AL314" i="1"/>
  <c r="AK315" i="1"/>
  <c r="AL315" i="1"/>
  <c r="AK316" i="1"/>
  <c r="AL316" i="1"/>
  <c r="AK317" i="1"/>
  <c r="AL317" i="1"/>
  <c r="AK318" i="1"/>
  <c r="AL318" i="1"/>
  <c r="AK319" i="1"/>
  <c r="AL319" i="1"/>
  <c r="AK320" i="1"/>
  <c r="AL320" i="1"/>
  <c r="AK321" i="1"/>
  <c r="AL321" i="1"/>
  <c r="AK322" i="1"/>
  <c r="AL322" i="1"/>
  <c r="AK323" i="1"/>
  <c r="AL323" i="1"/>
  <c r="AK324" i="1"/>
  <c r="AL324" i="1"/>
  <c r="AK325" i="1"/>
  <c r="AL325" i="1"/>
  <c r="AK326" i="1"/>
  <c r="AL326" i="1"/>
  <c r="AK327" i="1"/>
  <c r="AL327" i="1"/>
  <c r="AK328" i="1"/>
  <c r="AL328" i="1"/>
  <c r="AK329" i="1"/>
  <c r="AL329" i="1"/>
  <c r="AK330" i="1"/>
  <c r="AL330" i="1"/>
  <c r="AK331" i="1"/>
  <c r="AL331" i="1"/>
  <c r="AK332" i="1"/>
  <c r="AL332" i="1"/>
  <c r="AK333" i="1"/>
  <c r="AL333" i="1"/>
  <c r="AK334" i="1"/>
  <c r="AL334" i="1"/>
  <c r="AK335" i="1"/>
  <c r="AL335" i="1"/>
  <c r="AK336" i="1"/>
  <c r="AL336" i="1"/>
  <c r="AK337" i="1"/>
  <c r="AL337" i="1"/>
  <c r="AK338" i="1"/>
  <c r="AL338" i="1"/>
  <c r="AK339" i="1"/>
  <c r="AL339" i="1"/>
  <c r="AK340" i="1"/>
  <c r="AL340" i="1"/>
  <c r="AK341" i="1"/>
  <c r="AL341" i="1"/>
  <c r="AK342" i="1"/>
  <c r="AL342" i="1"/>
  <c r="AK343" i="1"/>
  <c r="AL343" i="1"/>
  <c r="AK347" i="1"/>
  <c r="AL347" i="1"/>
  <c r="AK348" i="1"/>
  <c r="AL348" i="1"/>
  <c r="AK349" i="1"/>
  <c r="AL349" i="1"/>
  <c r="AK350" i="1"/>
  <c r="AL350" i="1"/>
  <c r="AK351" i="1"/>
  <c r="AL351" i="1"/>
  <c r="AK352" i="1"/>
  <c r="AL352" i="1"/>
  <c r="AK353" i="1"/>
  <c r="AL353" i="1"/>
  <c r="AK354" i="1"/>
  <c r="AL354" i="1"/>
  <c r="AK355" i="1"/>
  <c r="AL355" i="1"/>
  <c r="AK356" i="1"/>
  <c r="AL356" i="1"/>
  <c r="AK357" i="1"/>
  <c r="AL357" i="1"/>
  <c r="AK358" i="1"/>
  <c r="AL358" i="1"/>
  <c r="AK359" i="1"/>
  <c r="AL359" i="1"/>
  <c r="AK360" i="1"/>
  <c r="AL360" i="1"/>
  <c r="AK361" i="1"/>
  <c r="AL361" i="1"/>
  <c r="AK362" i="1"/>
  <c r="AL362" i="1"/>
  <c r="AK363" i="1"/>
  <c r="AL363" i="1"/>
  <c r="AK364" i="1"/>
  <c r="AL364" i="1"/>
  <c r="AK365" i="1"/>
  <c r="AL365" i="1"/>
  <c r="AK366" i="1"/>
  <c r="AL366" i="1"/>
  <c r="AK367" i="1"/>
  <c r="AL367" i="1"/>
  <c r="AK368" i="1"/>
  <c r="AL368" i="1"/>
  <c r="AK369" i="1"/>
  <c r="AL369" i="1"/>
  <c r="AK370" i="1"/>
  <c r="AL370" i="1"/>
  <c r="AK371" i="1"/>
  <c r="AL371" i="1"/>
  <c r="AK372" i="1"/>
  <c r="AL372" i="1"/>
  <c r="AK373" i="1"/>
  <c r="AL373" i="1"/>
  <c r="AK374" i="1"/>
  <c r="AL374" i="1"/>
  <c r="AK375" i="1"/>
  <c r="AL375" i="1"/>
  <c r="AK376" i="1"/>
  <c r="AL376" i="1"/>
  <c r="AK377" i="1"/>
  <c r="AL377" i="1"/>
  <c r="AK378" i="1"/>
  <c r="AL378" i="1"/>
  <c r="AK379" i="1"/>
  <c r="AL379" i="1"/>
  <c r="AK380" i="1"/>
  <c r="AL380" i="1"/>
  <c r="AK381" i="1"/>
  <c r="AL381" i="1"/>
  <c r="AK382" i="1"/>
  <c r="AL382" i="1"/>
  <c r="AK383" i="1"/>
  <c r="AL383" i="1"/>
  <c r="AK384" i="1"/>
  <c r="AL384" i="1"/>
  <c r="AK385" i="1"/>
  <c r="AL385" i="1"/>
  <c r="AK386" i="1"/>
  <c r="AL386" i="1"/>
  <c r="AK387" i="1"/>
  <c r="AL387" i="1"/>
  <c r="AK388" i="1"/>
  <c r="AL388" i="1"/>
  <c r="AK389" i="1"/>
  <c r="AL389" i="1"/>
  <c r="AK390" i="1"/>
  <c r="AL390" i="1"/>
  <c r="AK391" i="1"/>
  <c r="AL391" i="1"/>
  <c r="AK392" i="1"/>
  <c r="AL392" i="1"/>
  <c r="AK393" i="1"/>
  <c r="AL393" i="1"/>
  <c r="AK394" i="1"/>
  <c r="AL394" i="1"/>
  <c r="AK395" i="1"/>
  <c r="AL395" i="1"/>
  <c r="AK396" i="1"/>
  <c r="AL396" i="1"/>
  <c r="AK397" i="1"/>
  <c r="AL397" i="1"/>
  <c r="AK398" i="1"/>
  <c r="AL398" i="1"/>
  <c r="AK399" i="1"/>
  <c r="AL399" i="1"/>
  <c r="AK400" i="1"/>
  <c r="AL400" i="1"/>
  <c r="AK401" i="1"/>
  <c r="AL401" i="1"/>
  <c r="AK402" i="1"/>
  <c r="AL402" i="1"/>
  <c r="AK403" i="1"/>
  <c r="AL403" i="1"/>
  <c r="AK404" i="1"/>
  <c r="AL404" i="1"/>
  <c r="AK405" i="1"/>
  <c r="AL405" i="1"/>
  <c r="AK406" i="1"/>
  <c r="AL406" i="1"/>
  <c r="AK407" i="1"/>
  <c r="AL407" i="1"/>
  <c r="AK408" i="1"/>
  <c r="AL408" i="1"/>
  <c r="AK409" i="1"/>
  <c r="AL409" i="1"/>
  <c r="AK410" i="1"/>
  <c r="AL410" i="1"/>
  <c r="AK411" i="1"/>
  <c r="AL411" i="1"/>
  <c r="AK412" i="1"/>
  <c r="AL412" i="1"/>
  <c r="AK413" i="1"/>
  <c r="AL413" i="1"/>
  <c r="AK414" i="1"/>
  <c r="AL414" i="1"/>
  <c r="AK416" i="1"/>
  <c r="AL416" i="1"/>
  <c r="AK417" i="1"/>
  <c r="AL417" i="1"/>
  <c r="AK418" i="1"/>
  <c r="AL418" i="1"/>
  <c r="AK421" i="1"/>
  <c r="AL421" i="1"/>
  <c r="AK422" i="1"/>
  <c r="AL422" i="1"/>
  <c r="AK423" i="1"/>
  <c r="AL423" i="1"/>
  <c r="AK432" i="1"/>
  <c r="AL432" i="1"/>
  <c r="AK434" i="1"/>
  <c r="AL434" i="1"/>
  <c r="AK435" i="1"/>
  <c r="AL435" i="1"/>
  <c r="AK436" i="1"/>
  <c r="AL436" i="1"/>
  <c r="AK437" i="1"/>
  <c r="AL437" i="1"/>
  <c r="AK438" i="1"/>
  <c r="AL438" i="1"/>
  <c r="AK439" i="1"/>
  <c r="AL439" i="1"/>
  <c r="AK444" i="1"/>
  <c r="AL444" i="1"/>
  <c r="AK445" i="1"/>
  <c r="AL445" i="1"/>
  <c r="AL446" i="1"/>
  <c r="AK447" i="1"/>
  <c r="AL447" i="1"/>
  <c r="AK449" i="1"/>
  <c r="AL449" i="1"/>
  <c r="AK450" i="1"/>
  <c r="AL450" i="1"/>
  <c r="AK451" i="1"/>
  <c r="AL451" i="1"/>
  <c r="AK452" i="1"/>
  <c r="AL452" i="1"/>
  <c r="AK453" i="1"/>
  <c r="AL453" i="1"/>
  <c r="AK456" i="1"/>
  <c r="AL456" i="1"/>
  <c r="AK457" i="1"/>
  <c r="AL457" i="1"/>
  <c r="AK459" i="1"/>
  <c r="AL459" i="1"/>
  <c r="AK460" i="1"/>
  <c r="AL460" i="1"/>
  <c r="AK461" i="1"/>
  <c r="AL461" i="1"/>
  <c r="AK462" i="1"/>
  <c r="AL462" i="1"/>
  <c r="AK463" i="1"/>
  <c r="AL463" i="1"/>
  <c r="AK491" i="1"/>
  <c r="AL491" i="1"/>
  <c r="AK493" i="1"/>
  <c r="AL493" i="1"/>
  <c r="AK494" i="1"/>
  <c r="AL494" i="1"/>
  <c r="AK496" i="1"/>
  <c r="AL496" i="1"/>
  <c r="AK497" i="1"/>
  <c r="AL497" i="1"/>
  <c r="AK498" i="1"/>
  <c r="AL498" i="1"/>
  <c r="AK499" i="1"/>
  <c r="AL499" i="1"/>
  <c r="AK500" i="1"/>
  <c r="AL500" i="1"/>
  <c r="AK501" i="1"/>
  <c r="AL501" i="1"/>
  <c r="AK502" i="1"/>
  <c r="AL502" i="1"/>
  <c r="AK503" i="1"/>
  <c r="AL503" i="1"/>
  <c r="AK504" i="1"/>
  <c r="AL504" i="1"/>
  <c r="AK505" i="1"/>
  <c r="AL505" i="1"/>
  <c r="AK506" i="1"/>
  <c r="AL506" i="1"/>
  <c r="AK509" i="1"/>
  <c r="AL509" i="1"/>
  <c r="AK511" i="1"/>
  <c r="AL511" i="1"/>
  <c r="AK512" i="1"/>
  <c r="AL512" i="1"/>
  <c r="AK515" i="1"/>
  <c r="AL515" i="1"/>
  <c r="AK516" i="1"/>
  <c r="AL516" i="1"/>
  <c r="AK518" i="1"/>
  <c r="AL518" i="1"/>
  <c r="AK519" i="1"/>
  <c r="AL519" i="1"/>
  <c r="AK520" i="1"/>
  <c r="AL520" i="1"/>
  <c r="AK521" i="1"/>
  <c r="AL521" i="1"/>
  <c r="AK522" i="1"/>
  <c r="AL522" i="1"/>
  <c r="AK524" i="1"/>
  <c r="AL524" i="1"/>
  <c r="AK528" i="1"/>
  <c r="AL528" i="1"/>
  <c r="AK529" i="1"/>
  <c r="AL529" i="1"/>
  <c r="AK532" i="1"/>
  <c r="AL532" i="1"/>
  <c r="AK533" i="1"/>
  <c r="AL533" i="1"/>
  <c r="AK534" i="1"/>
  <c r="AL534" i="1"/>
  <c r="AK535" i="1"/>
  <c r="AL535" i="1"/>
  <c r="AK536" i="1"/>
  <c r="AL536" i="1"/>
  <c r="AK538" i="1"/>
  <c r="AL538" i="1"/>
  <c r="AK539" i="1"/>
  <c r="AL539" i="1"/>
  <c r="AK540" i="1"/>
  <c r="AL540" i="1"/>
  <c r="AL542" i="1"/>
  <c r="AL543" i="1"/>
  <c r="AL544" i="1"/>
  <c r="AL545" i="1"/>
  <c r="AK546" i="1"/>
  <c r="AL546" i="1"/>
  <c r="AK547" i="1"/>
  <c r="AL547" i="1"/>
  <c r="AK548" i="1"/>
  <c r="AL548" i="1"/>
  <c r="AK549" i="1"/>
  <c r="AL549" i="1"/>
  <c r="AK550" i="1"/>
  <c r="AL550" i="1"/>
  <c r="AK551" i="1"/>
  <c r="AL551" i="1"/>
  <c r="AK552" i="1"/>
  <c r="AL552" i="1"/>
  <c r="AK553" i="1"/>
  <c r="AL553" i="1"/>
  <c r="AK554" i="1"/>
  <c r="AL554" i="1"/>
  <c r="AK555" i="1"/>
  <c r="AL555" i="1"/>
  <c r="AK556" i="1"/>
  <c r="AL556" i="1"/>
  <c r="AK557" i="1"/>
  <c r="AL557" i="1"/>
  <c r="AK558" i="1"/>
  <c r="AL558" i="1"/>
  <c r="AK559" i="1"/>
  <c r="AL559" i="1"/>
  <c r="AK560" i="1"/>
  <c r="AL560" i="1"/>
  <c r="AK561" i="1"/>
  <c r="AL561" i="1"/>
  <c r="AK562" i="1"/>
  <c r="AL562" i="1"/>
  <c r="AK563" i="1"/>
  <c r="AL563" i="1"/>
  <c r="AK564" i="1"/>
  <c r="AL564" i="1"/>
  <c r="AK565" i="1"/>
  <c r="AL565" i="1"/>
  <c r="AL8" i="1"/>
  <c r="AK8" i="1"/>
  <c r="AI498" i="1"/>
  <c r="AI9" i="1"/>
  <c r="E8" i="1"/>
  <c r="F8" i="1"/>
  <c r="G8" i="1"/>
  <c r="H8" i="1"/>
  <c r="I8" i="1"/>
  <c r="J8" i="1"/>
  <c r="K8" i="1"/>
  <c r="L8" i="1"/>
  <c r="M8" i="1"/>
  <c r="N8" i="1"/>
  <c r="E9" i="1"/>
  <c r="F9" i="1"/>
  <c r="G9" i="1"/>
  <c r="H9" i="1"/>
  <c r="I9" i="1"/>
  <c r="J9" i="1"/>
  <c r="K9" i="1"/>
  <c r="L9" i="1"/>
  <c r="M9" i="1"/>
  <c r="N9" i="1"/>
  <c r="E10" i="1"/>
  <c r="F10" i="1"/>
  <c r="G10" i="1"/>
  <c r="H10" i="1"/>
  <c r="I10" i="1"/>
  <c r="J10" i="1"/>
  <c r="K10" i="1"/>
  <c r="L10" i="1"/>
  <c r="M10" i="1"/>
  <c r="N10" i="1"/>
  <c r="E11" i="1"/>
  <c r="F11" i="1"/>
  <c r="G11" i="1"/>
  <c r="H11" i="1"/>
  <c r="I11" i="1"/>
  <c r="J11" i="1"/>
  <c r="K11" i="1"/>
  <c r="L11" i="1"/>
  <c r="M11" i="1"/>
  <c r="N11" i="1"/>
  <c r="E12" i="1"/>
  <c r="F12" i="1"/>
  <c r="G12" i="1"/>
  <c r="H12" i="1"/>
  <c r="I12" i="1"/>
  <c r="J12" i="1"/>
  <c r="K12" i="1"/>
  <c r="L12" i="1"/>
  <c r="M12" i="1"/>
  <c r="N12" i="1"/>
  <c r="E13" i="1"/>
  <c r="F13" i="1"/>
  <c r="G13" i="1"/>
  <c r="H13" i="1"/>
  <c r="I13" i="1"/>
  <c r="J13" i="1"/>
  <c r="K13" i="1"/>
  <c r="L13" i="1"/>
  <c r="M13" i="1"/>
  <c r="N13" i="1"/>
  <c r="E14" i="1"/>
  <c r="F14" i="1"/>
  <c r="G14" i="1"/>
  <c r="H14" i="1"/>
  <c r="I14" i="1"/>
  <c r="J14" i="1"/>
  <c r="K14" i="1"/>
  <c r="L14" i="1"/>
  <c r="M14" i="1"/>
  <c r="N14" i="1"/>
  <c r="E20" i="1"/>
  <c r="F20" i="1"/>
  <c r="G20" i="1"/>
  <c r="H20" i="1"/>
  <c r="I20" i="1"/>
  <c r="J20" i="1"/>
  <c r="K20" i="1"/>
  <c r="M20" i="1"/>
  <c r="N20" i="1"/>
  <c r="E21" i="1"/>
  <c r="F21" i="1"/>
  <c r="G21" i="1"/>
  <c r="H21" i="1"/>
  <c r="I21" i="1"/>
  <c r="J21" i="1"/>
  <c r="L21" i="1"/>
  <c r="N21" i="1"/>
  <c r="E22" i="1"/>
  <c r="F22" i="1"/>
  <c r="G22" i="1"/>
  <c r="H22" i="1"/>
  <c r="I22" i="1"/>
  <c r="J22" i="1"/>
  <c r="K22" i="1"/>
  <c r="M22" i="1"/>
  <c r="N22" i="1"/>
  <c r="E23" i="1"/>
  <c r="F23" i="1"/>
  <c r="G23" i="1"/>
  <c r="H23" i="1"/>
  <c r="I23" i="1"/>
  <c r="J23" i="1"/>
  <c r="L23" i="1"/>
  <c r="N23" i="1"/>
  <c r="E24" i="1"/>
  <c r="F24" i="1"/>
  <c r="G24" i="1"/>
  <c r="H24" i="1"/>
  <c r="I24" i="1"/>
  <c r="J24" i="1"/>
  <c r="K24" i="1"/>
  <c r="L24" i="1"/>
  <c r="M24" i="1"/>
  <c r="N24" i="1"/>
  <c r="E25" i="1"/>
  <c r="F25" i="1"/>
  <c r="G25" i="1"/>
  <c r="H25" i="1"/>
  <c r="I25" i="1"/>
  <c r="J25" i="1"/>
  <c r="K25" i="1"/>
  <c r="L25" i="1"/>
  <c r="M25" i="1"/>
  <c r="N25" i="1"/>
  <c r="E26" i="1"/>
  <c r="F26" i="1"/>
  <c r="G26" i="1"/>
  <c r="H26" i="1"/>
  <c r="I26" i="1"/>
  <c r="J26" i="1"/>
  <c r="K26" i="1"/>
  <c r="L26" i="1"/>
  <c r="M26" i="1"/>
  <c r="N26" i="1"/>
  <c r="E27" i="1"/>
  <c r="F27" i="1"/>
  <c r="G27" i="1"/>
  <c r="H27" i="1"/>
  <c r="I27" i="1"/>
  <c r="J27" i="1"/>
  <c r="K27" i="1"/>
  <c r="L27" i="1"/>
  <c r="M27" i="1"/>
  <c r="N27" i="1"/>
  <c r="E28" i="1"/>
  <c r="F28" i="1"/>
  <c r="G28" i="1"/>
  <c r="H28" i="1"/>
  <c r="I28" i="1"/>
  <c r="J28" i="1"/>
  <c r="K28" i="1"/>
  <c r="L28" i="1"/>
  <c r="M28" i="1"/>
  <c r="N28" i="1"/>
  <c r="E29" i="1"/>
  <c r="F29" i="1"/>
  <c r="G29" i="1"/>
  <c r="H29" i="1"/>
  <c r="I29" i="1"/>
  <c r="J29" i="1"/>
  <c r="K29" i="1"/>
  <c r="L29" i="1"/>
  <c r="M29" i="1"/>
  <c r="N29" i="1"/>
  <c r="E30" i="1"/>
  <c r="F30" i="1"/>
  <c r="G30" i="1"/>
  <c r="H30" i="1"/>
  <c r="I30" i="1"/>
  <c r="J30" i="1"/>
  <c r="K30" i="1"/>
  <c r="L30" i="1"/>
  <c r="M30" i="1"/>
  <c r="N30" i="1"/>
  <c r="E31" i="1"/>
  <c r="F31" i="1"/>
  <c r="G31" i="1"/>
  <c r="H31" i="1"/>
  <c r="I31" i="1"/>
  <c r="J31" i="1"/>
  <c r="K31" i="1"/>
  <c r="M31" i="1"/>
  <c r="N31" i="1"/>
  <c r="E32" i="1"/>
  <c r="F32" i="1"/>
  <c r="G32" i="1"/>
  <c r="H32" i="1"/>
  <c r="I32" i="1"/>
  <c r="J32" i="1"/>
  <c r="L32" i="1"/>
  <c r="N32" i="1"/>
  <c r="E34" i="1"/>
  <c r="F34" i="1"/>
  <c r="G34" i="1"/>
  <c r="H34" i="1"/>
  <c r="I34" i="1"/>
  <c r="J34" i="1"/>
  <c r="K34" i="1"/>
  <c r="L34" i="1"/>
  <c r="M34" i="1"/>
  <c r="N34" i="1"/>
  <c r="E36" i="1"/>
  <c r="F36" i="1"/>
  <c r="G36" i="1"/>
  <c r="H36" i="1"/>
  <c r="I36" i="1"/>
  <c r="J36" i="1"/>
  <c r="K36" i="1"/>
  <c r="L36" i="1"/>
  <c r="M36" i="1"/>
  <c r="N36" i="1"/>
  <c r="E37" i="1"/>
  <c r="F37" i="1"/>
  <c r="G37" i="1"/>
  <c r="H37" i="1"/>
  <c r="I37" i="1"/>
  <c r="J37" i="1"/>
  <c r="K37" i="1"/>
  <c r="L37" i="1"/>
  <c r="M37" i="1"/>
  <c r="N37" i="1"/>
  <c r="E38" i="1"/>
  <c r="F38" i="1"/>
  <c r="G38" i="1"/>
  <c r="H38" i="1"/>
  <c r="I38" i="1"/>
  <c r="J38" i="1"/>
  <c r="K38" i="1"/>
  <c r="L38" i="1"/>
  <c r="M38" i="1"/>
  <c r="N38" i="1"/>
  <c r="E39" i="1"/>
  <c r="F39" i="1"/>
  <c r="G39" i="1"/>
  <c r="H39" i="1"/>
  <c r="I39" i="1"/>
  <c r="J39" i="1"/>
  <c r="K39" i="1"/>
  <c r="L39" i="1"/>
  <c r="M39" i="1"/>
  <c r="N39" i="1"/>
  <c r="E40" i="1"/>
  <c r="F40" i="1"/>
  <c r="G40" i="1"/>
  <c r="H40" i="1"/>
  <c r="I40" i="1"/>
  <c r="J40" i="1"/>
  <c r="K40" i="1"/>
  <c r="L40" i="1"/>
  <c r="M40" i="1"/>
  <c r="N40" i="1"/>
  <c r="E41" i="1"/>
  <c r="F41" i="1"/>
  <c r="G41" i="1"/>
  <c r="H41" i="1"/>
  <c r="I41" i="1"/>
  <c r="J41" i="1"/>
  <c r="K41" i="1"/>
  <c r="L41" i="1"/>
  <c r="M41" i="1"/>
  <c r="N41" i="1"/>
  <c r="E42" i="1"/>
  <c r="F42" i="1"/>
  <c r="G42" i="1"/>
  <c r="H42" i="1"/>
  <c r="I42" i="1"/>
  <c r="J42" i="1"/>
  <c r="K42" i="1"/>
  <c r="L42" i="1"/>
  <c r="M42" i="1"/>
  <c r="N42" i="1"/>
  <c r="E43" i="1"/>
  <c r="F43" i="1"/>
  <c r="G43" i="1"/>
  <c r="H43" i="1"/>
  <c r="I43" i="1"/>
  <c r="J43" i="1"/>
  <c r="K43" i="1"/>
  <c r="L43" i="1"/>
  <c r="M43" i="1"/>
  <c r="N43" i="1"/>
  <c r="E46" i="1"/>
  <c r="F46" i="1"/>
  <c r="G46" i="1"/>
  <c r="H46" i="1"/>
  <c r="I46" i="1"/>
  <c r="J46" i="1"/>
  <c r="K46" i="1"/>
  <c r="L46" i="1"/>
  <c r="M46" i="1"/>
  <c r="N46" i="1"/>
  <c r="E47" i="1"/>
  <c r="F47" i="1"/>
  <c r="G47" i="1"/>
  <c r="H47" i="1"/>
  <c r="I47" i="1"/>
  <c r="J47" i="1"/>
  <c r="K47" i="1"/>
  <c r="L47" i="1"/>
  <c r="M47" i="1"/>
  <c r="N47" i="1"/>
  <c r="E49" i="1"/>
  <c r="F49" i="1"/>
  <c r="G49" i="1"/>
  <c r="H49" i="1"/>
  <c r="I49" i="1"/>
  <c r="J49" i="1"/>
  <c r="K49" i="1"/>
  <c r="L49" i="1"/>
  <c r="M49" i="1"/>
  <c r="N49" i="1"/>
  <c r="E50" i="1"/>
  <c r="F50" i="1"/>
  <c r="G50" i="1"/>
  <c r="H50" i="1"/>
  <c r="I50" i="1"/>
  <c r="J50" i="1"/>
  <c r="K50" i="1"/>
  <c r="L50" i="1"/>
  <c r="M50" i="1"/>
  <c r="N50" i="1"/>
  <c r="E51" i="1"/>
  <c r="F51" i="1"/>
  <c r="G51" i="1"/>
  <c r="H51" i="1"/>
  <c r="I51" i="1"/>
  <c r="J51" i="1"/>
  <c r="K51" i="1"/>
  <c r="L51" i="1"/>
  <c r="M51" i="1"/>
  <c r="N51" i="1"/>
  <c r="E53" i="1"/>
  <c r="F53" i="1"/>
  <c r="G53" i="1"/>
  <c r="H53" i="1"/>
  <c r="I53" i="1"/>
  <c r="J53" i="1"/>
  <c r="K53" i="1"/>
  <c r="L53" i="1"/>
  <c r="M53" i="1"/>
  <c r="N53" i="1"/>
  <c r="E54" i="1"/>
  <c r="F54" i="1"/>
  <c r="G54" i="1"/>
  <c r="H54" i="1"/>
  <c r="I54" i="1"/>
  <c r="J54" i="1"/>
  <c r="K54" i="1"/>
  <c r="L54" i="1"/>
  <c r="M54" i="1"/>
  <c r="N54" i="1"/>
  <c r="E55" i="1"/>
  <c r="F55" i="1"/>
  <c r="G55" i="1"/>
  <c r="H55" i="1"/>
  <c r="I55" i="1"/>
  <c r="J55" i="1"/>
  <c r="K55" i="1"/>
  <c r="L55" i="1"/>
  <c r="M55" i="1"/>
  <c r="N55" i="1"/>
  <c r="E56" i="1"/>
  <c r="F56" i="1"/>
  <c r="G56" i="1"/>
  <c r="H56" i="1"/>
  <c r="I56" i="1"/>
  <c r="J56" i="1"/>
  <c r="K56" i="1"/>
  <c r="L56" i="1"/>
  <c r="M56" i="1"/>
  <c r="N56" i="1"/>
  <c r="E57" i="1"/>
  <c r="F57" i="1"/>
  <c r="G57" i="1"/>
  <c r="H57" i="1"/>
  <c r="I57" i="1"/>
  <c r="J57" i="1"/>
  <c r="K57" i="1"/>
  <c r="L57" i="1"/>
  <c r="M57" i="1"/>
  <c r="N57" i="1"/>
  <c r="E58" i="1"/>
  <c r="F58" i="1"/>
  <c r="G58" i="1"/>
  <c r="H58" i="1"/>
  <c r="I58" i="1"/>
  <c r="J58" i="1"/>
  <c r="K58" i="1"/>
  <c r="L58" i="1"/>
  <c r="M58" i="1"/>
  <c r="N58" i="1"/>
  <c r="E60" i="1"/>
  <c r="F60" i="1"/>
  <c r="G60" i="1"/>
  <c r="H60" i="1"/>
  <c r="I60" i="1"/>
  <c r="J60" i="1"/>
  <c r="K60" i="1"/>
  <c r="L60" i="1"/>
  <c r="M60" i="1"/>
  <c r="N60" i="1"/>
  <c r="E61" i="1"/>
  <c r="F61" i="1"/>
  <c r="G61" i="1"/>
  <c r="H61" i="1"/>
  <c r="I61" i="1"/>
  <c r="J61" i="1"/>
  <c r="K61" i="1"/>
  <c r="L61" i="1"/>
  <c r="M61" i="1"/>
  <c r="N61" i="1"/>
  <c r="E62" i="1"/>
  <c r="F62" i="1"/>
  <c r="G62" i="1"/>
  <c r="H62" i="1"/>
  <c r="I62" i="1"/>
  <c r="J62" i="1"/>
  <c r="K62" i="1"/>
  <c r="L62" i="1"/>
  <c r="M62" i="1"/>
  <c r="N62" i="1"/>
  <c r="E63" i="1"/>
  <c r="F63" i="1"/>
  <c r="G63" i="1"/>
  <c r="H63" i="1"/>
  <c r="I63" i="1"/>
  <c r="J63" i="1"/>
  <c r="K63" i="1"/>
  <c r="L63" i="1"/>
  <c r="M63" i="1"/>
  <c r="N63" i="1"/>
  <c r="E64" i="1"/>
  <c r="F64" i="1"/>
  <c r="G64" i="1"/>
  <c r="H64" i="1"/>
  <c r="I64" i="1"/>
  <c r="J64" i="1"/>
  <c r="K64" i="1"/>
  <c r="L64" i="1"/>
  <c r="M64" i="1"/>
  <c r="N64" i="1"/>
  <c r="E65" i="1"/>
  <c r="F65" i="1"/>
  <c r="G65" i="1"/>
  <c r="H65" i="1"/>
  <c r="I65" i="1"/>
  <c r="J65" i="1"/>
  <c r="K65" i="1"/>
  <c r="L65" i="1"/>
  <c r="M65" i="1"/>
  <c r="N65" i="1"/>
  <c r="E66" i="1"/>
  <c r="F66" i="1"/>
  <c r="G66" i="1"/>
  <c r="H66" i="1"/>
  <c r="I66" i="1"/>
  <c r="J66" i="1"/>
  <c r="K66" i="1"/>
  <c r="L66" i="1"/>
  <c r="M66" i="1"/>
  <c r="N66" i="1"/>
  <c r="E67" i="1"/>
  <c r="F67" i="1"/>
  <c r="G67" i="1"/>
  <c r="H67" i="1"/>
  <c r="I67" i="1"/>
  <c r="J67" i="1"/>
  <c r="K67" i="1"/>
  <c r="L67" i="1"/>
  <c r="M67" i="1"/>
  <c r="N67" i="1"/>
  <c r="E68" i="1"/>
  <c r="F68" i="1"/>
  <c r="G68" i="1"/>
  <c r="H68" i="1"/>
  <c r="I68" i="1"/>
  <c r="J68" i="1"/>
  <c r="K68" i="1"/>
  <c r="L68" i="1"/>
  <c r="M68" i="1"/>
  <c r="N68" i="1"/>
  <c r="E69" i="1"/>
  <c r="F69" i="1"/>
  <c r="G69" i="1"/>
  <c r="H69" i="1"/>
  <c r="I69" i="1"/>
  <c r="J69" i="1"/>
  <c r="K69" i="1"/>
  <c r="L69" i="1"/>
  <c r="M69" i="1"/>
  <c r="N69" i="1"/>
  <c r="E71" i="1"/>
  <c r="F71" i="1"/>
  <c r="G71" i="1"/>
  <c r="H71" i="1"/>
  <c r="I71" i="1"/>
  <c r="J71" i="1"/>
  <c r="K71" i="1"/>
  <c r="L71" i="1"/>
  <c r="M71" i="1"/>
  <c r="N71" i="1"/>
  <c r="E72" i="1"/>
  <c r="F72" i="1"/>
  <c r="G72" i="1"/>
  <c r="H72" i="1"/>
  <c r="I72" i="1"/>
  <c r="J72" i="1"/>
  <c r="K72" i="1"/>
  <c r="L72" i="1"/>
  <c r="M72" i="1"/>
  <c r="N72" i="1"/>
  <c r="E73" i="1"/>
  <c r="F73" i="1"/>
  <c r="G73" i="1"/>
  <c r="H73" i="1"/>
  <c r="I73" i="1"/>
  <c r="J73" i="1"/>
  <c r="K73" i="1"/>
  <c r="L73" i="1"/>
  <c r="M73" i="1"/>
  <c r="N73" i="1"/>
  <c r="E74" i="1"/>
  <c r="F74" i="1"/>
  <c r="G74" i="1"/>
  <c r="H74" i="1"/>
  <c r="I74" i="1"/>
  <c r="J74" i="1"/>
  <c r="K74" i="1"/>
  <c r="L74" i="1"/>
  <c r="M74" i="1"/>
  <c r="N74" i="1"/>
  <c r="E75" i="1"/>
  <c r="F75" i="1"/>
  <c r="G75" i="1"/>
  <c r="H75" i="1"/>
  <c r="I75" i="1"/>
  <c r="J75" i="1"/>
  <c r="K75" i="1"/>
  <c r="L75" i="1"/>
  <c r="M75" i="1"/>
  <c r="N75" i="1"/>
  <c r="E76" i="1"/>
  <c r="F76" i="1"/>
  <c r="G76" i="1"/>
  <c r="H76" i="1"/>
  <c r="I76" i="1"/>
  <c r="J76" i="1"/>
  <c r="K76" i="1"/>
  <c r="L76" i="1"/>
  <c r="M76" i="1"/>
  <c r="N76" i="1"/>
  <c r="E77" i="1"/>
  <c r="F77" i="1"/>
  <c r="G77" i="1"/>
  <c r="H77" i="1"/>
  <c r="I77" i="1"/>
  <c r="J77" i="1"/>
  <c r="K77" i="1"/>
  <c r="L77" i="1"/>
  <c r="M77" i="1"/>
  <c r="N77" i="1"/>
  <c r="E78" i="1"/>
  <c r="F78" i="1"/>
  <c r="G78" i="1"/>
  <c r="H78" i="1"/>
  <c r="I78" i="1"/>
  <c r="J78" i="1"/>
  <c r="K78" i="1"/>
  <c r="L78" i="1"/>
  <c r="M78" i="1"/>
  <c r="N78" i="1"/>
  <c r="E79" i="1"/>
  <c r="F79" i="1"/>
  <c r="G79" i="1"/>
  <c r="H79" i="1"/>
  <c r="I79" i="1"/>
  <c r="J79" i="1"/>
  <c r="K79" i="1"/>
  <c r="L79" i="1"/>
  <c r="M79" i="1"/>
  <c r="N79" i="1"/>
  <c r="E80" i="1"/>
  <c r="F80" i="1"/>
  <c r="G80" i="1"/>
  <c r="H80" i="1"/>
  <c r="I80" i="1"/>
  <c r="J80" i="1"/>
  <c r="K80" i="1"/>
  <c r="L80" i="1"/>
  <c r="M80" i="1"/>
  <c r="N80" i="1"/>
  <c r="E81" i="1"/>
  <c r="F81" i="1"/>
  <c r="G81" i="1"/>
  <c r="H81" i="1"/>
  <c r="I81" i="1"/>
  <c r="J81" i="1"/>
  <c r="K81" i="1"/>
  <c r="L81" i="1"/>
  <c r="M81" i="1"/>
  <c r="N81" i="1"/>
  <c r="E82" i="1"/>
  <c r="F82" i="1"/>
  <c r="G82" i="1"/>
  <c r="H82" i="1"/>
  <c r="I82" i="1"/>
  <c r="J82" i="1"/>
  <c r="K82" i="1"/>
  <c r="L82" i="1"/>
  <c r="M82" i="1"/>
  <c r="N82" i="1"/>
  <c r="E86" i="1"/>
  <c r="F86" i="1"/>
  <c r="G86" i="1"/>
  <c r="H86" i="1"/>
  <c r="I86" i="1"/>
  <c r="J86" i="1"/>
  <c r="K86" i="1"/>
  <c r="L86" i="1"/>
  <c r="M86" i="1"/>
  <c r="N86" i="1"/>
  <c r="E87" i="1"/>
  <c r="F87" i="1"/>
  <c r="G87" i="1"/>
  <c r="H87" i="1"/>
  <c r="I87" i="1"/>
  <c r="J87" i="1"/>
  <c r="K87" i="1"/>
  <c r="L87" i="1"/>
  <c r="M87" i="1"/>
  <c r="N87" i="1"/>
  <c r="E88" i="1"/>
  <c r="F88" i="1"/>
  <c r="G88" i="1"/>
  <c r="H88" i="1"/>
  <c r="I88" i="1"/>
  <c r="J88" i="1"/>
  <c r="K88" i="1"/>
  <c r="L88" i="1"/>
  <c r="M88" i="1"/>
  <c r="N88" i="1"/>
  <c r="E89" i="1"/>
  <c r="F89" i="1"/>
  <c r="G89" i="1"/>
  <c r="H89" i="1"/>
  <c r="I89" i="1"/>
  <c r="J89" i="1"/>
  <c r="K89" i="1"/>
  <c r="L89" i="1"/>
  <c r="M89" i="1"/>
  <c r="N89" i="1"/>
  <c r="E91" i="1"/>
  <c r="F91" i="1"/>
  <c r="G91" i="1"/>
  <c r="H91" i="1"/>
  <c r="I91" i="1"/>
  <c r="J91" i="1"/>
  <c r="K91" i="1"/>
  <c r="L91" i="1"/>
  <c r="M91" i="1"/>
  <c r="E92" i="1"/>
  <c r="F92" i="1"/>
  <c r="G92" i="1"/>
  <c r="H92" i="1"/>
  <c r="I92" i="1"/>
  <c r="J92" i="1"/>
  <c r="K92" i="1"/>
  <c r="L92" i="1"/>
  <c r="M92" i="1"/>
  <c r="E98" i="1"/>
  <c r="F98" i="1"/>
  <c r="G98" i="1"/>
  <c r="H98" i="1"/>
  <c r="I98" i="1"/>
  <c r="J98" i="1"/>
  <c r="K98" i="1"/>
  <c r="L98" i="1"/>
  <c r="M98" i="1"/>
  <c r="N98" i="1"/>
  <c r="E99" i="1"/>
  <c r="F99" i="1"/>
  <c r="G99" i="1"/>
  <c r="H99" i="1"/>
  <c r="I99" i="1"/>
  <c r="J99" i="1"/>
  <c r="K99" i="1"/>
  <c r="L99" i="1"/>
  <c r="M99" i="1"/>
  <c r="N99" i="1"/>
  <c r="E100" i="1"/>
  <c r="F100" i="1"/>
  <c r="G100" i="1"/>
  <c r="H100" i="1"/>
  <c r="I100" i="1"/>
  <c r="J100" i="1"/>
  <c r="K100" i="1"/>
  <c r="L100" i="1"/>
  <c r="M100" i="1"/>
  <c r="N100" i="1"/>
  <c r="E101" i="1"/>
  <c r="F101" i="1"/>
  <c r="G101" i="1"/>
  <c r="H101" i="1"/>
  <c r="I101" i="1"/>
  <c r="J101" i="1"/>
  <c r="K101" i="1"/>
  <c r="L101" i="1"/>
  <c r="M101" i="1"/>
  <c r="N101" i="1"/>
  <c r="E102" i="1"/>
  <c r="F102" i="1"/>
  <c r="G102" i="1"/>
  <c r="H102" i="1"/>
  <c r="I102" i="1"/>
  <c r="J102" i="1"/>
  <c r="K102" i="1"/>
  <c r="L102" i="1"/>
  <c r="M102" i="1"/>
  <c r="N102" i="1"/>
  <c r="E103" i="1"/>
  <c r="F103" i="1"/>
  <c r="G103" i="1"/>
  <c r="H103" i="1"/>
  <c r="I103" i="1"/>
  <c r="J103" i="1"/>
  <c r="K103" i="1"/>
  <c r="L103" i="1"/>
  <c r="M103" i="1"/>
  <c r="N103" i="1"/>
  <c r="E104" i="1"/>
  <c r="F104" i="1"/>
  <c r="G104" i="1"/>
  <c r="H104" i="1"/>
  <c r="I104" i="1"/>
  <c r="J104" i="1"/>
  <c r="K104" i="1"/>
  <c r="L104" i="1"/>
  <c r="M104" i="1"/>
  <c r="N104" i="1"/>
  <c r="E106" i="1"/>
  <c r="F106" i="1"/>
  <c r="G106" i="1"/>
  <c r="H106" i="1"/>
  <c r="I106" i="1"/>
  <c r="J106" i="1"/>
  <c r="K106" i="1"/>
  <c r="L106" i="1"/>
  <c r="M106" i="1"/>
  <c r="N106" i="1"/>
  <c r="E107" i="1"/>
  <c r="F107" i="1"/>
  <c r="G107" i="1"/>
  <c r="H107" i="1"/>
  <c r="I107" i="1"/>
  <c r="J107" i="1"/>
  <c r="K107" i="1"/>
  <c r="L107" i="1"/>
  <c r="M107" i="1"/>
  <c r="N107" i="1"/>
  <c r="E108" i="1"/>
  <c r="F108" i="1"/>
  <c r="G108" i="1"/>
  <c r="H108" i="1"/>
  <c r="I108" i="1"/>
  <c r="J108" i="1"/>
  <c r="K108" i="1"/>
  <c r="L108" i="1"/>
  <c r="M108" i="1"/>
  <c r="N108" i="1"/>
  <c r="E109" i="1"/>
  <c r="F109" i="1"/>
  <c r="G109" i="1"/>
  <c r="H109" i="1"/>
  <c r="I109" i="1"/>
  <c r="J109" i="1"/>
  <c r="K109" i="1"/>
  <c r="L109" i="1"/>
  <c r="M109" i="1"/>
  <c r="N109" i="1"/>
  <c r="E111" i="1"/>
  <c r="F111" i="1"/>
  <c r="G111" i="1"/>
  <c r="H111" i="1"/>
  <c r="I111" i="1"/>
  <c r="J111" i="1"/>
  <c r="K111" i="1"/>
  <c r="L111" i="1"/>
  <c r="M111" i="1"/>
  <c r="N111" i="1"/>
  <c r="E113" i="1"/>
  <c r="F113" i="1"/>
  <c r="G113" i="1"/>
  <c r="H113" i="1"/>
  <c r="I113" i="1"/>
  <c r="J113" i="1"/>
  <c r="K113" i="1"/>
  <c r="L113" i="1"/>
  <c r="M113" i="1"/>
  <c r="N113" i="1"/>
  <c r="E116" i="1"/>
  <c r="F116" i="1"/>
  <c r="G116" i="1"/>
  <c r="H116" i="1"/>
  <c r="I116" i="1"/>
  <c r="J116" i="1"/>
  <c r="K116" i="1"/>
  <c r="L116" i="1"/>
  <c r="M116" i="1"/>
  <c r="N116" i="1"/>
  <c r="E117" i="1"/>
  <c r="F117" i="1"/>
  <c r="G117" i="1"/>
  <c r="H117" i="1"/>
  <c r="I117" i="1"/>
  <c r="J117" i="1"/>
  <c r="K117" i="1"/>
  <c r="L117" i="1"/>
  <c r="M117" i="1"/>
  <c r="N117" i="1"/>
  <c r="E118" i="1"/>
  <c r="F118" i="1"/>
  <c r="G118" i="1"/>
  <c r="H118" i="1"/>
  <c r="I118" i="1"/>
  <c r="J118" i="1"/>
  <c r="K118" i="1"/>
  <c r="L118" i="1"/>
  <c r="M118" i="1"/>
  <c r="N118" i="1"/>
  <c r="E119" i="1"/>
  <c r="F119" i="1"/>
  <c r="G119" i="1"/>
  <c r="H119" i="1"/>
  <c r="I119" i="1"/>
  <c r="J119" i="1"/>
  <c r="K119" i="1"/>
  <c r="L119" i="1"/>
  <c r="M119" i="1"/>
  <c r="N119" i="1"/>
  <c r="E120" i="1"/>
  <c r="F120" i="1"/>
  <c r="G120" i="1"/>
  <c r="H120" i="1"/>
  <c r="I120" i="1"/>
  <c r="J120" i="1"/>
  <c r="K120" i="1"/>
  <c r="L120" i="1"/>
  <c r="M120" i="1"/>
  <c r="N120" i="1"/>
  <c r="E122" i="1"/>
  <c r="F122" i="1"/>
  <c r="G122" i="1"/>
  <c r="H122" i="1"/>
  <c r="I122" i="1"/>
  <c r="J122" i="1"/>
  <c r="K122" i="1"/>
  <c r="L122" i="1"/>
  <c r="M122" i="1"/>
  <c r="N122" i="1"/>
  <c r="E123" i="1"/>
  <c r="F123" i="1"/>
  <c r="G123" i="1"/>
  <c r="H123" i="1"/>
  <c r="I123" i="1"/>
  <c r="J123" i="1"/>
  <c r="K123" i="1"/>
  <c r="L123" i="1"/>
  <c r="M123" i="1"/>
  <c r="N123" i="1"/>
  <c r="E124" i="1"/>
  <c r="F124" i="1"/>
  <c r="G124" i="1"/>
  <c r="H124" i="1"/>
  <c r="I124" i="1"/>
  <c r="J124" i="1"/>
  <c r="K124" i="1"/>
  <c r="L124" i="1"/>
  <c r="M124" i="1"/>
  <c r="N124" i="1"/>
  <c r="E125" i="1"/>
  <c r="F125" i="1"/>
  <c r="G125" i="1"/>
  <c r="H125" i="1"/>
  <c r="I125" i="1"/>
  <c r="J125" i="1"/>
  <c r="K125" i="1"/>
  <c r="L125" i="1"/>
  <c r="M125" i="1"/>
  <c r="N125" i="1"/>
  <c r="E126" i="1"/>
  <c r="F126" i="1"/>
  <c r="G126" i="1"/>
  <c r="H126" i="1"/>
  <c r="I126" i="1"/>
  <c r="J126" i="1"/>
  <c r="K126" i="1"/>
  <c r="L126" i="1"/>
  <c r="M126" i="1"/>
  <c r="N126" i="1"/>
  <c r="E127" i="1"/>
  <c r="F127" i="1"/>
  <c r="G127" i="1"/>
  <c r="H127" i="1"/>
  <c r="I127" i="1"/>
  <c r="J127" i="1"/>
  <c r="K127" i="1"/>
  <c r="L127" i="1"/>
  <c r="M127" i="1"/>
  <c r="N127" i="1"/>
  <c r="E128" i="1"/>
  <c r="F128" i="1"/>
  <c r="G128" i="1"/>
  <c r="H128" i="1"/>
  <c r="I128" i="1"/>
  <c r="J128" i="1"/>
  <c r="K128" i="1"/>
  <c r="L128" i="1"/>
  <c r="M128" i="1"/>
  <c r="N128" i="1"/>
  <c r="E129" i="1"/>
  <c r="F129" i="1"/>
  <c r="G129" i="1"/>
  <c r="H129" i="1"/>
  <c r="I129" i="1"/>
  <c r="J129" i="1"/>
  <c r="K129" i="1"/>
  <c r="L129" i="1"/>
  <c r="M129" i="1"/>
  <c r="N129" i="1"/>
  <c r="E130" i="1"/>
  <c r="F130" i="1"/>
  <c r="G130" i="1"/>
  <c r="H130" i="1"/>
  <c r="I130" i="1"/>
  <c r="J130" i="1"/>
  <c r="K130" i="1"/>
  <c r="L130" i="1"/>
  <c r="M130" i="1"/>
  <c r="N130" i="1"/>
  <c r="E131" i="1"/>
  <c r="F131" i="1"/>
  <c r="G131" i="1"/>
  <c r="H131" i="1"/>
  <c r="I131" i="1"/>
  <c r="J131" i="1"/>
  <c r="K131" i="1"/>
  <c r="L131" i="1"/>
  <c r="M131" i="1"/>
  <c r="N131" i="1"/>
  <c r="E132" i="1"/>
  <c r="F132" i="1"/>
  <c r="G132" i="1"/>
  <c r="H132" i="1"/>
  <c r="I132" i="1"/>
  <c r="J132" i="1"/>
  <c r="K132" i="1"/>
  <c r="L132" i="1"/>
  <c r="M132" i="1"/>
  <c r="N132" i="1"/>
  <c r="E134" i="1"/>
  <c r="F134" i="1"/>
  <c r="G134" i="1"/>
  <c r="H134" i="1"/>
  <c r="I134" i="1"/>
  <c r="J134" i="1"/>
  <c r="K134" i="1"/>
  <c r="L134" i="1"/>
  <c r="M134" i="1"/>
  <c r="N134" i="1"/>
  <c r="E135" i="1"/>
  <c r="F135" i="1"/>
  <c r="G135" i="1"/>
  <c r="H135" i="1"/>
  <c r="I135" i="1"/>
  <c r="J135" i="1"/>
  <c r="K135" i="1"/>
  <c r="L135" i="1"/>
  <c r="M135" i="1"/>
  <c r="N135" i="1"/>
  <c r="E136" i="1"/>
  <c r="F136" i="1"/>
  <c r="G136" i="1"/>
  <c r="H136" i="1"/>
  <c r="I136" i="1"/>
  <c r="J136" i="1"/>
  <c r="K136" i="1"/>
  <c r="L136" i="1"/>
  <c r="M136" i="1"/>
  <c r="N136" i="1"/>
  <c r="E137" i="1"/>
  <c r="F137" i="1"/>
  <c r="G137" i="1"/>
  <c r="H137" i="1"/>
  <c r="I137" i="1"/>
  <c r="J137" i="1"/>
  <c r="K137" i="1"/>
  <c r="L137" i="1"/>
  <c r="M137" i="1"/>
  <c r="N137" i="1"/>
  <c r="E138" i="1"/>
  <c r="F138" i="1"/>
  <c r="G138" i="1"/>
  <c r="H138" i="1"/>
  <c r="I138" i="1"/>
  <c r="J138" i="1"/>
  <c r="K138" i="1"/>
  <c r="L138" i="1"/>
  <c r="M138" i="1"/>
  <c r="N138" i="1"/>
  <c r="E149" i="1"/>
  <c r="F149" i="1"/>
  <c r="G149" i="1"/>
  <c r="H149" i="1"/>
  <c r="I149" i="1"/>
  <c r="J149" i="1"/>
  <c r="K149" i="1"/>
  <c r="L149" i="1"/>
  <c r="M149" i="1"/>
  <c r="N149" i="1"/>
  <c r="E150" i="1"/>
  <c r="F150" i="1"/>
  <c r="G150" i="1"/>
  <c r="H150" i="1"/>
  <c r="I150" i="1"/>
  <c r="J150" i="1"/>
  <c r="K150" i="1"/>
  <c r="L150" i="1"/>
  <c r="M150" i="1"/>
  <c r="N150" i="1"/>
  <c r="E153" i="1"/>
  <c r="F153" i="1"/>
  <c r="G153" i="1"/>
  <c r="H153" i="1"/>
  <c r="I153" i="1"/>
  <c r="J153" i="1"/>
  <c r="K153" i="1"/>
  <c r="L153" i="1"/>
  <c r="M153" i="1"/>
  <c r="N153" i="1"/>
  <c r="E157" i="1"/>
  <c r="F157" i="1"/>
  <c r="G157" i="1"/>
  <c r="H157" i="1"/>
  <c r="I157" i="1"/>
  <c r="J157" i="1"/>
  <c r="K157" i="1"/>
  <c r="L157" i="1"/>
  <c r="M157" i="1"/>
  <c r="N157" i="1"/>
  <c r="E158" i="1"/>
  <c r="F158" i="1"/>
  <c r="G158" i="1"/>
  <c r="H158" i="1"/>
  <c r="I158" i="1"/>
  <c r="J158" i="1"/>
  <c r="K158" i="1"/>
  <c r="L158" i="1"/>
  <c r="M158" i="1"/>
  <c r="N158" i="1"/>
  <c r="E164" i="1"/>
  <c r="F164" i="1"/>
  <c r="G164" i="1"/>
  <c r="H164" i="1"/>
  <c r="I164" i="1"/>
  <c r="J164" i="1"/>
  <c r="K164" i="1"/>
  <c r="L164" i="1"/>
  <c r="M164" i="1"/>
  <c r="N164" i="1"/>
  <c r="E165" i="1"/>
  <c r="F165" i="1"/>
  <c r="G165" i="1"/>
  <c r="H165" i="1"/>
  <c r="I165" i="1"/>
  <c r="J165" i="1"/>
  <c r="K165" i="1"/>
  <c r="L165" i="1"/>
  <c r="M165" i="1"/>
  <c r="N165" i="1"/>
  <c r="E166" i="1"/>
  <c r="F166" i="1"/>
  <c r="G166" i="1"/>
  <c r="H166" i="1"/>
  <c r="I166" i="1"/>
  <c r="J166" i="1"/>
  <c r="K166" i="1"/>
  <c r="L166" i="1"/>
  <c r="M166" i="1"/>
  <c r="N166" i="1"/>
  <c r="E168" i="1"/>
  <c r="F168" i="1"/>
  <c r="G168" i="1"/>
  <c r="H168" i="1"/>
  <c r="I168" i="1"/>
  <c r="J168" i="1"/>
  <c r="K168" i="1"/>
  <c r="L168" i="1"/>
  <c r="M168" i="1"/>
  <c r="N168" i="1"/>
  <c r="E173" i="1"/>
  <c r="F173" i="1"/>
  <c r="G173" i="1"/>
  <c r="H173" i="1"/>
  <c r="I173" i="1"/>
  <c r="J173" i="1"/>
  <c r="K173" i="1"/>
  <c r="L173" i="1"/>
  <c r="M173" i="1"/>
  <c r="N173" i="1"/>
  <c r="E178" i="1"/>
  <c r="F178" i="1"/>
  <c r="G178" i="1"/>
  <c r="H178" i="1"/>
  <c r="I178" i="1"/>
  <c r="J178" i="1"/>
  <c r="K178" i="1"/>
  <c r="L178" i="1"/>
  <c r="M178" i="1"/>
  <c r="N178" i="1"/>
  <c r="E179" i="1"/>
  <c r="F179" i="1"/>
  <c r="G179" i="1"/>
  <c r="H179" i="1"/>
  <c r="I179" i="1"/>
  <c r="J179" i="1"/>
  <c r="K179" i="1"/>
  <c r="L179" i="1"/>
  <c r="M179" i="1"/>
  <c r="N179" i="1"/>
  <c r="E180" i="1"/>
  <c r="F180" i="1"/>
  <c r="G180" i="1"/>
  <c r="H180" i="1"/>
  <c r="I180" i="1"/>
  <c r="J180" i="1"/>
  <c r="K180" i="1"/>
  <c r="L180" i="1"/>
  <c r="M180" i="1"/>
  <c r="N180" i="1"/>
  <c r="E181" i="1"/>
  <c r="F181" i="1"/>
  <c r="G181" i="1"/>
  <c r="H181" i="1"/>
  <c r="I181" i="1"/>
  <c r="J181" i="1"/>
  <c r="K181" i="1"/>
  <c r="L181" i="1"/>
  <c r="M181" i="1"/>
  <c r="N181" i="1"/>
  <c r="E182" i="1"/>
  <c r="F182" i="1"/>
  <c r="G182" i="1"/>
  <c r="H182" i="1"/>
  <c r="I182" i="1"/>
  <c r="J182" i="1"/>
  <c r="K182" i="1"/>
  <c r="L182" i="1"/>
  <c r="M182" i="1"/>
  <c r="N182" i="1"/>
  <c r="E183" i="1"/>
  <c r="F183" i="1"/>
  <c r="G183" i="1"/>
  <c r="H183" i="1"/>
  <c r="I183" i="1"/>
  <c r="J183" i="1"/>
  <c r="K183" i="1"/>
  <c r="L183" i="1"/>
  <c r="M183" i="1"/>
  <c r="N183" i="1"/>
  <c r="E184" i="1"/>
  <c r="F184" i="1"/>
  <c r="G184" i="1"/>
  <c r="H184" i="1"/>
  <c r="I184" i="1"/>
  <c r="J184" i="1"/>
  <c r="K184" i="1"/>
  <c r="L184" i="1"/>
  <c r="M184" i="1"/>
  <c r="N184" i="1"/>
  <c r="E185" i="1"/>
  <c r="F185" i="1"/>
  <c r="G185" i="1"/>
  <c r="H185" i="1"/>
  <c r="I185" i="1"/>
  <c r="J185" i="1"/>
  <c r="K185" i="1"/>
  <c r="L185" i="1"/>
  <c r="M185" i="1"/>
  <c r="N185" i="1"/>
  <c r="E186" i="1"/>
  <c r="F186" i="1"/>
  <c r="G186" i="1"/>
  <c r="H186" i="1"/>
  <c r="I186" i="1"/>
  <c r="J186" i="1"/>
  <c r="K186" i="1"/>
  <c r="L186" i="1"/>
  <c r="M186" i="1"/>
  <c r="N186" i="1"/>
  <c r="E187" i="1"/>
  <c r="F187" i="1"/>
  <c r="G187" i="1"/>
  <c r="H187" i="1"/>
  <c r="I187" i="1"/>
  <c r="J187" i="1"/>
  <c r="K187" i="1"/>
  <c r="L187" i="1"/>
  <c r="M187" i="1"/>
  <c r="N187" i="1"/>
  <c r="E188" i="1"/>
  <c r="F188" i="1"/>
  <c r="G188" i="1"/>
  <c r="H188" i="1"/>
  <c r="I188" i="1"/>
  <c r="J188" i="1"/>
  <c r="K188" i="1"/>
  <c r="L188" i="1"/>
  <c r="M188" i="1"/>
  <c r="N188" i="1"/>
  <c r="E189" i="1"/>
  <c r="F189" i="1"/>
  <c r="G189" i="1"/>
  <c r="H189" i="1"/>
  <c r="I189" i="1"/>
  <c r="J189" i="1"/>
  <c r="K189" i="1"/>
  <c r="L189" i="1"/>
  <c r="M189" i="1"/>
  <c r="N189" i="1"/>
  <c r="E190" i="1"/>
  <c r="F190" i="1"/>
  <c r="G190" i="1"/>
  <c r="H190" i="1"/>
  <c r="I190" i="1"/>
  <c r="J190" i="1"/>
  <c r="K190" i="1"/>
  <c r="L190" i="1"/>
  <c r="M190" i="1"/>
  <c r="N190" i="1"/>
  <c r="E191" i="1"/>
  <c r="F191" i="1"/>
  <c r="G191" i="1"/>
  <c r="H191" i="1"/>
  <c r="I191" i="1"/>
  <c r="J191" i="1"/>
  <c r="K191" i="1"/>
  <c r="L191" i="1"/>
  <c r="M191" i="1"/>
  <c r="N191" i="1"/>
  <c r="E192" i="1"/>
  <c r="F192" i="1"/>
  <c r="G192" i="1"/>
  <c r="H192" i="1"/>
  <c r="I192" i="1"/>
  <c r="J192" i="1"/>
  <c r="K192" i="1"/>
  <c r="L192" i="1"/>
  <c r="M192" i="1"/>
  <c r="N192" i="1"/>
  <c r="E193" i="1"/>
  <c r="F193" i="1"/>
  <c r="G193" i="1"/>
  <c r="H193" i="1"/>
  <c r="I193" i="1"/>
  <c r="J193" i="1"/>
  <c r="K193" i="1"/>
  <c r="L193" i="1"/>
  <c r="M193" i="1"/>
  <c r="N193" i="1"/>
  <c r="E194" i="1"/>
  <c r="F194" i="1"/>
  <c r="G194" i="1"/>
  <c r="H194" i="1"/>
  <c r="I194" i="1"/>
  <c r="J194" i="1"/>
  <c r="K194" i="1"/>
  <c r="L194" i="1"/>
  <c r="M194" i="1"/>
  <c r="N194" i="1"/>
  <c r="E195" i="1"/>
  <c r="F195" i="1"/>
  <c r="G195" i="1"/>
  <c r="H195" i="1"/>
  <c r="I195" i="1"/>
  <c r="J195" i="1"/>
  <c r="K195" i="1"/>
  <c r="L195" i="1"/>
  <c r="M195" i="1"/>
  <c r="N195" i="1"/>
  <c r="E196" i="1"/>
  <c r="F196" i="1"/>
  <c r="G196" i="1"/>
  <c r="H196" i="1"/>
  <c r="I196" i="1"/>
  <c r="J196" i="1"/>
  <c r="K196" i="1"/>
  <c r="L196" i="1"/>
  <c r="M196" i="1"/>
  <c r="N196" i="1"/>
  <c r="E197" i="1"/>
  <c r="F197" i="1"/>
  <c r="G197" i="1"/>
  <c r="H197" i="1"/>
  <c r="I197" i="1"/>
  <c r="J197" i="1"/>
  <c r="K197" i="1"/>
  <c r="L197" i="1"/>
  <c r="M197" i="1"/>
  <c r="N197" i="1"/>
  <c r="E198" i="1"/>
  <c r="F198" i="1"/>
  <c r="G198" i="1"/>
  <c r="H198" i="1"/>
  <c r="I198" i="1"/>
  <c r="J198" i="1"/>
  <c r="K198" i="1"/>
  <c r="L198" i="1"/>
  <c r="M198" i="1"/>
  <c r="N198" i="1"/>
  <c r="E199" i="1"/>
  <c r="F199" i="1"/>
  <c r="G199" i="1"/>
  <c r="H199" i="1"/>
  <c r="I199" i="1"/>
  <c r="J199" i="1"/>
  <c r="K199" i="1"/>
  <c r="L199" i="1"/>
  <c r="M199" i="1"/>
  <c r="N199" i="1"/>
  <c r="E200" i="1"/>
  <c r="F200" i="1"/>
  <c r="G200" i="1"/>
  <c r="H200" i="1"/>
  <c r="I200" i="1"/>
  <c r="J200" i="1"/>
  <c r="K200" i="1"/>
  <c r="L200" i="1"/>
  <c r="M200" i="1"/>
  <c r="N200" i="1"/>
  <c r="E201" i="1"/>
  <c r="F201" i="1"/>
  <c r="G201" i="1"/>
  <c r="H201" i="1"/>
  <c r="I201" i="1"/>
  <c r="J201" i="1"/>
  <c r="K201" i="1"/>
  <c r="L201" i="1"/>
  <c r="M201" i="1"/>
  <c r="N201" i="1"/>
  <c r="E202" i="1"/>
  <c r="F202" i="1"/>
  <c r="G202" i="1"/>
  <c r="H202" i="1"/>
  <c r="I202" i="1"/>
  <c r="J202" i="1"/>
  <c r="K202" i="1"/>
  <c r="L202" i="1"/>
  <c r="M202" i="1"/>
  <c r="N202" i="1"/>
  <c r="E203" i="1"/>
  <c r="F203" i="1"/>
  <c r="G203" i="1"/>
  <c r="H203" i="1"/>
  <c r="I203" i="1"/>
  <c r="J203" i="1"/>
  <c r="K203" i="1"/>
  <c r="L203" i="1"/>
  <c r="M203" i="1"/>
  <c r="N203" i="1"/>
  <c r="E204" i="1"/>
  <c r="F204" i="1"/>
  <c r="G204" i="1"/>
  <c r="H204" i="1"/>
  <c r="I204" i="1"/>
  <c r="J204" i="1"/>
  <c r="K204" i="1"/>
  <c r="L204" i="1"/>
  <c r="M204" i="1"/>
  <c r="N204" i="1"/>
  <c r="E205" i="1"/>
  <c r="F205" i="1"/>
  <c r="G205" i="1"/>
  <c r="H205" i="1"/>
  <c r="I205" i="1"/>
  <c r="J205" i="1"/>
  <c r="K205" i="1"/>
  <c r="L205" i="1"/>
  <c r="M205" i="1"/>
  <c r="N205" i="1"/>
  <c r="E206" i="1"/>
  <c r="F206" i="1"/>
  <c r="G206" i="1"/>
  <c r="H206" i="1"/>
  <c r="I206" i="1"/>
  <c r="J206" i="1"/>
  <c r="K206" i="1"/>
  <c r="L206" i="1"/>
  <c r="M206" i="1"/>
  <c r="N206" i="1"/>
  <c r="E208" i="1"/>
  <c r="F208" i="1"/>
  <c r="G208" i="1"/>
  <c r="H208" i="1"/>
  <c r="I208" i="1"/>
  <c r="J208" i="1"/>
  <c r="K208" i="1"/>
  <c r="L208" i="1"/>
  <c r="M208" i="1"/>
  <c r="N208" i="1"/>
  <c r="E209" i="1"/>
  <c r="F209" i="1"/>
  <c r="G209" i="1"/>
  <c r="H209" i="1"/>
  <c r="I209" i="1"/>
  <c r="J209" i="1"/>
  <c r="K209" i="1"/>
  <c r="L209" i="1"/>
  <c r="M209" i="1"/>
  <c r="N209" i="1"/>
  <c r="E210" i="1"/>
  <c r="F210" i="1"/>
  <c r="G210" i="1"/>
  <c r="H210" i="1"/>
  <c r="I210" i="1"/>
  <c r="J210" i="1"/>
  <c r="K210" i="1"/>
  <c r="L210" i="1"/>
  <c r="M210" i="1"/>
  <c r="N210" i="1"/>
  <c r="E211" i="1"/>
  <c r="F211" i="1"/>
  <c r="G211" i="1"/>
  <c r="H211" i="1"/>
  <c r="I211" i="1"/>
  <c r="J211" i="1"/>
  <c r="K211" i="1"/>
  <c r="L211" i="1"/>
  <c r="M211" i="1"/>
  <c r="N211" i="1"/>
  <c r="E212" i="1"/>
  <c r="F212" i="1"/>
  <c r="G212" i="1"/>
  <c r="H212" i="1"/>
  <c r="I212" i="1"/>
  <c r="J212" i="1"/>
  <c r="K212" i="1"/>
  <c r="L212" i="1"/>
  <c r="M212" i="1"/>
  <c r="N212" i="1"/>
  <c r="E213" i="1"/>
  <c r="F213" i="1"/>
  <c r="G213" i="1"/>
  <c r="H213" i="1"/>
  <c r="I213" i="1"/>
  <c r="J213" i="1"/>
  <c r="K213" i="1"/>
  <c r="L213" i="1"/>
  <c r="M213" i="1"/>
  <c r="N213" i="1"/>
  <c r="E214" i="1"/>
  <c r="F214" i="1"/>
  <c r="G214" i="1"/>
  <c r="H214" i="1"/>
  <c r="I214" i="1"/>
  <c r="J214" i="1"/>
  <c r="K214" i="1"/>
  <c r="L214" i="1"/>
  <c r="M214" i="1"/>
  <c r="N214" i="1"/>
  <c r="E222" i="1"/>
  <c r="F222" i="1"/>
  <c r="G222" i="1"/>
  <c r="H222" i="1"/>
  <c r="I222" i="1"/>
  <c r="J222" i="1"/>
  <c r="K222" i="1"/>
  <c r="L222" i="1"/>
  <c r="M222" i="1"/>
  <c r="N222" i="1"/>
  <c r="E223" i="1"/>
  <c r="F223" i="1"/>
  <c r="G223" i="1"/>
  <c r="H223" i="1"/>
  <c r="I223" i="1"/>
  <c r="J223" i="1"/>
  <c r="K223" i="1"/>
  <c r="L223" i="1"/>
  <c r="M223" i="1"/>
  <c r="N223" i="1"/>
  <c r="E224" i="1"/>
  <c r="F224" i="1"/>
  <c r="G224" i="1"/>
  <c r="H224" i="1"/>
  <c r="I224" i="1"/>
  <c r="J224" i="1"/>
  <c r="K224" i="1"/>
  <c r="L224" i="1"/>
  <c r="M224" i="1"/>
  <c r="N224" i="1"/>
  <c r="E226" i="1"/>
  <c r="F226" i="1"/>
  <c r="G226" i="1"/>
  <c r="H226" i="1"/>
  <c r="I226" i="1"/>
  <c r="J226" i="1"/>
  <c r="K226" i="1"/>
  <c r="L226" i="1"/>
  <c r="M226" i="1"/>
  <c r="N226" i="1"/>
  <c r="E227" i="1"/>
  <c r="F227" i="1"/>
  <c r="G227" i="1"/>
  <c r="H227" i="1"/>
  <c r="I227" i="1"/>
  <c r="J227" i="1"/>
  <c r="K227" i="1"/>
  <c r="L227" i="1"/>
  <c r="M227" i="1"/>
  <c r="N227" i="1"/>
  <c r="E228" i="1"/>
  <c r="F228" i="1"/>
  <c r="G228" i="1"/>
  <c r="H228" i="1"/>
  <c r="I228" i="1"/>
  <c r="J228" i="1"/>
  <c r="K228" i="1"/>
  <c r="L228" i="1"/>
  <c r="M228" i="1"/>
  <c r="N228" i="1"/>
  <c r="E229" i="1"/>
  <c r="F229" i="1"/>
  <c r="G229" i="1"/>
  <c r="H229" i="1"/>
  <c r="I229" i="1"/>
  <c r="J229" i="1"/>
  <c r="K229" i="1"/>
  <c r="L229" i="1"/>
  <c r="M229" i="1"/>
  <c r="N229" i="1"/>
  <c r="E230" i="1"/>
  <c r="F230" i="1"/>
  <c r="G230" i="1"/>
  <c r="H230" i="1"/>
  <c r="I230" i="1"/>
  <c r="J230" i="1"/>
  <c r="K230" i="1"/>
  <c r="L230" i="1"/>
  <c r="M230" i="1"/>
  <c r="N230" i="1"/>
  <c r="E231" i="1"/>
  <c r="F231" i="1"/>
  <c r="G231" i="1"/>
  <c r="H231" i="1"/>
  <c r="I231" i="1"/>
  <c r="J231" i="1"/>
  <c r="K231" i="1"/>
  <c r="L231" i="1"/>
  <c r="M231" i="1"/>
  <c r="N231" i="1"/>
  <c r="E232" i="1"/>
  <c r="F232" i="1"/>
  <c r="G232" i="1"/>
  <c r="H232" i="1"/>
  <c r="I232" i="1"/>
  <c r="J232" i="1"/>
  <c r="K232" i="1"/>
  <c r="L232" i="1"/>
  <c r="M232" i="1"/>
  <c r="N232" i="1"/>
  <c r="E233" i="1"/>
  <c r="F233" i="1"/>
  <c r="G233" i="1"/>
  <c r="H233" i="1"/>
  <c r="I233" i="1"/>
  <c r="J233" i="1"/>
  <c r="K233" i="1"/>
  <c r="L233" i="1"/>
  <c r="M233" i="1"/>
  <c r="N233" i="1"/>
  <c r="E234" i="1"/>
  <c r="F234" i="1"/>
  <c r="G234" i="1"/>
  <c r="H234" i="1"/>
  <c r="I234" i="1"/>
  <c r="J234" i="1"/>
  <c r="K234" i="1"/>
  <c r="L234" i="1"/>
  <c r="M234" i="1"/>
  <c r="N234" i="1"/>
  <c r="E235" i="1"/>
  <c r="F235" i="1"/>
  <c r="G235" i="1"/>
  <c r="H235" i="1"/>
  <c r="I235" i="1"/>
  <c r="J235" i="1"/>
  <c r="K235" i="1"/>
  <c r="L235" i="1"/>
  <c r="M235" i="1"/>
  <c r="N235" i="1"/>
  <c r="E236" i="1"/>
  <c r="F236" i="1"/>
  <c r="G236" i="1"/>
  <c r="H236" i="1"/>
  <c r="I236" i="1"/>
  <c r="J236" i="1"/>
  <c r="K236" i="1"/>
  <c r="L236" i="1"/>
  <c r="M236" i="1"/>
  <c r="N236" i="1"/>
  <c r="E237" i="1"/>
  <c r="F237" i="1"/>
  <c r="G237" i="1"/>
  <c r="H237" i="1"/>
  <c r="I237" i="1"/>
  <c r="J237" i="1"/>
  <c r="K237" i="1"/>
  <c r="L237" i="1"/>
  <c r="M237" i="1"/>
  <c r="N237" i="1"/>
  <c r="E238" i="1"/>
  <c r="F238" i="1"/>
  <c r="G238" i="1"/>
  <c r="H238" i="1"/>
  <c r="I238" i="1"/>
  <c r="J238" i="1"/>
  <c r="K238" i="1"/>
  <c r="L238" i="1"/>
  <c r="M238" i="1"/>
  <c r="N238" i="1"/>
  <c r="E239" i="1"/>
  <c r="F239" i="1"/>
  <c r="G239" i="1"/>
  <c r="H239" i="1"/>
  <c r="I239" i="1"/>
  <c r="J239" i="1"/>
  <c r="K239" i="1"/>
  <c r="L239" i="1"/>
  <c r="M239" i="1"/>
  <c r="N239" i="1"/>
  <c r="E240" i="1"/>
  <c r="F240" i="1"/>
  <c r="G240" i="1"/>
  <c r="H240" i="1"/>
  <c r="I240" i="1"/>
  <c r="J240" i="1"/>
  <c r="K240" i="1"/>
  <c r="L240" i="1"/>
  <c r="M240" i="1"/>
  <c r="N240" i="1"/>
  <c r="E241" i="1"/>
  <c r="F241" i="1"/>
  <c r="G241" i="1"/>
  <c r="H241" i="1"/>
  <c r="I241" i="1"/>
  <c r="J241" i="1"/>
  <c r="K241" i="1"/>
  <c r="L241" i="1"/>
  <c r="M241" i="1"/>
  <c r="N241" i="1"/>
  <c r="E242" i="1"/>
  <c r="F242" i="1"/>
  <c r="G242" i="1"/>
  <c r="H242" i="1"/>
  <c r="I242" i="1"/>
  <c r="J242" i="1"/>
  <c r="K242" i="1"/>
  <c r="L242" i="1"/>
  <c r="M242" i="1"/>
  <c r="N242" i="1"/>
  <c r="E243" i="1"/>
  <c r="F243" i="1"/>
  <c r="G243" i="1"/>
  <c r="H243" i="1"/>
  <c r="I243" i="1"/>
  <c r="J243" i="1"/>
  <c r="K243" i="1"/>
  <c r="L243" i="1"/>
  <c r="M243" i="1"/>
  <c r="N243" i="1"/>
  <c r="E244" i="1"/>
  <c r="F244" i="1"/>
  <c r="G244" i="1"/>
  <c r="H244" i="1"/>
  <c r="I244" i="1"/>
  <c r="J244" i="1"/>
  <c r="K244" i="1"/>
  <c r="L244" i="1"/>
  <c r="M244" i="1"/>
  <c r="N244" i="1"/>
  <c r="E245" i="1"/>
  <c r="F245" i="1"/>
  <c r="G245" i="1"/>
  <c r="H245" i="1"/>
  <c r="I245" i="1"/>
  <c r="J245" i="1"/>
  <c r="K245" i="1"/>
  <c r="L245" i="1"/>
  <c r="M245" i="1"/>
  <c r="N245" i="1"/>
  <c r="E246" i="1"/>
  <c r="F246" i="1"/>
  <c r="G246" i="1"/>
  <c r="H246" i="1"/>
  <c r="I246" i="1"/>
  <c r="J246" i="1"/>
  <c r="K246" i="1"/>
  <c r="L246" i="1"/>
  <c r="M246" i="1"/>
  <c r="N246" i="1"/>
  <c r="E247" i="1"/>
  <c r="F247" i="1"/>
  <c r="G247" i="1"/>
  <c r="H247" i="1"/>
  <c r="I247" i="1"/>
  <c r="J247" i="1"/>
  <c r="K247" i="1"/>
  <c r="L247" i="1"/>
  <c r="M247" i="1"/>
  <c r="N247" i="1"/>
  <c r="E248" i="1"/>
  <c r="F248" i="1"/>
  <c r="G248" i="1"/>
  <c r="H248" i="1"/>
  <c r="I248" i="1"/>
  <c r="J248" i="1"/>
  <c r="K248" i="1"/>
  <c r="L248" i="1"/>
  <c r="M248" i="1"/>
  <c r="N248" i="1"/>
  <c r="E249" i="1"/>
  <c r="F249" i="1"/>
  <c r="G249" i="1"/>
  <c r="H249" i="1"/>
  <c r="I249" i="1"/>
  <c r="J249" i="1"/>
  <c r="K249" i="1"/>
  <c r="L249" i="1"/>
  <c r="M249" i="1"/>
  <c r="N249" i="1"/>
  <c r="E250" i="1"/>
  <c r="F250" i="1"/>
  <c r="G250" i="1"/>
  <c r="H250" i="1"/>
  <c r="I250" i="1"/>
  <c r="J250" i="1"/>
  <c r="K250" i="1"/>
  <c r="L250" i="1"/>
  <c r="M250" i="1"/>
  <c r="N250" i="1"/>
  <c r="E251" i="1"/>
  <c r="F251" i="1"/>
  <c r="G251" i="1"/>
  <c r="H251" i="1"/>
  <c r="I251" i="1"/>
  <c r="J251" i="1"/>
  <c r="K251" i="1"/>
  <c r="L251" i="1"/>
  <c r="M251" i="1"/>
  <c r="N251" i="1"/>
  <c r="E252" i="1"/>
  <c r="F252" i="1"/>
  <c r="G252" i="1"/>
  <c r="H252" i="1"/>
  <c r="I252" i="1"/>
  <c r="J252" i="1"/>
  <c r="K252" i="1"/>
  <c r="L252" i="1"/>
  <c r="M252" i="1"/>
  <c r="N252" i="1"/>
  <c r="E253" i="1"/>
  <c r="F253" i="1"/>
  <c r="G253" i="1"/>
  <c r="H253" i="1"/>
  <c r="I253" i="1"/>
  <c r="J253" i="1"/>
  <c r="K253" i="1"/>
  <c r="L253" i="1"/>
  <c r="M253" i="1"/>
  <c r="N253" i="1"/>
  <c r="E254" i="1"/>
  <c r="F254" i="1"/>
  <c r="G254" i="1"/>
  <c r="H254" i="1"/>
  <c r="I254" i="1"/>
  <c r="J254" i="1"/>
  <c r="K254" i="1"/>
  <c r="L254" i="1"/>
  <c r="M254" i="1"/>
  <c r="N254" i="1"/>
  <c r="E255" i="1"/>
  <c r="F255" i="1"/>
  <c r="G255" i="1"/>
  <c r="H255" i="1"/>
  <c r="I255" i="1"/>
  <c r="J255" i="1"/>
  <c r="K255" i="1"/>
  <c r="L255" i="1"/>
  <c r="M255" i="1"/>
  <c r="N255" i="1"/>
  <c r="E256" i="1"/>
  <c r="F256" i="1"/>
  <c r="G256" i="1"/>
  <c r="H256" i="1"/>
  <c r="I256" i="1"/>
  <c r="J256" i="1"/>
  <c r="K256" i="1"/>
  <c r="L256" i="1"/>
  <c r="M256" i="1"/>
  <c r="N256" i="1"/>
  <c r="E257" i="1"/>
  <c r="F257" i="1"/>
  <c r="G257" i="1"/>
  <c r="H257" i="1"/>
  <c r="I257" i="1"/>
  <c r="J257" i="1"/>
  <c r="K257" i="1"/>
  <c r="L257" i="1"/>
  <c r="M257" i="1"/>
  <c r="N257" i="1"/>
  <c r="E258" i="1"/>
  <c r="F258" i="1"/>
  <c r="G258" i="1"/>
  <c r="H258" i="1"/>
  <c r="I258" i="1"/>
  <c r="J258" i="1"/>
  <c r="K258" i="1"/>
  <c r="L258" i="1"/>
  <c r="M258" i="1"/>
  <c r="N258" i="1"/>
  <c r="E259" i="1"/>
  <c r="F259" i="1"/>
  <c r="G259" i="1"/>
  <c r="H259" i="1"/>
  <c r="I259" i="1"/>
  <c r="J259" i="1"/>
  <c r="K259" i="1"/>
  <c r="L259" i="1"/>
  <c r="M259" i="1"/>
  <c r="N259" i="1"/>
  <c r="E260" i="1"/>
  <c r="F260" i="1"/>
  <c r="G260" i="1"/>
  <c r="H260" i="1"/>
  <c r="I260" i="1"/>
  <c r="J260" i="1"/>
  <c r="K260" i="1"/>
  <c r="L260" i="1"/>
  <c r="M260" i="1"/>
  <c r="N260" i="1"/>
  <c r="E261" i="1"/>
  <c r="F261" i="1"/>
  <c r="G261" i="1"/>
  <c r="H261" i="1"/>
  <c r="I261" i="1"/>
  <c r="J261" i="1"/>
  <c r="K261" i="1"/>
  <c r="L261" i="1"/>
  <c r="M261" i="1"/>
  <c r="N261" i="1"/>
  <c r="E262" i="1"/>
  <c r="F262" i="1"/>
  <c r="G262" i="1"/>
  <c r="H262" i="1"/>
  <c r="I262" i="1"/>
  <c r="J262" i="1"/>
  <c r="K262" i="1"/>
  <c r="L262" i="1"/>
  <c r="M262" i="1"/>
  <c r="N262" i="1"/>
  <c r="E263" i="1"/>
  <c r="F263" i="1"/>
  <c r="G263" i="1"/>
  <c r="H263" i="1"/>
  <c r="I263" i="1"/>
  <c r="J263" i="1"/>
  <c r="K263" i="1"/>
  <c r="L263" i="1"/>
  <c r="M263" i="1"/>
  <c r="N263" i="1"/>
  <c r="E264" i="1"/>
  <c r="F264" i="1"/>
  <c r="G264" i="1"/>
  <c r="H264" i="1"/>
  <c r="I264" i="1"/>
  <c r="J264" i="1"/>
  <c r="K264" i="1"/>
  <c r="L264" i="1"/>
  <c r="M264" i="1"/>
  <c r="N264" i="1"/>
  <c r="E265" i="1"/>
  <c r="F265" i="1"/>
  <c r="G265" i="1"/>
  <c r="H265" i="1"/>
  <c r="I265" i="1"/>
  <c r="J265" i="1"/>
  <c r="K265" i="1"/>
  <c r="L265" i="1"/>
  <c r="M265" i="1"/>
  <c r="N265" i="1"/>
  <c r="E266" i="1"/>
  <c r="F266" i="1"/>
  <c r="G266" i="1"/>
  <c r="H266" i="1"/>
  <c r="I266" i="1"/>
  <c r="J266" i="1"/>
  <c r="K266" i="1"/>
  <c r="L266" i="1"/>
  <c r="M266" i="1"/>
  <c r="N266" i="1"/>
  <c r="E267" i="1"/>
  <c r="F267" i="1"/>
  <c r="G267" i="1"/>
  <c r="H267" i="1"/>
  <c r="I267" i="1"/>
  <c r="J267" i="1"/>
  <c r="K267" i="1"/>
  <c r="L267" i="1"/>
  <c r="M267" i="1"/>
  <c r="N267" i="1"/>
  <c r="E268" i="1"/>
  <c r="F268" i="1"/>
  <c r="G268" i="1"/>
  <c r="H268" i="1"/>
  <c r="I268" i="1"/>
  <c r="J268" i="1"/>
  <c r="K268" i="1"/>
  <c r="L268" i="1"/>
  <c r="M268" i="1"/>
  <c r="N268" i="1"/>
  <c r="E269" i="1"/>
  <c r="F269" i="1"/>
  <c r="G269" i="1"/>
  <c r="H269" i="1"/>
  <c r="I269" i="1"/>
  <c r="J269" i="1"/>
  <c r="K269" i="1"/>
  <c r="L269" i="1"/>
  <c r="M269" i="1"/>
  <c r="N269" i="1"/>
  <c r="E270" i="1"/>
  <c r="F270" i="1"/>
  <c r="G270" i="1"/>
  <c r="H270" i="1"/>
  <c r="I270" i="1"/>
  <c r="J270" i="1"/>
  <c r="K270" i="1"/>
  <c r="L270" i="1"/>
  <c r="M270" i="1"/>
  <c r="N270" i="1"/>
  <c r="E271" i="1"/>
  <c r="F271" i="1"/>
  <c r="G271" i="1"/>
  <c r="H271" i="1"/>
  <c r="I271" i="1"/>
  <c r="J271" i="1"/>
  <c r="K271" i="1"/>
  <c r="L271" i="1"/>
  <c r="M271" i="1"/>
  <c r="N271" i="1"/>
  <c r="E272" i="1"/>
  <c r="F272" i="1"/>
  <c r="G272" i="1"/>
  <c r="H272" i="1"/>
  <c r="I272" i="1"/>
  <c r="J272" i="1"/>
  <c r="K272" i="1"/>
  <c r="L272" i="1"/>
  <c r="M272" i="1"/>
  <c r="N272" i="1"/>
  <c r="E273" i="1"/>
  <c r="F273" i="1"/>
  <c r="G273" i="1"/>
  <c r="H273" i="1"/>
  <c r="I273" i="1"/>
  <c r="J273" i="1"/>
  <c r="K273" i="1"/>
  <c r="L273" i="1"/>
  <c r="M273" i="1"/>
  <c r="N273" i="1"/>
  <c r="E274" i="1"/>
  <c r="F274" i="1"/>
  <c r="G274" i="1"/>
  <c r="H274" i="1"/>
  <c r="I274" i="1"/>
  <c r="J274" i="1"/>
  <c r="K274" i="1"/>
  <c r="L274" i="1"/>
  <c r="M274" i="1"/>
  <c r="N274" i="1"/>
  <c r="E275" i="1"/>
  <c r="F275" i="1"/>
  <c r="G275" i="1"/>
  <c r="H275" i="1"/>
  <c r="I275" i="1"/>
  <c r="J275" i="1"/>
  <c r="K275" i="1"/>
  <c r="L275" i="1"/>
  <c r="M275" i="1"/>
  <c r="N275" i="1"/>
  <c r="E276" i="1"/>
  <c r="F276" i="1"/>
  <c r="G276" i="1"/>
  <c r="H276" i="1"/>
  <c r="I276" i="1"/>
  <c r="J276" i="1"/>
  <c r="K276" i="1"/>
  <c r="L276" i="1"/>
  <c r="M276" i="1"/>
  <c r="N276" i="1"/>
  <c r="E277" i="1"/>
  <c r="F277" i="1"/>
  <c r="G277" i="1"/>
  <c r="H277" i="1"/>
  <c r="I277" i="1"/>
  <c r="J277" i="1"/>
  <c r="K277" i="1"/>
  <c r="L277" i="1"/>
  <c r="M277" i="1"/>
  <c r="N277" i="1"/>
  <c r="E278" i="1"/>
  <c r="F278" i="1"/>
  <c r="G278" i="1"/>
  <c r="H278" i="1"/>
  <c r="I278" i="1"/>
  <c r="J278" i="1"/>
  <c r="K278" i="1"/>
  <c r="L278" i="1"/>
  <c r="M278" i="1"/>
  <c r="N278" i="1"/>
  <c r="E283" i="1"/>
  <c r="F283" i="1"/>
  <c r="G283" i="1"/>
  <c r="H283" i="1"/>
  <c r="I283" i="1"/>
  <c r="J283" i="1"/>
  <c r="K283" i="1"/>
  <c r="L283" i="1"/>
  <c r="M283" i="1"/>
  <c r="N283" i="1"/>
  <c r="E284" i="1"/>
  <c r="F284" i="1"/>
  <c r="G284" i="1"/>
  <c r="H284" i="1"/>
  <c r="I284" i="1"/>
  <c r="J284" i="1"/>
  <c r="K284" i="1"/>
  <c r="L284" i="1"/>
  <c r="M284" i="1"/>
  <c r="N284" i="1"/>
  <c r="E285" i="1"/>
  <c r="F285" i="1"/>
  <c r="G285" i="1"/>
  <c r="H285" i="1"/>
  <c r="I285" i="1"/>
  <c r="J285" i="1"/>
  <c r="K285" i="1"/>
  <c r="L285" i="1"/>
  <c r="M285" i="1"/>
  <c r="N285" i="1"/>
  <c r="E286" i="1"/>
  <c r="F286" i="1"/>
  <c r="G286" i="1"/>
  <c r="H286" i="1"/>
  <c r="I286" i="1"/>
  <c r="J286" i="1"/>
  <c r="K286" i="1"/>
  <c r="L286" i="1"/>
  <c r="M286" i="1"/>
  <c r="N286" i="1"/>
  <c r="E287" i="1"/>
  <c r="F287" i="1"/>
  <c r="G287" i="1"/>
  <c r="H287" i="1"/>
  <c r="I287" i="1"/>
  <c r="J287" i="1"/>
  <c r="K287" i="1"/>
  <c r="L287" i="1"/>
  <c r="M287" i="1"/>
  <c r="N287" i="1"/>
  <c r="E288" i="1"/>
  <c r="F288" i="1"/>
  <c r="G288" i="1"/>
  <c r="H288" i="1"/>
  <c r="I288" i="1"/>
  <c r="J288" i="1"/>
  <c r="K288" i="1"/>
  <c r="L288" i="1"/>
  <c r="M288" i="1"/>
  <c r="N288" i="1"/>
  <c r="E289" i="1"/>
  <c r="F289" i="1"/>
  <c r="G289" i="1"/>
  <c r="H289" i="1"/>
  <c r="I289" i="1"/>
  <c r="J289" i="1"/>
  <c r="K289" i="1"/>
  <c r="L289" i="1"/>
  <c r="M289" i="1"/>
  <c r="N289" i="1"/>
  <c r="E290" i="1"/>
  <c r="F290" i="1"/>
  <c r="G290" i="1"/>
  <c r="H290" i="1"/>
  <c r="I290" i="1"/>
  <c r="J290" i="1"/>
  <c r="K290" i="1"/>
  <c r="L290" i="1"/>
  <c r="M290" i="1"/>
  <c r="N290" i="1"/>
  <c r="E291" i="1"/>
  <c r="F291" i="1"/>
  <c r="G291" i="1"/>
  <c r="H291" i="1"/>
  <c r="I291" i="1"/>
  <c r="J291" i="1"/>
  <c r="K291" i="1"/>
  <c r="L291" i="1"/>
  <c r="M291" i="1"/>
  <c r="N291" i="1"/>
  <c r="E292" i="1"/>
  <c r="F292" i="1"/>
  <c r="G292" i="1"/>
  <c r="H292" i="1"/>
  <c r="I292" i="1"/>
  <c r="J292" i="1"/>
  <c r="K292" i="1"/>
  <c r="L292" i="1"/>
  <c r="M292" i="1"/>
  <c r="N292" i="1"/>
  <c r="E293" i="1"/>
  <c r="F293" i="1"/>
  <c r="G293" i="1"/>
  <c r="H293" i="1"/>
  <c r="I293" i="1"/>
  <c r="J293" i="1"/>
  <c r="K293" i="1"/>
  <c r="L293" i="1"/>
  <c r="M293" i="1"/>
  <c r="N293" i="1"/>
  <c r="E294" i="1"/>
  <c r="F294" i="1"/>
  <c r="G294" i="1"/>
  <c r="H294" i="1"/>
  <c r="I294" i="1"/>
  <c r="J294" i="1"/>
  <c r="K294" i="1"/>
  <c r="L294" i="1"/>
  <c r="M294" i="1"/>
  <c r="N294" i="1"/>
  <c r="E295" i="1"/>
  <c r="F295" i="1"/>
  <c r="G295" i="1"/>
  <c r="H295" i="1"/>
  <c r="I295" i="1"/>
  <c r="J295" i="1"/>
  <c r="K295" i="1"/>
  <c r="L295" i="1"/>
  <c r="M295" i="1"/>
  <c r="N295" i="1"/>
  <c r="E296" i="1"/>
  <c r="F296" i="1"/>
  <c r="G296" i="1"/>
  <c r="H296" i="1"/>
  <c r="I296" i="1"/>
  <c r="J296" i="1"/>
  <c r="K296" i="1"/>
  <c r="L296" i="1"/>
  <c r="M296" i="1"/>
  <c r="N296" i="1"/>
  <c r="E297" i="1"/>
  <c r="F297" i="1"/>
  <c r="G297" i="1"/>
  <c r="H297" i="1"/>
  <c r="I297" i="1"/>
  <c r="J297" i="1"/>
  <c r="K297" i="1"/>
  <c r="L297" i="1"/>
  <c r="M297" i="1"/>
  <c r="N297" i="1"/>
  <c r="E298" i="1"/>
  <c r="F298" i="1"/>
  <c r="G298" i="1"/>
  <c r="H298" i="1"/>
  <c r="I298" i="1"/>
  <c r="J298" i="1"/>
  <c r="K298" i="1"/>
  <c r="L298" i="1"/>
  <c r="M298" i="1"/>
  <c r="N298" i="1"/>
  <c r="E299" i="1"/>
  <c r="F299" i="1"/>
  <c r="G299" i="1"/>
  <c r="H299" i="1"/>
  <c r="I299" i="1"/>
  <c r="J299" i="1"/>
  <c r="K299" i="1"/>
  <c r="L299" i="1"/>
  <c r="M299" i="1"/>
  <c r="N299" i="1"/>
  <c r="E300" i="1"/>
  <c r="F300" i="1"/>
  <c r="G300" i="1"/>
  <c r="H300" i="1"/>
  <c r="I300" i="1"/>
  <c r="J300" i="1"/>
  <c r="K300" i="1"/>
  <c r="L300" i="1"/>
  <c r="M300" i="1"/>
  <c r="N300" i="1"/>
  <c r="E301" i="1"/>
  <c r="F301" i="1"/>
  <c r="G301" i="1"/>
  <c r="H301" i="1"/>
  <c r="I301" i="1"/>
  <c r="J301" i="1"/>
  <c r="K301" i="1"/>
  <c r="L301" i="1"/>
  <c r="M301" i="1"/>
  <c r="N301" i="1"/>
  <c r="E302" i="1"/>
  <c r="F302" i="1"/>
  <c r="G302" i="1"/>
  <c r="H302" i="1"/>
  <c r="I302" i="1"/>
  <c r="J302" i="1"/>
  <c r="K302" i="1"/>
  <c r="L302" i="1"/>
  <c r="M302" i="1"/>
  <c r="N302" i="1"/>
  <c r="E303" i="1"/>
  <c r="F303" i="1"/>
  <c r="G303" i="1"/>
  <c r="H303" i="1"/>
  <c r="I303" i="1"/>
  <c r="J303" i="1"/>
  <c r="K303" i="1"/>
  <c r="L303" i="1"/>
  <c r="M303" i="1"/>
  <c r="N303" i="1"/>
  <c r="E304" i="1"/>
  <c r="F304" i="1"/>
  <c r="G304" i="1"/>
  <c r="H304" i="1"/>
  <c r="I304" i="1"/>
  <c r="J304" i="1"/>
  <c r="K304" i="1"/>
  <c r="L304" i="1"/>
  <c r="M304" i="1"/>
  <c r="N304" i="1"/>
  <c r="E305" i="1"/>
  <c r="F305" i="1"/>
  <c r="G305" i="1"/>
  <c r="H305" i="1"/>
  <c r="I305" i="1"/>
  <c r="J305" i="1"/>
  <c r="K305" i="1"/>
  <c r="L305" i="1"/>
  <c r="M305" i="1"/>
  <c r="N305" i="1"/>
  <c r="E306" i="1"/>
  <c r="F306" i="1"/>
  <c r="G306" i="1"/>
  <c r="H306" i="1"/>
  <c r="I306" i="1"/>
  <c r="J306" i="1"/>
  <c r="K306" i="1"/>
  <c r="L306" i="1"/>
  <c r="M306" i="1"/>
  <c r="N306" i="1"/>
  <c r="E307" i="1"/>
  <c r="F307" i="1"/>
  <c r="G307" i="1"/>
  <c r="H307" i="1"/>
  <c r="I307" i="1"/>
  <c r="J307" i="1"/>
  <c r="K307" i="1"/>
  <c r="L307" i="1"/>
  <c r="M307" i="1"/>
  <c r="N307" i="1"/>
  <c r="E308" i="1"/>
  <c r="F308" i="1"/>
  <c r="G308" i="1"/>
  <c r="H308" i="1"/>
  <c r="I308" i="1"/>
  <c r="J308" i="1"/>
  <c r="K308" i="1"/>
  <c r="L308" i="1"/>
  <c r="M308" i="1"/>
  <c r="N308" i="1"/>
  <c r="E309" i="1"/>
  <c r="F309" i="1"/>
  <c r="G309" i="1"/>
  <c r="H309" i="1"/>
  <c r="I309" i="1"/>
  <c r="J309" i="1"/>
  <c r="K309" i="1"/>
  <c r="L309" i="1"/>
  <c r="M309" i="1"/>
  <c r="N309" i="1"/>
  <c r="E310" i="1"/>
  <c r="F310" i="1"/>
  <c r="G310" i="1"/>
  <c r="H310" i="1"/>
  <c r="I310" i="1"/>
  <c r="J310" i="1"/>
  <c r="K310" i="1"/>
  <c r="L310" i="1"/>
  <c r="M310" i="1"/>
  <c r="N310" i="1"/>
  <c r="E311" i="1"/>
  <c r="F311" i="1"/>
  <c r="G311" i="1"/>
  <c r="H311" i="1"/>
  <c r="I311" i="1"/>
  <c r="J311" i="1"/>
  <c r="K311" i="1"/>
  <c r="L311" i="1"/>
  <c r="M311" i="1"/>
  <c r="N311" i="1"/>
  <c r="E312" i="1"/>
  <c r="F312" i="1"/>
  <c r="G312" i="1"/>
  <c r="H312" i="1"/>
  <c r="I312" i="1"/>
  <c r="J312" i="1"/>
  <c r="K312" i="1"/>
  <c r="L312" i="1"/>
  <c r="M312" i="1"/>
  <c r="N312" i="1"/>
  <c r="E313" i="1"/>
  <c r="F313" i="1"/>
  <c r="G313" i="1"/>
  <c r="H313" i="1"/>
  <c r="I313" i="1"/>
  <c r="J313" i="1"/>
  <c r="K313" i="1"/>
  <c r="L313" i="1"/>
  <c r="M313" i="1"/>
  <c r="N313" i="1"/>
  <c r="E314" i="1"/>
  <c r="F314" i="1"/>
  <c r="G314" i="1"/>
  <c r="H314" i="1"/>
  <c r="I314" i="1"/>
  <c r="J314" i="1"/>
  <c r="K314" i="1"/>
  <c r="L314" i="1"/>
  <c r="M314" i="1"/>
  <c r="N314" i="1"/>
  <c r="E315" i="1"/>
  <c r="F315" i="1"/>
  <c r="G315" i="1"/>
  <c r="H315" i="1"/>
  <c r="I315" i="1"/>
  <c r="J315" i="1"/>
  <c r="K315" i="1"/>
  <c r="L315" i="1"/>
  <c r="M315" i="1"/>
  <c r="N315" i="1"/>
  <c r="E316" i="1"/>
  <c r="F316" i="1"/>
  <c r="G316" i="1"/>
  <c r="H316" i="1"/>
  <c r="I316" i="1"/>
  <c r="J316" i="1"/>
  <c r="K316" i="1"/>
  <c r="L316" i="1"/>
  <c r="M316" i="1"/>
  <c r="N316" i="1"/>
  <c r="E317" i="1"/>
  <c r="F317" i="1"/>
  <c r="G317" i="1"/>
  <c r="H317" i="1"/>
  <c r="I317" i="1"/>
  <c r="J317" i="1"/>
  <c r="K317" i="1"/>
  <c r="L317" i="1"/>
  <c r="M317" i="1"/>
  <c r="N317" i="1"/>
  <c r="E318" i="1"/>
  <c r="F318" i="1"/>
  <c r="G318" i="1"/>
  <c r="H318" i="1"/>
  <c r="I318" i="1"/>
  <c r="J318" i="1"/>
  <c r="K318" i="1"/>
  <c r="L318" i="1"/>
  <c r="M318" i="1"/>
  <c r="N318" i="1"/>
  <c r="E319" i="1"/>
  <c r="F319" i="1"/>
  <c r="G319" i="1"/>
  <c r="H319" i="1"/>
  <c r="I319" i="1"/>
  <c r="J319" i="1"/>
  <c r="K319" i="1"/>
  <c r="L319" i="1"/>
  <c r="M319" i="1"/>
  <c r="N319" i="1"/>
  <c r="E320" i="1"/>
  <c r="F320" i="1"/>
  <c r="G320" i="1"/>
  <c r="H320" i="1"/>
  <c r="I320" i="1"/>
  <c r="J320" i="1"/>
  <c r="K320" i="1"/>
  <c r="L320" i="1"/>
  <c r="M320" i="1"/>
  <c r="N320" i="1"/>
  <c r="E321" i="1"/>
  <c r="F321" i="1"/>
  <c r="G321" i="1"/>
  <c r="H321" i="1"/>
  <c r="I321" i="1"/>
  <c r="J321" i="1"/>
  <c r="K321" i="1"/>
  <c r="L321" i="1"/>
  <c r="M321" i="1"/>
  <c r="N321" i="1"/>
  <c r="E322" i="1"/>
  <c r="F322" i="1"/>
  <c r="G322" i="1"/>
  <c r="H322" i="1"/>
  <c r="I322" i="1"/>
  <c r="J322" i="1"/>
  <c r="K322" i="1"/>
  <c r="L322" i="1"/>
  <c r="M322" i="1"/>
  <c r="N322" i="1"/>
  <c r="E323" i="1"/>
  <c r="F323" i="1"/>
  <c r="G323" i="1"/>
  <c r="H323" i="1"/>
  <c r="I323" i="1"/>
  <c r="J323" i="1"/>
  <c r="K323" i="1"/>
  <c r="L323" i="1"/>
  <c r="M323" i="1"/>
  <c r="N323" i="1"/>
  <c r="E324" i="1"/>
  <c r="F324" i="1"/>
  <c r="G324" i="1"/>
  <c r="H324" i="1"/>
  <c r="I324" i="1"/>
  <c r="J324" i="1"/>
  <c r="K324" i="1"/>
  <c r="L324" i="1"/>
  <c r="M324" i="1"/>
  <c r="N324" i="1"/>
  <c r="E325" i="1"/>
  <c r="F325" i="1"/>
  <c r="G325" i="1"/>
  <c r="H325" i="1"/>
  <c r="I325" i="1"/>
  <c r="J325" i="1"/>
  <c r="K325" i="1"/>
  <c r="L325" i="1"/>
  <c r="M325" i="1"/>
  <c r="N325" i="1"/>
  <c r="E326" i="1"/>
  <c r="F326" i="1"/>
  <c r="G326" i="1"/>
  <c r="H326" i="1"/>
  <c r="I326" i="1"/>
  <c r="J326" i="1"/>
  <c r="K326" i="1"/>
  <c r="L326" i="1"/>
  <c r="M326" i="1"/>
  <c r="N326" i="1"/>
  <c r="E327" i="1"/>
  <c r="F327" i="1"/>
  <c r="G327" i="1"/>
  <c r="H327" i="1"/>
  <c r="I327" i="1"/>
  <c r="J327" i="1"/>
  <c r="K327" i="1"/>
  <c r="L327" i="1"/>
  <c r="M327" i="1"/>
  <c r="N327" i="1"/>
  <c r="E328" i="1"/>
  <c r="F328" i="1"/>
  <c r="G328" i="1"/>
  <c r="H328" i="1"/>
  <c r="I328" i="1"/>
  <c r="J328" i="1"/>
  <c r="K328" i="1"/>
  <c r="L328" i="1"/>
  <c r="M328" i="1"/>
  <c r="N328" i="1"/>
  <c r="E329" i="1"/>
  <c r="F329" i="1"/>
  <c r="G329" i="1"/>
  <c r="H329" i="1"/>
  <c r="I329" i="1"/>
  <c r="J329" i="1"/>
  <c r="K329" i="1"/>
  <c r="L329" i="1"/>
  <c r="M329" i="1"/>
  <c r="N329" i="1"/>
  <c r="E330" i="1"/>
  <c r="F330" i="1"/>
  <c r="G330" i="1"/>
  <c r="H330" i="1"/>
  <c r="I330" i="1"/>
  <c r="J330" i="1"/>
  <c r="K330" i="1"/>
  <c r="L330" i="1"/>
  <c r="M330" i="1"/>
  <c r="N330" i="1"/>
  <c r="E331" i="1"/>
  <c r="F331" i="1"/>
  <c r="G331" i="1"/>
  <c r="H331" i="1"/>
  <c r="I331" i="1"/>
  <c r="J331" i="1"/>
  <c r="K331" i="1"/>
  <c r="L331" i="1"/>
  <c r="M331" i="1"/>
  <c r="N331" i="1"/>
  <c r="E332" i="1"/>
  <c r="F332" i="1"/>
  <c r="G332" i="1"/>
  <c r="H332" i="1"/>
  <c r="I332" i="1"/>
  <c r="J332" i="1"/>
  <c r="K332" i="1"/>
  <c r="L332" i="1"/>
  <c r="M332" i="1"/>
  <c r="N332" i="1"/>
  <c r="E333" i="1"/>
  <c r="F333" i="1"/>
  <c r="G333" i="1"/>
  <c r="H333" i="1"/>
  <c r="I333" i="1"/>
  <c r="J333" i="1"/>
  <c r="K333" i="1"/>
  <c r="L333" i="1"/>
  <c r="M333" i="1"/>
  <c r="N333" i="1"/>
  <c r="E334" i="1"/>
  <c r="F334" i="1"/>
  <c r="G334" i="1"/>
  <c r="H334" i="1"/>
  <c r="I334" i="1"/>
  <c r="J334" i="1"/>
  <c r="K334" i="1"/>
  <c r="L334" i="1"/>
  <c r="M334" i="1"/>
  <c r="N334" i="1"/>
  <c r="E335" i="1"/>
  <c r="F335" i="1"/>
  <c r="G335" i="1"/>
  <c r="H335" i="1"/>
  <c r="I335" i="1"/>
  <c r="J335" i="1"/>
  <c r="K335" i="1"/>
  <c r="L335" i="1"/>
  <c r="M335" i="1"/>
  <c r="N335" i="1"/>
  <c r="E336" i="1"/>
  <c r="F336" i="1"/>
  <c r="G336" i="1"/>
  <c r="H336" i="1"/>
  <c r="I336" i="1"/>
  <c r="J336" i="1"/>
  <c r="K336" i="1"/>
  <c r="L336" i="1"/>
  <c r="M336" i="1"/>
  <c r="N336" i="1"/>
  <c r="E337" i="1"/>
  <c r="F337" i="1"/>
  <c r="G337" i="1"/>
  <c r="H337" i="1"/>
  <c r="I337" i="1"/>
  <c r="J337" i="1"/>
  <c r="K337" i="1"/>
  <c r="L337" i="1"/>
  <c r="M337" i="1"/>
  <c r="N337" i="1"/>
  <c r="E338" i="1"/>
  <c r="F338" i="1"/>
  <c r="G338" i="1"/>
  <c r="H338" i="1"/>
  <c r="I338" i="1"/>
  <c r="J338" i="1"/>
  <c r="K338" i="1"/>
  <c r="L338" i="1"/>
  <c r="M338" i="1"/>
  <c r="N338" i="1"/>
  <c r="E339" i="1"/>
  <c r="F339" i="1"/>
  <c r="G339" i="1"/>
  <c r="H339" i="1"/>
  <c r="I339" i="1"/>
  <c r="J339" i="1"/>
  <c r="K339" i="1"/>
  <c r="L339" i="1"/>
  <c r="M339" i="1"/>
  <c r="N339" i="1"/>
  <c r="E340" i="1"/>
  <c r="F340" i="1"/>
  <c r="G340" i="1"/>
  <c r="H340" i="1"/>
  <c r="I340" i="1"/>
  <c r="J340" i="1"/>
  <c r="K340" i="1"/>
  <c r="L340" i="1"/>
  <c r="M340" i="1"/>
  <c r="N340" i="1"/>
  <c r="E341" i="1"/>
  <c r="F341" i="1"/>
  <c r="G341" i="1"/>
  <c r="H341" i="1"/>
  <c r="I341" i="1"/>
  <c r="J341" i="1"/>
  <c r="K341" i="1"/>
  <c r="L341" i="1"/>
  <c r="M341" i="1"/>
  <c r="N341" i="1"/>
  <c r="E342" i="1"/>
  <c r="F342" i="1"/>
  <c r="G342" i="1"/>
  <c r="H342" i="1"/>
  <c r="I342" i="1"/>
  <c r="J342" i="1"/>
  <c r="K342" i="1"/>
  <c r="L342" i="1"/>
  <c r="M342" i="1"/>
  <c r="N342" i="1"/>
  <c r="E343" i="1"/>
  <c r="F343" i="1"/>
  <c r="G343" i="1"/>
  <c r="H343" i="1"/>
  <c r="I343" i="1"/>
  <c r="J343" i="1"/>
  <c r="K343" i="1"/>
  <c r="L343" i="1"/>
  <c r="M343" i="1"/>
  <c r="N343" i="1"/>
  <c r="E344" i="1"/>
  <c r="F344" i="1"/>
  <c r="G344" i="1"/>
  <c r="H344" i="1"/>
  <c r="I344" i="1"/>
  <c r="J344" i="1"/>
  <c r="K344" i="1"/>
  <c r="L344" i="1"/>
  <c r="M344" i="1"/>
  <c r="N344" i="1"/>
  <c r="E345" i="1"/>
  <c r="F345" i="1"/>
  <c r="G345" i="1"/>
  <c r="H345" i="1"/>
  <c r="I345" i="1"/>
  <c r="J345" i="1"/>
  <c r="K345" i="1"/>
  <c r="L345" i="1"/>
  <c r="M345" i="1"/>
  <c r="N345" i="1"/>
  <c r="E346" i="1"/>
  <c r="F346" i="1"/>
  <c r="G346" i="1"/>
  <c r="H346" i="1"/>
  <c r="I346" i="1"/>
  <c r="J346" i="1"/>
  <c r="K346" i="1"/>
  <c r="L346" i="1"/>
  <c r="M346" i="1"/>
  <c r="N346" i="1"/>
  <c r="E347" i="1"/>
  <c r="F347" i="1"/>
  <c r="G347" i="1"/>
  <c r="H347" i="1"/>
  <c r="I347" i="1"/>
  <c r="J347" i="1"/>
  <c r="K347" i="1"/>
  <c r="L347" i="1"/>
  <c r="M347" i="1"/>
  <c r="N347" i="1"/>
  <c r="E348" i="1"/>
  <c r="F348" i="1"/>
  <c r="G348" i="1"/>
  <c r="H348" i="1"/>
  <c r="I348" i="1"/>
  <c r="J348" i="1"/>
  <c r="K348" i="1"/>
  <c r="L348" i="1"/>
  <c r="M348" i="1"/>
  <c r="N348" i="1"/>
  <c r="E349" i="1"/>
  <c r="F349" i="1"/>
  <c r="G349" i="1"/>
  <c r="H349" i="1"/>
  <c r="I349" i="1"/>
  <c r="J349" i="1"/>
  <c r="K349" i="1"/>
  <c r="L349" i="1"/>
  <c r="M349" i="1"/>
  <c r="N349" i="1"/>
  <c r="E350" i="1"/>
  <c r="F350" i="1"/>
  <c r="G350" i="1"/>
  <c r="H350" i="1"/>
  <c r="I350" i="1"/>
  <c r="J350" i="1"/>
  <c r="K350" i="1"/>
  <c r="L350" i="1"/>
  <c r="M350" i="1"/>
  <c r="N350" i="1"/>
  <c r="E351" i="1"/>
  <c r="F351" i="1"/>
  <c r="G351" i="1"/>
  <c r="H351" i="1"/>
  <c r="I351" i="1"/>
  <c r="J351" i="1"/>
  <c r="K351" i="1"/>
  <c r="L351" i="1"/>
  <c r="M351" i="1"/>
  <c r="N351" i="1"/>
  <c r="E352" i="1"/>
  <c r="F352" i="1"/>
  <c r="G352" i="1"/>
  <c r="H352" i="1"/>
  <c r="I352" i="1"/>
  <c r="J352" i="1"/>
  <c r="K352" i="1"/>
  <c r="L352" i="1"/>
  <c r="M352" i="1"/>
  <c r="N352" i="1"/>
  <c r="E353" i="1"/>
  <c r="F353" i="1"/>
  <c r="G353" i="1"/>
  <c r="H353" i="1"/>
  <c r="I353" i="1"/>
  <c r="J353" i="1"/>
  <c r="K353" i="1"/>
  <c r="L353" i="1"/>
  <c r="M353" i="1"/>
  <c r="N353" i="1"/>
  <c r="E354" i="1"/>
  <c r="F354" i="1"/>
  <c r="G354" i="1"/>
  <c r="H354" i="1"/>
  <c r="I354" i="1"/>
  <c r="J354" i="1"/>
  <c r="K354" i="1"/>
  <c r="L354" i="1"/>
  <c r="M354" i="1"/>
  <c r="N354" i="1"/>
  <c r="E355" i="1"/>
  <c r="F355" i="1"/>
  <c r="G355" i="1"/>
  <c r="H355" i="1"/>
  <c r="I355" i="1"/>
  <c r="J355" i="1"/>
  <c r="K355" i="1"/>
  <c r="L355" i="1"/>
  <c r="M355" i="1"/>
  <c r="N355" i="1"/>
  <c r="E356" i="1"/>
  <c r="F356" i="1"/>
  <c r="G356" i="1"/>
  <c r="H356" i="1"/>
  <c r="I356" i="1"/>
  <c r="J356" i="1"/>
  <c r="K356" i="1"/>
  <c r="L356" i="1"/>
  <c r="M356" i="1"/>
  <c r="N356" i="1"/>
  <c r="E357" i="1"/>
  <c r="F357" i="1"/>
  <c r="G357" i="1"/>
  <c r="H357" i="1"/>
  <c r="I357" i="1"/>
  <c r="J357" i="1"/>
  <c r="K357" i="1"/>
  <c r="L357" i="1"/>
  <c r="M357" i="1"/>
  <c r="N357" i="1"/>
  <c r="E358" i="1"/>
  <c r="F358" i="1"/>
  <c r="G358" i="1"/>
  <c r="H358" i="1"/>
  <c r="I358" i="1"/>
  <c r="J358" i="1"/>
  <c r="K358" i="1"/>
  <c r="L358" i="1"/>
  <c r="M358" i="1"/>
  <c r="N358" i="1"/>
  <c r="E359" i="1"/>
  <c r="F359" i="1"/>
  <c r="G359" i="1"/>
  <c r="H359" i="1"/>
  <c r="I359" i="1"/>
  <c r="J359" i="1"/>
  <c r="K359" i="1"/>
  <c r="L359" i="1"/>
  <c r="M359" i="1"/>
  <c r="N359" i="1"/>
  <c r="E360" i="1"/>
  <c r="F360" i="1"/>
  <c r="G360" i="1"/>
  <c r="H360" i="1"/>
  <c r="I360" i="1"/>
  <c r="J360" i="1"/>
  <c r="K360" i="1"/>
  <c r="L360" i="1"/>
  <c r="M360" i="1"/>
  <c r="N360" i="1"/>
  <c r="E361" i="1"/>
  <c r="F361" i="1"/>
  <c r="G361" i="1"/>
  <c r="H361" i="1"/>
  <c r="I361" i="1"/>
  <c r="J361" i="1"/>
  <c r="K361" i="1"/>
  <c r="L361" i="1"/>
  <c r="M361" i="1"/>
  <c r="N361" i="1"/>
  <c r="E362" i="1"/>
  <c r="F362" i="1"/>
  <c r="G362" i="1"/>
  <c r="H362" i="1"/>
  <c r="I362" i="1"/>
  <c r="J362" i="1"/>
  <c r="K362" i="1"/>
  <c r="L362" i="1"/>
  <c r="M362" i="1"/>
  <c r="N362" i="1"/>
  <c r="E363" i="1"/>
  <c r="F363" i="1"/>
  <c r="G363" i="1"/>
  <c r="H363" i="1"/>
  <c r="I363" i="1"/>
  <c r="J363" i="1"/>
  <c r="K363" i="1"/>
  <c r="L363" i="1"/>
  <c r="M363" i="1"/>
  <c r="N363" i="1"/>
  <c r="E364" i="1"/>
  <c r="F364" i="1"/>
  <c r="G364" i="1"/>
  <c r="H364" i="1"/>
  <c r="I364" i="1"/>
  <c r="J364" i="1"/>
  <c r="K364" i="1"/>
  <c r="L364" i="1"/>
  <c r="M364" i="1"/>
  <c r="N364" i="1"/>
  <c r="E365" i="1"/>
  <c r="F365" i="1"/>
  <c r="G365" i="1"/>
  <c r="H365" i="1"/>
  <c r="I365" i="1"/>
  <c r="J365" i="1"/>
  <c r="K365" i="1"/>
  <c r="L365" i="1"/>
  <c r="M365" i="1"/>
  <c r="N365" i="1"/>
  <c r="E366" i="1"/>
  <c r="F366" i="1"/>
  <c r="G366" i="1"/>
  <c r="H366" i="1"/>
  <c r="I366" i="1"/>
  <c r="J366" i="1"/>
  <c r="K366" i="1"/>
  <c r="L366" i="1"/>
  <c r="M366" i="1"/>
  <c r="N366" i="1"/>
  <c r="E367" i="1"/>
  <c r="F367" i="1"/>
  <c r="G367" i="1"/>
  <c r="H367" i="1"/>
  <c r="I367" i="1"/>
  <c r="J367" i="1"/>
  <c r="K367" i="1"/>
  <c r="L367" i="1"/>
  <c r="M367" i="1"/>
  <c r="N367" i="1"/>
  <c r="E368" i="1"/>
  <c r="F368" i="1"/>
  <c r="G368" i="1"/>
  <c r="H368" i="1"/>
  <c r="I368" i="1"/>
  <c r="J368" i="1"/>
  <c r="K368" i="1"/>
  <c r="L368" i="1"/>
  <c r="M368" i="1"/>
  <c r="N368" i="1"/>
  <c r="E369" i="1"/>
  <c r="F369" i="1"/>
  <c r="G369" i="1"/>
  <c r="H369" i="1"/>
  <c r="I369" i="1"/>
  <c r="J369" i="1"/>
  <c r="K369" i="1"/>
  <c r="L369" i="1"/>
  <c r="M369" i="1"/>
  <c r="N369" i="1"/>
  <c r="E370" i="1"/>
  <c r="F370" i="1"/>
  <c r="G370" i="1"/>
  <c r="H370" i="1"/>
  <c r="I370" i="1"/>
  <c r="J370" i="1"/>
  <c r="K370" i="1"/>
  <c r="L370" i="1"/>
  <c r="M370" i="1"/>
  <c r="N370" i="1"/>
  <c r="E371" i="1"/>
  <c r="F371" i="1"/>
  <c r="G371" i="1"/>
  <c r="H371" i="1"/>
  <c r="I371" i="1"/>
  <c r="J371" i="1"/>
  <c r="K371" i="1"/>
  <c r="L371" i="1"/>
  <c r="M371" i="1"/>
  <c r="N371" i="1"/>
  <c r="E372" i="1"/>
  <c r="F372" i="1"/>
  <c r="G372" i="1"/>
  <c r="H372" i="1"/>
  <c r="I372" i="1"/>
  <c r="J372" i="1"/>
  <c r="K372" i="1"/>
  <c r="L372" i="1"/>
  <c r="M372" i="1"/>
  <c r="N372" i="1"/>
  <c r="E373" i="1"/>
  <c r="F373" i="1"/>
  <c r="G373" i="1"/>
  <c r="H373" i="1"/>
  <c r="I373" i="1"/>
  <c r="J373" i="1"/>
  <c r="K373" i="1"/>
  <c r="L373" i="1"/>
  <c r="M373" i="1"/>
  <c r="N373" i="1"/>
  <c r="E374" i="1"/>
  <c r="F374" i="1"/>
  <c r="G374" i="1"/>
  <c r="H374" i="1"/>
  <c r="I374" i="1"/>
  <c r="J374" i="1"/>
  <c r="K374" i="1"/>
  <c r="L374" i="1"/>
  <c r="M374" i="1"/>
  <c r="N374" i="1"/>
  <c r="E375" i="1"/>
  <c r="F375" i="1"/>
  <c r="G375" i="1"/>
  <c r="H375" i="1"/>
  <c r="I375" i="1"/>
  <c r="J375" i="1"/>
  <c r="K375" i="1"/>
  <c r="L375" i="1"/>
  <c r="M375" i="1"/>
  <c r="N375" i="1"/>
  <c r="E376" i="1"/>
  <c r="F376" i="1"/>
  <c r="G376" i="1"/>
  <c r="H376" i="1"/>
  <c r="I376" i="1"/>
  <c r="J376" i="1"/>
  <c r="K376" i="1"/>
  <c r="L376" i="1"/>
  <c r="M376" i="1"/>
  <c r="N376" i="1"/>
  <c r="E377" i="1"/>
  <c r="F377" i="1"/>
  <c r="G377" i="1"/>
  <c r="H377" i="1"/>
  <c r="I377" i="1"/>
  <c r="J377" i="1"/>
  <c r="K377" i="1"/>
  <c r="L377" i="1"/>
  <c r="M377" i="1"/>
  <c r="N377" i="1"/>
  <c r="E378" i="1"/>
  <c r="F378" i="1"/>
  <c r="G378" i="1"/>
  <c r="H378" i="1"/>
  <c r="I378" i="1"/>
  <c r="J378" i="1"/>
  <c r="K378" i="1"/>
  <c r="L378" i="1"/>
  <c r="M378" i="1"/>
  <c r="N378" i="1"/>
  <c r="E379" i="1"/>
  <c r="F379" i="1"/>
  <c r="G379" i="1"/>
  <c r="H379" i="1"/>
  <c r="I379" i="1"/>
  <c r="J379" i="1"/>
  <c r="K379" i="1"/>
  <c r="L379" i="1"/>
  <c r="M379" i="1"/>
  <c r="N379" i="1"/>
  <c r="E380" i="1"/>
  <c r="F380" i="1"/>
  <c r="G380" i="1"/>
  <c r="H380" i="1"/>
  <c r="I380" i="1"/>
  <c r="J380" i="1"/>
  <c r="K380" i="1"/>
  <c r="L380" i="1"/>
  <c r="M380" i="1"/>
  <c r="N380" i="1"/>
  <c r="E381" i="1"/>
  <c r="F381" i="1"/>
  <c r="G381" i="1"/>
  <c r="H381" i="1"/>
  <c r="I381" i="1"/>
  <c r="J381" i="1"/>
  <c r="K381" i="1"/>
  <c r="L381" i="1"/>
  <c r="M381" i="1"/>
  <c r="N381" i="1"/>
  <c r="E382" i="1"/>
  <c r="F382" i="1"/>
  <c r="G382" i="1"/>
  <c r="H382" i="1"/>
  <c r="I382" i="1"/>
  <c r="J382" i="1"/>
  <c r="K382" i="1"/>
  <c r="L382" i="1"/>
  <c r="M382" i="1"/>
  <c r="N382" i="1"/>
  <c r="E383" i="1"/>
  <c r="F383" i="1"/>
  <c r="G383" i="1"/>
  <c r="H383" i="1"/>
  <c r="I383" i="1"/>
  <c r="J383" i="1"/>
  <c r="K383" i="1"/>
  <c r="L383" i="1"/>
  <c r="M383" i="1"/>
  <c r="N383" i="1"/>
  <c r="E384" i="1"/>
  <c r="F384" i="1"/>
  <c r="G384" i="1"/>
  <c r="H384" i="1"/>
  <c r="I384" i="1"/>
  <c r="J384" i="1"/>
  <c r="K384" i="1"/>
  <c r="L384" i="1"/>
  <c r="M384" i="1"/>
  <c r="N384" i="1"/>
  <c r="E385" i="1"/>
  <c r="F385" i="1"/>
  <c r="G385" i="1"/>
  <c r="H385" i="1"/>
  <c r="I385" i="1"/>
  <c r="J385" i="1"/>
  <c r="K385" i="1"/>
  <c r="L385" i="1"/>
  <c r="M385" i="1"/>
  <c r="N385" i="1"/>
  <c r="E386" i="1"/>
  <c r="F386" i="1"/>
  <c r="G386" i="1"/>
  <c r="H386" i="1"/>
  <c r="I386" i="1"/>
  <c r="J386" i="1"/>
  <c r="K386" i="1"/>
  <c r="L386" i="1"/>
  <c r="M386" i="1"/>
  <c r="N386" i="1"/>
  <c r="E387" i="1"/>
  <c r="F387" i="1"/>
  <c r="G387" i="1"/>
  <c r="H387" i="1"/>
  <c r="I387" i="1"/>
  <c r="J387" i="1"/>
  <c r="K387" i="1"/>
  <c r="L387" i="1"/>
  <c r="M387" i="1"/>
  <c r="N387" i="1"/>
  <c r="E388" i="1"/>
  <c r="F388" i="1"/>
  <c r="G388" i="1"/>
  <c r="H388" i="1"/>
  <c r="I388" i="1"/>
  <c r="J388" i="1"/>
  <c r="K388" i="1"/>
  <c r="L388" i="1"/>
  <c r="M388" i="1"/>
  <c r="N388" i="1"/>
  <c r="E389" i="1"/>
  <c r="F389" i="1"/>
  <c r="G389" i="1"/>
  <c r="H389" i="1"/>
  <c r="I389" i="1"/>
  <c r="J389" i="1"/>
  <c r="K389" i="1"/>
  <c r="L389" i="1"/>
  <c r="M389" i="1"/>
  <c r="N389" i="1"/>
  <c r="E390" i="1"/>
  <c r="F390" i="1"/>
  <c r="G390" i="1"/>
  <c r="H390" i="1"/>
  <c r="I390" i="1"/>
  <c r="J390" i="1"/>
  <c r="K390" i="1"/>
  <c r="L390" i="1"/>
  <c r="M390" i="1"/>
  <c r="N390" i="1"/>
  <c r="E391" i="1"/>
  <c r="F391" i="1"/>
  <c r="G391" i="1"/>
  <c r="H391" i="1"/>
  <c r="I391" i="1"/>
  <c r="J391" i="1"/>
  <c r="K391" i="1"/>
  <c r="L391" i="1"/>
  <c r="M391" i="1"/>
  <c r="N391" i="1"/>
  <c r="E392" i="1"/>
  <c r="F392" i="1"/>
  <c r="G392" i="1"/>
  <c r="H392" i="1"/>
  <c r="I392" i="1"/>
  <c r="J392" i="1"/>
  <c r="K392" i="1"/>
  <c r="L392" i="1"/>
  <c r="M392" i="1"/>
  <c r="N392" i="1"/>
  <c r="E393" i="1"/>
  <c r="F393" i="1"/>
  <c r="G393" i="1"/>
  <c r="H393" i="1"/>
  <c r="I393" i="1"/>
  <c r="J393" i="1"/>
  <c r="K393" i="1"/>
  <c r="L393" i="1"/>
  <c r="M393" i="1"/>
  <c r="N393" i="1"/>
  <c r="E394" i="1"/>
  <c r="F394" i="1"/>
  <c r="G394" i="1"/>
  <c r="H394" i="1"/>
  <c r="I394" i="1"/>
  <c r="J394" i="1"/>
  <c r="K394" i="1"/>
  <c r="L394" i="1"/>
  <c r="M394" i="1"/>
  <c r="N394" i="1"/>
  <c r="E395" i="1"/>
  <c r="F395" i="1"/>
  <c r="G395" i="1"/>
  <c r="H395" i="1"/>
  <c r="I395" i="1"/>
  <c r="J395" i="1"/>
  <c r="K395" i="1"/>
  <c r="L395" i="1"/>
  <c r="M395" i="1"/>
  <c r="N395" i="1"/>
  <c r="E396" i="1"/>
  <c r="F396" i="1"/>
  <c r="G396" i="1"/>
  <c r="H396" i="1"/>
  <c r="I396" i="1"/>
  <c r="J396" i="1"/>
  <c r="K396" i="1"/>
  <c r="L396" i="1"/>
  <c r="M396" i="1"/>
  <c r="N396" i="1"/>
  <c r="E397" i="1"/>
  <c r="F397" i="1"/>
  <c r="G397" i="1"/>
  <c r="H397" i="1"/>
  <c r="I397" i="1"/>
  <c r="J397" i="1"/>
  <c r="K397" i="1"/>
  <c r="L397" i="1"/>
  <c r="M397" i="1"/>
  <c r="N397" i="1"/>
  <c r="E398" i="1"/>
  <c r="F398" i="1"/>
  <c r="G398" i="1"/>
  <c r="H398" i="1"/>
  <c r="I398" i="1"/>
  <c r="J398" i="1"/>
  <c r="K398" i="1"/>
  <c r="L398" i="1"/>
  <c r="M398" i="1"/>
  <c r="N398" i="1"/>
  <c r="E399" i="1"/>
  <c r="F399" i="1"/>
  <c r="G399" i="1"/>
  <c r="H399" i="1"/>
  <c r="I399" i="1"/>
  <c r="J399" i="1"/>
  <c r="K399" i="1"/>
  <c r="L399" i="1"/>
  <c r="M399" i="1"/>
  <c r="N399" i="1"/>
  <c r="E400" i="1"/>
  <c r="F400" i="1"/>
  <c r="G400" i="1"/>
  <c r="H400" i="1"/>
  <c r="I400" i="1"/>
  <c r="J400" i="1"/>
  <c r="K400" i="1"/>
  <c r="L400" i="1"/>
  <c r="M400" i="1"/>
  <c r="N400" i="1"/>
  <c r="E401" i="1"/>
  <c r="F401" i="1"/>
  <c r="G401" i="1"/>
  <c r="H401" i="1"/>
  <c r="I401" i="1"/>
  <c r="J401" i="1"/>
  <c r="K401" i="1"/>
  <c r="L401" i="1"/>
  <c r="M401" i="1"/>
  <c r="N401" i="1"/>
  <c r="E402" i="1"/>
  <c r="F402" i="1"/>
  <c r="G402" i="1"/>
  <c r="H402" i="1"/>
  <c r="I402" i="1"/>
  <c r="J402" i="1"/>
  <c r="K402" i="1"/>
  <c r="L402" i="1"/>
  <c r="M402" i="1"/>
  <c r="N402" i="1"/>
  <c r="E403" i="1"/>
  <c r="F403" i="1"/>
  <c r="G403" i="1"/>
  <c r="H403" i="1"/>
  <c r="I403" i="1"/>
  <c r="J403" i="1"/>
  <c r="K403" i="1"/>
  <c r="L403" i="1"/>
  <c r="M403" i="1"/>
  <c r="N403" i="1"/>
  <c r="E404" i="1"/>
  <c r="F404" i="1"/>
  <c r="G404" i="1"/>
  <c r="H404" i="1"/>
  <c r="I404" i="1"/>
  <c r="J404" i="1"/>
  <c r="K404" i="1"/>
  <c r="L404" i="1"/>
  <c r="M404" i="1"/>
  <c r="N404" i="1"/>
  <c r="E405" i="1"/>
  <c r="F405" i="1"/>
  <c r="G405" i="1"/>
  <c r="H405" i="1"/>
  <c r="I405" i="1"/>
  <c r="J405" i="1"/>
  <c r="K405" i="1"/>
  <c r="L405" i="1"/>
  <c r="M405" i="1"/>
  <c r="N405" i="1"/>
  <c r="E406" i="1"/>
  <c r="F406" i="1"/>
  <c r="G406" i="1"/>
  <c r="H406" i="1"/>
  <c r="I406" i="1"/>
  <c r="J406" i="1"/>
  <c r="K406" i="1"/>
  <c r="L406" i="1"/>
  <c r="M406" i="1"/>
  <c r="N406" i="1"/>
  <c r="E407" i="1"/>
  <c r="F407" i="1"/>
  <c r="G407" i="1"/>
  <c r="H407" i="1"/>
  <c r="I407" i="1"/>
  <c r="J407" i="1"/>
  <c r="K407" i="1"/>
  <c r="L407" i="1"/>
  <c r="M407" i="1"/>
  <c r="N407" i="1"/>
  <c r="E408" i="1"/>
  <c r="F408" i="1"/>
  <c r="G408" i="1"/>
  <c r="H408" i="1"/>
  <c r="I408" i="1"/>
  <c r="J408" i="1"/>
  <c r="K408" i="1"/>
  <c r="L408" i="1"/>
  <c r="M408" i="1"/>
  <c r="N408" i="1"/>
  <c r="E409" i="1"/>
  <c r="F409" i="1"/>
  <c r="G409" i="1"/>
  <c r="H409" i="1"/>
  <c r="I409" i="1"/>
  <c r="J409" i="1"/>
  <c r="K409" i="1"/>
  <c r="L409" i="1"/>
  <c r="M409" i="1"/>
  <c r="N409" i="1"/>
  <c r="E410" i="1"/>
  <c r="F410" i="1"/>
  <c r="G410" i="1"/>
  <c r="H410" i="1"/>
  <c r="I410" i="1"/>
  <c r="J410" i="1"/>
  <c r="K410" i="1"/>
  <c r="L410" i="1"/>
  <c r="M410" i="1"/>
  <c r="N410" i="1"/>
  <c r="E411" i="1"/>
  <c r="F411" i="1"/>
  <c r="G411" i="1"/>
  <c r="H411" i="1"/>
  <c r="I411" i="1"/>
  <c r="J411" i="1"/>
  <c r="K411" i="1"/>
  <c r="L411" i="1"/>
  <c r="M411" i="1"/>
  <c r="N411" i="1"/>
  <c r="E412" i="1"/>
  <c r="F412" i="1"/>
  <c r="G412" i="1"/>
  <c r="H412" i="1"/>
  <c r="I412" i="1"/>
  <c r="J412" i="1"/>
  <c r="K412" i="1"/>
  <c r="L412" i="1"/>
  <c r="M412" i="1"/>
  <c r="N412" i="1"/>
  <c r="E413" i="1"/>
  <c r="F413" i="1"/>
  <c r="G413" i="1"/>
  <c r="H413" i="1"/>
  <c r="I413" i="1"/>
  <c r="J413" i="1"/>
  <c r="K413" i="1"/>
  <c r="L413" i="1"/>
  <c r="M413" i="1"/>
  <c r="N413" i="1"/>
  <c r="E414" i="1"/>
  <c r="F414" i="1"/>
  <c r="G414" i="1"/>
  <c r="H414" i="1"/>
  <c r="I414" i="1"/>
  <c r="J414" i="1"/>
  <c r="K414" i="1"/>
  <c r="L414" i="1"/>
  <c r="M414" i="1"/>
  <c r="N414" i="1"/>
  <c r="E416" i="1"/>
  <c r="F416" i="1"/>
  <c r="G416" i="1"/>
  <c r="H416" i="1"/>
  <c r="I416" i="1"/>
  <c r="J416" i="1"/>
  <c r="K416" i="1"/>
  <c r="L416" i="1"/>
  <c r="M416" i="1"/>
  <c r="N416" i="1"/>
  <c r="E417" i="1"/>
  <c r="F417" i="1"/>
  <c r="G417" i="1"/>
  <c r="H417" i="1"/>
  <c r="I417" i="1"/>
  <c r="J417" i="1"/>
  <c r="K417" i="1"/>
  <c r="L417" i="1"/>
  <c r="M417" i="1"/>
  <c r="N417" i="1"/>
  <c r="E418" i="1"/>
  <c r="F418" i="1"/>
  <c r="G418" i="1"/>
  <c r="H418" i="1"/>
  <c r="I418" i="1"/>
  <c r="J418" i="1"/>
  <c r="K418" i="1"/>
  <c r="L418" i="1"/>
  <c r="M418" i="1"/>
  <c r="N418" i="1"/>
  <c r="E421" i="1"/>
  <c r="F421" i="1"/>
  <c r="G421" i="1"/>
  <c r="H421" i="1"/>
  <c r="I421" i="1"/>
  <c r="J421" i="1"/>
  <c r="K421" i="1"/>
  <c r="L421" i="1"/>
  <c r="M421" i="1"/>
  <c r="N421" i="1"/>
  <c r="E422" i="1"/>
  <c r="F422" i="1"/>
  <c r="G422" i="1"/>
  <c r="H422" i="1"/>
  <c r="I422" i="1"/>
  <c r="J422" i="1"/>
  <c r="K422" i="1"/>
  <c r="L422" i="1"/>
  <c r="M422" i="1"/>
  <c r="N422" i="1"/>
  <c r="E423" i="1"/>
  <c r="F423" i="1"/>
  <c r="G423" i="1"/>
  <c r="H423" i="1"/>
  <c r="I423" i="1"/>
  <c r="J423" i="1"/>
  <c r="K423" i="1"/>
  <c r="L423" i="1"/>
  <c r="M423" i="1"/>
  <c r="N423" i="1"/>
  <c r="E432" i="1"/>
  <c r="F432" i="1"/>
  <c r="G432" i="1"/>
  <c r="H432" i="1"/>
  <c r="I432" i="1"/>
  <c r="J432" i="1"/>
  <c r="K432" i="1"/>
  <c r="L432" i="1"/>
  <c r="M432" i="1"/>
  <c r="N432" i="1"/>
  <c r="E434" i="1"/>
  <c r="F434" i="1"/>
  <c r="G434" i="1"/>
  <c r="H434" i="1"/>
  <c r="I434" i="1"/>
  <c r="J434" i="1"/>
  <c r="K434" i="1"/>
  <c r="L434" i="1"/>
  <c r="M434" i="1"/>
  <c r="N434" i="1"/>
  <c r="E435" i="1"/>
  <c r="F435" i="1"/>
  <c r="G435" i="1"/>
  <c r="H435" i="1"/>
  <c r="I435" i="1"/>
  <c r="J435" i="1"/>
  <c r="K435" i="1"/>
  <c r="L435" i="1"/>
  <c r="M435" i="1"/>
  <c r="N435" i="1"/>
  <c r="E436" i="1"/>
  <c r="F436" i="1"/>
  <c r="G436" i="1"/>
  <c r="H436" i="1"/>
  <c r="I436" i="1"/>
  <c r="J436" i="1"/>
  <c r="K436" i="1"/>
  <c r="L436" i="1"/>
  <c r="M436" i="1"/>
  <c r="N436" i="1"/>
  <c r="E437" i="1"/>
  <c r="F437" i="1"/>
  <c r="G437" i="1"/>
  <c r="H437" i="1"/>
  <c r="I437" i="1"/>
  <c r="J437" i="1"/>
  <c r="K437" i="1"/>
  <c r="L437" i="1"/>
  <c r="M437" i="1"/>
  <c r="N437" i="1"/>
  <c r="E438" i="1"/>
  <c r="F438" i="1"/>
  <c r="G438" i="1"/>
  <c r="H438" i="1"/>
  <c r="I438" i="1"/>
  <c r="J438" i="1"/>
  <c r="K438" i="1"/>
  <c r="L438" i="1"/>
  <c r="M438" i="1"/>
  <c r="N438" i="1"/>
  <c r="E439" i="1"/>
  <c r="F439" i="1"/>
  <c r="G439" i="1"/>
  <c r="H439" i="1"/>
  <c r="I439" i="1"/>
  <c r="J439" i="1"/>
  <c r="K439" i="1"/>
  <c r="L439" i="1"/>
  <c r="M439" i="1"/>
  <c r="N439" i="1"/>
  <c r="E444" i="1"/>
  <c r="F444" i="1"/>
  <c r="G444" i="1"/>
  <c r="H444" i="1"/>
  <c r="I444" i="1"/>
  <c r="J444" i="1"/>
  <c r="K444" i="1"/>
  <c r="L444" i="1"/>
  <c r="M444" i="1"/>
  <c r="N444" i="1"/>
  <c r="E449" i="1"/>
  <c r="F449" i="1"/>
  <c r="G449" i="1"/>
  <c r="H449" i="1"/>
  <c r="I449" i="1"/>
  <c r="J449" i="1"/>
  <c r="K449" i="1"/>
  <c r="L449" i="1"/>
  <c r="M449" i="1"/>
  <c r="N449" i="1"/>
  <c r="E450" i="1"/>
  <c r="F450" i="1"/>
  <c r="G450" i="1"/>
  <c r="H450" i="1"/>
  <c r="I450" i="1"/>
  <c r="J450" i="1"/>
  <c r="K450" i="1"/>
  <c r="L450" i="1"/>
  <c r="M450" i="1"/>
  <c r="N450" i="1"/>
  <c r="E451" i="1"/>
  <c r="F451" i="1"/>
  <c r="G451" i="1"/>
  <c r="H451" i="1"/>
  <c r="I451" i="1"/>
  <c r="J451" i="1"/>
  <c r="K451" i="1"/>
  <c r="L451" i="1"/>
  <c r="M451" i="1"/>
  <c r="N451" i="1"/>
  <c r="E452" i="1"/>
  <c r="F452" i="1"/>
  <c r="G452" i="1"/>
  <c r="H452" i="1"/>
  <c r="I452" i="1"/>
  <c r="J452" i="1"/>
  <c r="K452" i="1"/>
  <c r="L452" i="1"/>
  <c r="M452" i="1"/>
  <c r="N452" i="1"/>
  <c r="E453" i="1"/>
  <c r="F453" i="1"/>
  <c r="G453" i="1"/>
  <c r="H453" i="1"/>
  <c r="I453" i="1"/>
  <c r="J453" i="1"/>
  <c r="K453" i="1"/>
  <c r="L453" i="1"/>
  <c r="M453" i="1"/>
  <c r="N453" i="1"/>
  <c r="E456" i="1"/>
  <c r="F456" i="1"/>
  <c r="G456" i="1"/>
  <c r="H456" i="1"/>
  <c r="I456" i="1"/>
  <c r="J456" i="1"/>
  <c r="K456" i="1"/>
  <c r="L456" i="1"/>
  <c r="M456" i="1"/>
  <c r="N456" i="1"/>
  <c r="E457" i="1"/>
  <c r="F457" i="1"/>
  <c r="G457" i="1"/>
  <c r="H457" i="1"/>
  <c r="I457" i="1"/>
  <c r="J457" i="1"/>
  <c r="K457" i="1"/>
  <c r="L457" i="1"/>
  <c r="M457" i="1"/>
  <c r="N457" i="1"/>
  <c r="E459" i="1"/>
  <c r="F459" i="1"/>
  <c r="G459" i="1"/>
  <c r="H459" i="1"/>
  <c r="I459" i="1"/>
  <c r="J459" i="1"/>
  <c r="K459" i="1"/>
  <c r="L459" i="1"/>
  <c r="M459" i="1"/>
  <c r="N459" i="1"/>
  <c r="E460" i="1"/>
  <c r="F460" i="1"/>
  <c r="G460" i="1"/>
  <c r="H460" i="1"/>
  <c r="I460" i="1"/>
  <c r="J460" i="1"/>
  <c r="K460" i="1"/>
  <c r="L460" i="1"/>
  <c r="M460" i="1"/>
  <c r="N460" i="1"/>
  <c r="E461" i="1"/>
  <c r="F461" i="1"/>
  <c r="G461" i="1"/>
  <c r="H461" i="1"/>
  <c r="I461" i="1"/>
  <c r="J461" i="1"/>
  <c r="K461" i="1"/>
  <c r="L461" i="1"/>
  <c r="M461" i="1"/>
  <c r="N461" i="1"/>
  <c r="E462" i="1"/>
  <c r="F462" i="1"/>
  <c r="G462" i="1"/>
  <c r="H462" i="1"/>
  <c r="I462" i="1"/>
  <c r="J462" i="1"/>
  <c r="K462" i="1"/>
  <c r="L462" i="1"/>
  <c r="M462" i="1"/>
  <c r="N462" i="1"/>
  <c r="E463" i="1"/>
  <c r="F463" i="1"/>
  <c r="G463" i="1"/>
  <c r="H463" i="1"/>
  <c r="I463" i="1"/>
  <c r="J463" i="1"/>
  <c r="K463" i="1"/>
  <c r="L463" i="1"/>
  <c r="M463" i="1"/>
  <c r="N463" i="1"/>
  <c r="E491" i="1"/>
  <c r="F491" i="1"/>
  <c r="G491" i="1"/>
  <c r="H491" i="1"/>
  <c r="I491" i="1"/>
  <c r="J491" i="1"/>
  <c r="K491" i="1"/>
  <c r="L491" i="1"/>
  <c r="M491" i="1"/>
  <c r="N491" i="1"/>
  <c r="E493" i="1"/>
  <c r="F493" i="1"/>
  <c r="G493" i="1"/>
  <c r="H493" i="1"/>
  <c r="I493" i="1"/>
  <c r="J493" i="1"/>
  <c r="K493" i="1"/>
  <c r="L493" i="1"/>
  <c r="M493" i="1"/>
  <c r="N493" i="1"/>
  <c r="E494" i="1"/>
  <c r="F494" i="1"/>
  <c r="G494" i="1"/>
  <c r="H494" i="1"/>
  <c r="I494" i="1"/>
  <c r="J494" i="1"/>
  <c r="K494" i="1"/>
  <c r="L494" i="1"/>
  <c r="M494" i="1"/>
  <c r="N494" i="1"/>
  <c r="E496" i="1"/>
  <c r="F496" i="1"/>
  <c r="G496" i="1"/>
  <c r="H496" i="1"/>
  <c r="I496" i="1"/>
  <c r="J496" i="1"/>
  <c r="K496" i="1"/>
  <c r="L496" i="1"/>
  <c r="M496" i="1"/>
  <c r="N496" i="1"/>
  <c r="E497" i="1"/>
  <c r="F497" i="1"/>
  <c r="G497" i="1"/>
  <c r="H497" i="1"/>
  <c r="I497" i="1"/>
  <c r="J497" i="1"/>
  <c r="K497" i="1"/>
  <c r="L497" i="1"/>
  <c r="M497" i="1"/>
  <c r="N497" i="1"/>
  <c r="E498" i="1"/>
  <c r="F498" i="1"/>
  <c r="G498" i="1"/>
  <c r="H498" i="1"/>
  <c r="I498" i="1"/>
  <c r="J498" i="1"/>
  <c r="K498" i="1"/>
  <c r="L498" i="1"/>
  <c r="M498" i="1"/>
  <c r="N498" i="1"/>
  <c r="E499" i="1"/>
  <c r="F499" i="1"/>
  <c r="G499" i="1"/>
  <c r="H499" i="1"/>
  <c r="I499" i="1"/>
  <c r="J499" i="1"/>
  <c r="K499" i="1"/>
  <c r="L499" i="1"/>
  <c r="M499" i="1"/>
  <c r="N499" i="1"/>
  <c r="E500" i="1"/>
  <c r="F500" i="1"/>
  <c r="G500" i="1"/>
  <c r="H500" i="1"/>
  <c r="I500" i="1"/>
  <c r="J500" i="1"/>
  <c r="K500" i="1"/>
  <c r="L500" i="1"/>
  <c r="M500" i="1"/>
  <c r="N500" i="1"/>
  <c r="E501" i="1"/>
  <c r="F501" i="1"/>
  <c r="G501" i="1"/>
  <c r="H501" i="1"/>
  <c r="I501" i="1"/>
  <c r="J501" i="1"/>
  <c r="K501" i="1"/>
  <c r="L501" i="1"/>
  <c r="M501" i="1"/>
  <c r="N501" i="1"/>
  <c r="E502" i="1"/>
  <c r="F502" i="1"/>
  <c r="G502" i="1"/>
  <c r="H502" i="1"/>
  <c r="I502" i="1"/>
  <c r="J502" i="1"/>
  <c r="K502" i="1"/>
  <c r="L502" i="1"/>
  <c r="M502" i="1"/>
  <c r="N502" i="1"/>
  <c r="E503" i="1"/>
  <c r="F503" i="1"/>
  <c r="G503" i="1"/>
  <c r="H503" i="1"/>
  <c r="I503" i="1"/>
  <c r="J503" i="1"/>
  <c r="K503" i="1"/>
  <c r="L503" i="1"/>
  <c r="M503" i="1"/>
  <c r="N503" i="1"/>
  <c r="E504" i="1"/>
  <c r="F504" i="1"/>
  <c r="G504" i="1"/>
  <c r="H504" i="1"/>
  <c r="I504" i="1"/>
  <c r="J504" i="1"/>
  <c r="K504" i="1"/>
  <c r="L504" i="1"/>
  <c r="M504" i="1"/>
  <c r="N504" i="1"/>
  <c r="E505" i="1"/>
  <c r="F505" i="1"/>
  <c r="G505" i="1"/>
  <c r="H505" i="1"/>
  <c r="I505" i="1"/>
  <c r="J505" i="1"/>
  <c r="K505" i="1"/>
  <c r="L505" i="1"/>
  <c r="M505" i="1"/>
  <c r="N505" i="1"/>
  <c r="E506" i="1"/>
  <c r="F506" i="1"/>
  <c r="G506" i="1"/>
  <c r="H506" i="1"/>
  <c r="I506" i="1"/>
  <c r="J506" i="1"/>
  <c r="K506" i="1"/>
  <c r="L506" i="1"/>
  <c r="M506" i="1"/>
  <c r="N506" i="1"/>
  <c r="E509" i="1"/>
  <c r="F509" i="1"/>
  <c r="G509" i="1"/>
  <c r="H509" i="1"/>
  <c r="I509" i="1"/>
  <c r="J509" i="1"/>
  <c r="K509" i="1"/>
  <c r="L509" i="1"/>
  <c r="M509" i="1"/>
  <c r="N509" i="1"/>
  <c r="E511" i="1"/>
  <c r="F511" i="1"/>
  <c r="G511" i="1"/>
  <c r="H511" i="1"/>
  <c r="I511" i="1"/>
  <c r="J511" i="1"/>
  <c r="K511" i="1"/>
  <c r="L511" i="1"/>
  <c r="M511" i="1"/>
  <c r="N511" i="1"/>
  <c r="E512" i="1"/>
  <c r="F512" i="1"/>
  <c r="G512" i="1"/>
  <c r="H512" i="1"/>
  <c r="I512" i="1"/>
  <c r="J512" i="1"/>
  <c r="K512" i="1"/>
  <c r="L512" i="1"/>
  <c r="M512" i="1"/>
  <c r="N512" i="1"/>
  <c r="E515" i="1"/>
  <c r="F515" i="1"/>
  <c r="G515" i="1"/>
  <c r="H515" i="1"/>
  <c r="I515" i="1"/>
  <c r="J515" i="1"/>
  <c r="K515" i="1"/>
  <c r="L515" i="1"/>
  <c r="M515" i="1"/>
  <c r="N515" i="1"/>
  <c r="E516" i="1"/>
  <c r="F516" i="1"/>
  <c r="G516" i="1"/>
  <c r="H516" i="1"/>
  <c r="I516" i="1"/>
  <c r="J516" i="1"/>
  <c r="K516" i="1"/>
  <c r="L516" i="1"/>
  <c r="M516" i="1"/>
  <c r="N516" i="1"/>
  <c r="E518" i="1"/>
  <c r="F518" i="1"/>
  <c r="G518" i="1"/>
  <c r="H518" i="1"/>
  <c r="I518" i="1"/>
  <c r="J518" i="1"/>
  <c r="K518" i="1"/>
  <c r="L518" i="1"/>
  <c r="M518" i="1"/>
  <c r="N518" i="1"/>
  <c r="E519" i="1"/>
  <c r="F519" i="1"/>
  <c r="G519" i="1"/>
  <c r="H519" i="1"/>
  <c r="I519" i="1"/>
  <c r="J519" i="1"/>
  <c r="K519" i="1"/>
  <c r="L519" i="1"/>
  <c r="M519" i="1"/>
  <c r="N519" i="1"/>
  <c r="E520" i="1"/>
  <c r="F520" i="1"/>
  <c r="G520" i="1"/>
  <c r="H520" i="1"/>
  <c r="I520" i="1"/>
  <c r="J520" i="1"/>
  <c r="K520" i="1"/>
  <c r="L520" i="1"/>
  <c r="M520" i="1"/>
  <c r="N520" i="1"/>
  <c r="E521" i="1"/>
  <c r="F521" i="1"/>
  <c r="G521" i="1"/>
  <c r="H521" i="1"/>
  <c r="I521" i="1"/>
  <c r="J521" i="1"/>
  <c r="K521" i="1"/>
  <c r="L521" i="1"/>
  <c r="M521" i="1"/>
  <c r="N521" i="1"/>
  <c r="E522" i="1"/>
  <c r="F522" i="1"/>
  <c r="G522" i="1"/>
  <c r="H522" i="1"/>
  <c r="I522" i="1"/>
  <c r="J522" i="1"/>
  <c r="K522" i="1"/>
  <c r="L522" i="1"/>
  <c r="M522" i="1"/>
  <c r="N522" i="1"/>
  <c r="E524" i="1"/>
  <c r="F524" i="1"/>
  <c r="G524" i="1"/>
  <c r="H524" i="1"/>
  <c r="I524" i="1"/>
  <c r="J524" i="1"/>
  <c r="K524" i="1"/>
  <c r="L524" i="1"/>
  <c r="M524" i="1"/>
  <c r="N524" i="1"/>
  <c r="E528" i="1"/>
  <c r="F528" i="1"/>
  <c r="G528" i="1"/>
  <c r="H528" i="1"/>
  <c r="I528" i="1"/>
  <c r="J528" i="1"/>
  <c r="K528" i="1"/>
  <c r="L528" i="1"/>
  <c r="M528" i="1"/>
  <c r="N528" i="1"/>
  <c r="E529" i="1"/>
  <c r="F529" i="1"/>
  <c r="G529" i="1"/>
  <c r="H529" i="1"/>
  <c r="I529" i="1"/>
  <c r="J529" i="1"/>
  <c r="K529" i="1"/>
  <c r="L529" i="1"/>
  <c r="M529" i="1"/>
  <c r="N529" i="1"/>
  <c r="E532" i="1"/>
  <c r="F532" i="1"/>
  <c r="G532" i="1"/>
  <c r="H532" i="1"/>
  <c r="I532" i="1"/>
  <c r="J532" i="1"/>
  <c r="K532" i="1"/>
  <c r="L532" i="1"/>
  <c r="M532" i="1"/>
  <c r="N532" i="1"/>
  <c r="E533" i="1"/>
  <c r="F533" i="1"/>
  <c r="G533" i="1"/>
  <c r="H533" i="1"/>
  <c r="I533" i="1"/>
  <c r="J533" i="1"/>
  <c r="K533" i="1"/>
  <c r="L533" i="1"/>
  <c r="M533" i="1"/>
  <c r="N533" i="1"/>
  <c r="E534" i="1"/>
  <c r="F534" i="1"/>
  <c r="G534" i="1"/>
  <c r="H534" i="1"/>
  <c r="I534" i="1"/>
  <c r="J534" i="1"/>
  <c r="K534" i="1"/>
  <c r="L534" i="1"/>
  <c r="M534" i="1"/>
  <c r="N534" i="1"/>
  <c r="E535" i="1"/>
  <c r="F535" i="1"/>
  <c r="G535" i="1"/>
  <c r="H535" i="1"/>
  <c r="I535" i="1"/>
  <c r="J535" i="1"/>
  <c r="K535" i="1"/>
  <c r="L535" i="1"/>
  <c r="M535" i="1"/>
  <c r="N535" i="1"/>
  <c r="E536" i="1"/>
  <c r="F536" i="1"/>
  <c r="G536" i="1"/>
  <c r="H536" i="1"/>
  <c r="I536" i="1"/>
  <c r="J536" i="1"/>
  <c r="K536" i="1"/>
  <c r="L536" i="1"/>
  <c r="M536" i="1"/>
  <c r="N536" i="1"/>
  <c r="E538" i="1"/>
  <c r="F538" i="1"/>
  <c r="G538" i="1"/>
  <c r="H538" i="1"/>
  <c r="I538" i="1"/>
  <c r="J538" i="1"/>
  <c r="K538" i="1"/>
  <c r="L538" i="1"/>
  <c r="M538" i="1"/>
  <c r="N538" i="1"/>
  <c r="E539" i="1"/>
  <c r="F539" i="1"/>
  <c r="G539" i="1"/>
  <c r="H539" i="1"/>
  <c r="I539" i="1"/>
  <c r="J539" i="1"/>
  <c r="K539" i="1"/>
  <c r="L539" i="1"/>
  <c r="M539" i="1"/>
  <c r="N539" i="1"/>
  <c r="E540" i="1"/>
  <c r="F540" i="1"/>
  <c r="G540" i="1"/>
  <c r="H540" i="1"/>
  <c r="I540" i="1"/>
  <c r="J540" i="1"/>
  <c r="K540" i="1"/>
  <c r="L540" i="1"/>
  <c r="M540" i="1"/>
  <c r="N540" i="1"/>
  <c r="E542" i="1"/>
  <c r="F542" i="1"/>
  <c r="G542" i="1"/>
  <c r="H542" i="1"/>
  <c r="I542" i="1"/>
  <c r="J542" i="1"/>
  <c r="K542" i="1"/>
  <c r="L542" i="1"/>
  <c r="M542" i="1"/>
  <c r="N542" i="1"/>
  <c r="E543" i="1"/>
  <c r="F543" i="1"/>
  <c r="G543" i="1"/>
  <c r="H543" i="1"/>
  <c r="I543" i="1"/>
  <c r="J543" i="1"/>
  <c r="K543" i="1"/>
  <c r="L543" i="1"/>
  <c r="M543" i="1"/>
  <c r="N543" i="1"/>
  <c r="E544" i="1"/>
  <c r="F544" i="1"/>
  <c r="G544" i="1"/>
  <c r="H544" i="1"/>
  <c r="I544" i="1"/>
  <c r="J544" i="1"/>
  <c r="K544" i="1"/>
  <c r="L544" i="1"/>
  <c r="M544" i="1"/>
  <c r="N544" i="1"/>
  <c r="E545" i="1"/>
  <c r="F545" i="1"/>
  <c r="G545" i="1"/>
  <c r="H545" i="1"/>
  <c r="I545" i="1"/>
  <c r="J545" i="1"/>
  <c r="K545" i="1"/>
  <c r="L545" i="1"/>
  <c r="M545" i="1"/>
  <c r="N545" i="1"/>
  <c r="AI279" i="1"/>
  <c r="AI280" i="1"/>
  <c r="AI281" i="1"/>
  <c r="AI282" i="1"/>
  <c r="AI444" i="1"/>
  <c r="AJ444" i="1"/>
  <c r="AI445" i="1"/>
  <c r="AJ445" i="1"/>
  <c r="AI446" i="1"/>
  <c r="AJ446" i="1"/>
  <c r="AI447" i="1"/>
  <c r="AJ447" i="1"/>
  <c r="AG279" i="1"/>
  <c r="AG280" i="1"/>
  <c r="AG281" i="1"/>
  <c r="AG282" i="1"/>
  <c r="AG444" i="1"/>
  <c r="AH444" i="1"/>
  <c r="AG445" i="1"/>
  <c r="AH445" i="1"/>
  <c r="AG446" i="1"/>
  <c r="AH446" i="1"/>
  <c r="AG447" i="1"/>
  <c r="AH447" i="1"/>
  <c r="X282" i="1"/>
  <c r="Z282" i="1" s="1"/>
  <c r="AB282" i="1" s="1"/>
  <c r="AD282" i="1" s="1"/>
  <c r="W282" i="1"/>
  <c r="Y282" i="1" s="1"/>
  <c r="AA282" i="1" s="1"/>
  <c r="AC282" i="1" s="1"/>
  <c r="AE282" i="1" s="1"/>
  <c r="X281" i="1"/>
  <c r="Z281" i="1" s="1"/>
  <c r="AB281" i="1" s="1"/>
  <c r="AD281" i="1" s="1"/>
  <c r="W281" i="1"/>
  <c r="Y281" i="1" s="1"/>
  <c r="AA281" i="1" s="1"/>
  <c r="AC281" i="1" s="1"/>
  <c r="AE281" i="1" s="1"/>
  <c r="X280" i="1"/>
  <c r="Z280" i="1" s="1"/>
  <c r="AB280" i="1" s="1"/>
  <c r="AD280" i="1" s="1"/>
  <c r="W280" i="1"/>
  <c r="Y280" i="1" s="1"/>
  <c r="AA280" i="1" s="1"/>
  <c r="AC280" i="1" s="1"/>
  <c r="AE280" i="1" s="1"/>
  <c r="X279" i="1"/>
  <c r="Z279" i="1" s="1"/>
  <c r="AB279" i="1" s="1"/>
  <c r="AD279" i="1" s="1"/>
  <c r="W279" i="1"/>
  <c r="Y279" i="1" s="1"/>
  <c r="AA279" i="1" s="1"/>
  <c r="AC279" i="1" s="1"/>
  <c r="AE279" i="1" s="1"/>
  <c r="W444" i="1"/>
  <c r="Y444" i="1" s="1"/>
  <c r="AA444" i="1" s="1"/>
  <c r="AC444" i="1" s="1"/>
  <c r="AE444" i="1" s="1"/>
  <c r="W445" i="1"/>
  <c r="Y445" i="1" s="1"/>
  <c r="AA445" i="1" s="1"/>
  <c r="AC445" i="1" s="1"/>
  <c r="AE445" i="1" s="1"/>
  <c r="V445" i="1"/>
  <c r="X445" i="1" s="1"/>
  <c r="Z445" i="1" s="1"/>
  <c r="AB445" i="1" s="1"/>
  <c r="AD445" i="1" s="1"/>
  <c r="AF445" i="1" s="1"/>
  <c r="V444" i="1"/>
  <c r="X444" i="1" s="1"/>
  <c r="Z444" i="1" s="1"/>
  <c r="AB444" i="1" s="1"/>
  <c r="AD444" i="1" s="1"/>
  <c r="AF444" i="1" s="1"/>
  <c r="R447" i="1"/>
  <c r="T447" i="1" s="1"/>
  <c r="V447" i="1" s="1"/>
  <c r="X447" i="1" s="1"/>
  <c r="Z447" i="1" s="1"/>
  <c r="AB447" i="1" s="1"/>
  <c r="AD447" i="1" s="1"/>
  <c r="AF447" i="1" s="1"/>
  <c r="Q447" i="1"/>
  <c r="S447" i="1" s="1"/>
  <c r="U447" i="1" s="1"/>
  <c r="W447" i="1" s="1"/>
  <c r="Y447" i="1" s="1"/>
  <c r="AA447" i="1" s="1"/>
  <c r="AC447" i="1" s="1"/>
  <c r="AE447" i="1" s="1"/>
  <c r="R446" i="1"/>
  <c r="T446" i="1" s="1"/>
  <c r="V446" i="1" s="1"/>
  <c r="X446" i="1" s="1"/>
  <c r="Z446" i="1" s="1"/>
  <c r="AB446" i="1" s="1"/>
  <c r="AD446" i="1" s="1"/>
  <c r="AF446" i="1" s="1"/>
  <c r="Q446" i="1"/>
  <c r="S446" i="1" s="1"/>
  <c r="U446" i="1" s="1"/>
  <c r="W446" i="1" s="1"/>
  <c r="Y446" i="1" s="1"/>
  <c r="AA446" i="1" s="1"/>
  <c r="AC446" i="1" s="1"/>
  <c r="AE446" i="1" s="1"/>
  <c r="Q92" i="1"/>
  <c r="S92" i="1" s="1"/>
  <c r="U92" i="1" s="1"/>
  <c r="W92" i="1" s="1"/>
  <c r="Y92" i="1" s="1"/>
  <c r="AA92" i="1" s="1"/>
  <c r="AC92" i="1" s="1"/>
  <c r="AE92" i="1" s="1"/>
  <c r="AG92" i="1" s="1"/>
  <c r="AI92" i="1" s="1"/>
  <c r="Q91" i="1"/>
  <c r="S91" i="1" s="1"/>
  <c r="U91" i="1" s="1"/>
  <c r="W91" i="1" s="1"/>
  <c r="Y91" i="1" s="1"/>
  <c r="AA91" i="1" s="1"/>
  <c r="AC91" i="1" s="1"/>
  <c r="AE91" i="1" s="1"/>
  <c r="AG91" i="1" s="1"/>
  <c r="AI91" i="1" s="1"/>
  <c r="P565" i="1"/>
  <c r="R565" i="1" s="1"/>
  <c r="T565" i="1" s="1"/>
  <c r="V565" i="1" s="1"/>
  <c r="X565" i="1" s="1"/>
  <c r="Z565" i="1" s="1"/>
  <c r="AB565" i="1" s="1"/>
  <c r="AD565" i="1" s="1"/>
  <c r="AF565" i="1" s="1"/>
  <c r="AH565" i="1" s="1"/>
  <c r="AJ565" i="1" s="1"/>
  <c r="O565" i="1"/>
  <c r="Q565" i="1" s="1"/>
  <c r="S565" i="1" s="1"/>
  <c r="U565" i="1" s="1"/>
  <c r="W565" i="1" s="1"/>
  <c r="Y565" i="1" s="1"/>
  <c r="AA565" i="1" s="1"/>
  <c r="AC565" i="1" s="1"/>
  <c r="AE565" i="1" s="1"/>
  <c r="AG565" i="1" s="1"/>
  <c r="AI565" i="1" s="1"/>
  <c r="P564" i="1"/>
  <c r="R564" i="1" s="1"/>
  <c r="T564" i="1" s="1"/>
  <c r="V564" i="1" s="1"/>
  <c r="X564" i="1" s="1"/>
  <c r="Z564" i="1" s="1"/>
  <c r="AB564" i="1" s="1"/>
  <c r="AD564" i="1" s="1"/>
  <c r="AF564" i="1" s="1"/>
  <c r="AH564" i="1" s="1"/>
  <c r="AJ564" i="1" s="1"/>
  <c r="O564" i="1"/>
  <c r="Q564" i="1" s="1"/>
  <c r="S564" i="1" s="1"/>
  <c r="U564" i="1" s="1"/>
  <c r="W564" i="1" s="1"/>
  <c r="Y564" i="1" s="1"/>
  <c r="AA564" i="1" s="1"/>
  <c r="AC564" i="1" s="1"/>
  <c r="AE564" i="1" s="1"/>
  <c r="AG564" i="1" s="1"/>
  <c r="AI564" i="1" s="1"/>
  <c r="P563" i="1"/>
  <c r="R563" i="1" s="1"/>
  <c r="T563" i="1" s="1"/>
  <c r="V563" i="1" s="1"/>
  <c r="X563" i="1" s="1"/>
  <c r="Z563" i="1" s="1"/>
  <c r="AB563" i="1" s="1"/>
  <c r="AD563" i="1" s="1"/>
  <c r="AF563" i="1" s="1"/>
  <c r="AH563" i="1" s="1"/>
  <c r="AJ563" i="1" s="1"/>
  <c r="O563" i="1"/>
  <c r="Q563" i="1" s="1"/>
  <c r="S563" i="1" s="1"/>
  <c r="U563" i="1" s="1"/>
  <c r="W563" i="1" s="1"/>
  <c r="Y563" i="1" s="1"/>
  <c r="AA563" i="1" s="1"/>
  <c r="AC563" i="1" s="1"/>
  <c r="AE563" i="1" s="1"/>
  <c r="AG563" i="1" s="1"/>
  <c r="AI563" i="1" s="1"/>
  <c r="P562" i="1"/>
  <c r="R562" i="1" s="1"/>
  <c r="T562" i="1" s="1"/>
  <c r="V562" i="1" s="1"/>
  <c r="X562" i="1" s="1"/>
  <c r="Z562" i="1" s="1"/>
  <c r="AB562" i="1" s="1"/>
  <c r="AD562" i="1" s="1"/>
  <c r="AF562" i="1" s="1"/>
  <c r="AH562" i="1" s="1"/>
  <c r="AJ562" i="1" s="1"/>
  <c r="O562" i="1"/>
  <c r="Q562" i="1" s="1"/>
  <c r="S562" i="1" s="1"/>
  <c r="U562" i="1" s="1"/>
  <c r="W562" i="1" s="1"/>
  <c r="Y562" i="1" s="1"/>
  <c r="AA562" i="1" s="1"/>
  <c r="AC562" i="1" s="1"/>
  <c r="AE562" i="1" s="1"/>
  <c r="AG562" i="1" s="1"/>
  <c r="AI562" i="1" s="1"/>
  <c r="P561" i="1"/>
  <c r="R561" i="1" s="1"/>
  <c r="T561" i="1" s="1"/>
  <c r="V561" i="1" s="1"/>
  <c r="X561" i="1" s="1"/>
  <c r="Z561" i="1" s="1"/>
  <c r="AB561" i="1" s="1"/>
  <c r="AD561" i="1" s="1"/>
  <c r="AF561" i="1" s="1"/>
  <c r="AH561" i="1" s="1"/>
  <c r="AJ561" i="1" s="1"/>
  <c r="O561" i="1"/>
  <c r="Q561" i="1" s="1"/>
  <c r="S561" i="1" s="1"/>
  <c r="U561" i="1" s="1"/>
  <c r="W561" i="1" s="1"/>
  <c r="Y561" i="1" s="1"/>
  <c r="AA561" i="1" s="1"/>
  <c r="AC561" i="1" s="1"/>
  <c r="AE561" i="1" s="1"/>
  <c r="AG561" i="1" s="1"/>
  <c r="AI561" i="1" s="1"/>
  <c r="P560" i="1"/>
  <c r="R560" i="1" s="1"/>
  <c r="T560" i="1" s="1"/>
  <c r="V560" i="1" s="1"/>
  <c r="X560" i="1" s="1"/>
  <c r="Z560" i="1" s="1"/>
  <c r="AB560" i="1" s="1"/>
  <c r="AD560" i="1" s="1"/>
  <c r="AF560" i="1" s="1"/>
  <c r="AH560" i="1" s="1"/>
  <c r="AJ560" i="1" s="1"/>
  <c r="O560" i="1"/>
  <c r="Q560" i="1" s="1"/>
  <c r="S560" i="1" s="1"/>
  <c r="U560" i="1" s="1"/>
  <c r="W560" i="1" s="1"/>
  <c r="Y560" i="1" s="1"/>
  <c r="AA560" i="1" s="1"/>
  <c r="AC560" i="1" s="1"/>
  <c r="AE560" i="1" s="1"/>
  <c r="AG560" i="1" s="1"/>
  <c r="AI560" i="1" s="1"/>
  <c r="P559" i="1"/>
  <c r="R559" i="1" s="1"/>
  <c r="T559" i="1" s="1"/>
  <c r="V559" i="1" s="1"/>
  <c r="X559" i="1" s="1"/>
  <c r="Z559" i="1" s="1"/>
  <c r="AB559" i="1" s="1"/>
  <c r="AD559" i="1" s="1"/>
  <c r="AF559" i="1" s="1"/>
  <c r="AH559" i="1" s="1"/>
  <c r="AJ559" i="1" s="1"/>
  <c r="O559" i="1"/>
  <c r="Q559" i="1" s="1"/>
  <c r="S559" i="1" s="1"/>
  <c r="U559" i="1" s="1"/>
  <c r="W559" i="1" s="1"/>
  <c r="Y559" i="1" s="1"/>
  <c r="AA559" i="1" s="1"/>
  <c r="AC559" i="1" s="1"/>
  <c r="AE559" i="1" s="1"/>
  <c r="AG559" i="1" s="1"/>
  <c r="AI559" i="1" s="1"/>
  <c r="P558" i="1"/>
  <c r="R558" i="1" s="1"/>
  <c r="T558" i="1" s="1"/>
  <c r="V558" i="1" s="1"/>
  <c r="X558" i="1" s="1"/>
  <c r="Z558" i="1" s="1"/>
  <c r="AB558" i="1" s="1"/>
  <c r="AD558" i="1" s="1"/>
  <c r="AF558" i="1" s="1"/>
  <c r="AH558" i="1" s="1"/>
  <c r="AJ558" i="1" s="1"/>
  <c r="O558" i="1"/>
  <c r="Q558" i="1" s="1"/>
  <c r="S558" i="1" s="1"/>
  <c r="U558" i="1" s="1"/>
  <c r="W558" i="1" s="1"/>
  <c r="Y558" i="1" s="1"/>
  <c r="AA558" i="1" s="1"/>
  <c r="AC558" i="1" s="1"/>
  <c r="AE558" i="1" s="1"/>
  <c r="AG558" i="1" s="1"/>
  <c r="AI558" i="1" s="1"/>
  <c r="P557" i="1"/>
  <c r="R557" i="1" s="1"/>
  <c r="T557" i="1" s="1"/>
  <c r="V557" i="1" s="1"/>
  <c r="X557" i="1" s="1"/>
  <c r="Z557" i="1" s="1"/>
  <c r="AB557" i="1" s="1"/>
  <c r="AD557" i="1" s="1"/>
  <c r="AF557" i="1" s="1"/>
  <c r="AH557" i="1" s="1"/>
  <c r="AJ557" i="1" s="1"/>
  <c r="O557" i="1"/>
  <c r="Q557" i="1" s="1"/>
  <c r="S557" i="1" s="1"/>
  <c r="U557" i="1" s="1"/>
  <c r="W557" i="1" s="1"/>
  <c r="Y557" i="1" s="1"/>
  <c r="AA557" i="1" s="1"/>
  <c r="AC557" i="1" s="1"/>
  <c r="AE557" i="1" s="1"/>
  <c r="AG557" i="1" s="1"/>
  <c r="AI557" i="1" s="1"/>
  <c r="P556" i="1"/>
  <c r="R556" i="1" s="1"/>
  <c r="T556" i="1" s="1"/>
  <c r="V556" i="1" s="1"/>
  <c r="X556" i="1" s="1"/>
  <c r="Z556" i="1" s="1"/>
  <c r="AB556" i="1" s="1"/>
  <c r="AD556" i="1" s="1"/>
  <c r="AF556" i="1" s="1"/>
  <c r="AH556" i="1" s="1"/>
  <c r="AJ556" i="1" s="1"/>
  <c r="O556" i="1"/>
  <c r="Q556" i="1" s="1"/>
  <c r="S556" i="1" s="1"/>
  <c r="U556" i="1" s="1"/>
  <c r="W556" i="1" s="1"/>
  <c r="Y556" i="1" s="1"/>
  <c r="AA556" i="1" s="1"/>
  <c r="AC556" i="1" s="1"/>
  <c r="AE556" i="1" s="1"/>
  <c r="AG556" i="1" s="1"/>
  <c r="AI556" i="1" s="1"/>
  <c r="P555" i="1"/>
  <c r="R555" i="1" s="1"/>
  <c r="T555" i="1" s="1"/>
  <c r="V555" i="1" s="1"/>
  <c r="X555" i="1" s="1"/>
  <c r="Z555" i="1" s="1"/>
  <c r="AB555" i="1" s="1"/>
  <c r="AD555" i="1" s="1"/>
  <c r="AF555" i="1" s="1"/>
  <c r="AH555" i="1" s="1"/>
  <c r="AJ555" i="1" s="1"/>
  <c r="O555" i="1"/>
  <c r="Q555" i="1" s="1"/>
  <c r="S555" i="1" s="1"/>
  <c r="U555" i="1" s="1"/>
  <c r="W555" i="1" s="1"/>
  <c r="Y555" i="1" s="1"/>
  <c r="AA555" i="1" s="1"/>
  <c r="AC555" i="1" s="1"/>
  <c r="AE555" i="1" s="1"/>
  <c r="AG555" i="1" s="1"/>
  <c r="AI555" i="1" s="1"/>
  <c r="P554" i="1"/>
  <c r="R554" i="1" s="1"/>
  <c r="T554" i="1" s="1"/>
  <c r="V554" i="1" s="1"/>
  <c r="X554" i="1" s="1"/>
  <c r="Z554" i="1" s="1"/>
  <c r="AB554" i="1" s="1"/>
  <c r="AD554" i="1" s="1"/>
  <c r="AF554" i="1" s="1"/>
  <c r="AH554" i="1" s="1"/>
  <c r="AJ554" i="1" s="1"/>
  <c r="O554" i="1"/>
  <c r="Q554" i="1" s="1"/>
  <c r="S554" i="1" s="1"/>
  <c r="U554" i="1" s="1"/>
  <c r="W554" i="1" s="1"/>
  <c r="Y554" i="1" s="1"/>
  <c r="AA554" i="1" s="1"/>
  <c r="AC554" i="1" s="1"/>
  <c r="AE554" i="1" s="1"/>
  <c r="AG554" i="1" s="1"/>
  <c r="AI554" i="1" s="1"/>
  <c r="P553" i="1"/>
  <c r="R553" i="1" s="1"/>
  <c r="T553" i="1" s="1"/>
  <c r="V553" i="1" s="1"/>
  <c r="X553" i="1" s="1"/>
  <c r="Z553" i="1" s="1"/>
  <c r="AB553" i="1" s="1"/>
  <c r="AD553" i="1" s="1"/>
  <c r="AF553" i="1" s="1"/>
  <c r="AH553" i="1" s="1"/>
  <c r="AJ553" i="1" s="1"/>
  <c r="O553" i="1"/>
  <c r="Q553" i="1" s="1"/>
  <c r="S553" i="1" s="1"/>
  <c r="U553" i="1" s="1"/>
  <c r="W553" i="1" s="1"/>
  <c r="Y553" i="1" s="1"/>
  <c r="AA553" i="1" s="1"/>
  <c r="AC553" i="1" s="1"/>
  <c r="AE553" i="1" s="1"/>
  <c r="AG553" i="1" s="1"/>
  <c r="AI553" i="1" s="1"/>
  <c r="P552" i="1"/>
  <c r="R552" i="1" s="1"/>
  <c r="T552" i="1" s="1"/>
  <c r="V552" i="1" s="1"/>
  <c r="X552" i="1" s="1"/>
  <c r="Z552" i="1" s="1"/>
  <c r="AB552" i="1" s="1"/>
  <c r="AD552" i="1" s="1"/>
  <c r="AF552" i="1" s="1"/>
  <c r="AH552" i="1" s="1"/>
  <c r="AJ552" i="1" s="1"/>
  <c r="O552" i="1"/>
  <c r="Q552" i="1" s="1"/>
  <c r="S552" i="1" s="1"/>
  <c r="U552" i="1" s="1"/>
  <c r="W552" i="1" s="1"/>
  <c r="Y552" i="1" s="1"/>
  <c r="AA552" i="1" s="1"/>
  <c r="AC552" i="1" s="1"/>
  <c r="AE552" i="1" s="1"/>
  <c r="AG552" i="1" s="1"/>
  <c r="AI552" i="1" s="1"/>
  <c r="P551" i="1"/>
  <c r="R551" i="1" s="1"/>
  <c r="T551" i="1" s="1"/>
  <c r="V551" i="1" s="1"/>
  <c r="X551" i="1" s="1"/>
  <c r="Z551" i="1" s="1"/>
  <c r="AB551" i="1" s="1"/>
  <c r="AD551" i="1" s="1"/>
  <c r="AF551" i="1" s="1"/>
  <c r="AH551" i="1" s="1"/>
  <c r="AJ551" i="1" s="1"/>
  <c r="O551" i="1"/>
  <c r="Q551" i="1" s="1"/>
  <c r="S551" i="1" s="1"/>
  <c r="U551" i="1" s="1"/>
  <c r="W551" i="1" s="1"/>
  <c r="Y551" i="1" s="1"/>
  <c r="AA551" i="1" s="1"/>
  <c r="AC551" i="1" s="1"/>
  <c r="AE551" i="1" s="1"/>
  <c r="AG551" i="1" s="1"/>
  <c r="AI551" i="1" s="1"/>
  <c r="P550" i="1"/>
  <c r="R550" i="1" s="1"/>
  <c r="T550" i="1" s="1"/>
  <c r="V550" i="1" s="1"/>
  <c r="X550" i="1" s="1"/>
  <c r="Z550" i="1" s="1"/>
  <c r="AB550" i="1" s="1"/>
  <c r="AD550" i="1" s="1"/>
  <c r="AF550" i="1" s="1"/>
  <c r="AH550" i="1" s="1"/>
  <c r="AJ550" i="1" s="1"/>
  <c r="O550" i="1"/>
  <c r="Q550" i="1" s="1"/>
  <c r="S550" i="1" s="1"/>
  <c r="U550" i="1" s="1"/>
  <c r="W550" i="1" s="1"/>
  <c r="Y550" i="1" s="1"/>
  <c r="AA550" i="1" s="1"/>
  <c r="AC550" i="1" s="1"/>
  <c r="AE550" i="1" s="1"/>
  <c r="AG550" i="1" s="1"/>
  <c r="AI550" i="1" s="1"/>
  <c r="P549" i="1"/>
  <c r="R549" i="1" s="1"/>
  <c r="T549" i="1" s="1"/>
  <c r="V549" i="1" s="1"/>
  <c r="X549" i="1" s="1"/>
  <c r="Z549" i="1" s="1"/>
  <c r="AB549" i="1" s="1"/>
  <c r="AD549" i="1" s="1"/>
  <c r="AF549" i="1" s="1"/>
  <c r="AH549" i="1" s="1"/>
  <c r="AJ549" i="1" s="1"/>
  <c r="O549" i="1"/>
  <c r="Q549" i="1" s="1"/>
  <c r="S549" i="1" s="1"/>
  <c r="U549" i="1" s="1"/>
  <c r="W549" i="1" s="1"/>
  <c r="Y549" i="1" s="1"/>
  <c r="AA549" i="1" s="1"/>
  <c r="AC549" i="1" s="1"/>
  <c r="AE549" i="1" s="1"/>
  <c r="AG549" i="1" s="1"/>
  <c r="AI549" i="1" s="1"/>
  <c r="P548" i="1"/>
  <c r="R548" i="1" s="1"/>
  <c r="T548" i="1" s="1"/>
  <c r="V548" i="1" s="1"/>
  <c r="X548" i="1" s="1"/>
  <c r="Z548" i="1" s="1"/>
  <c r="AB548" i="1" s="1"/>
  <c r="AD548" i="1" s="1"/>
  <c r="AF548" i="1" s="1"/>
  <c r="AH548" i="1" s="1"/>
  <c r="AJ548" i="1" s="1"/>
  <c r="O548" i="1"/>
  <c r="Q548" i="1" s="1"/>
  <c r="S548" i="1" s="1"/>
  <c r="U548" i="1" s="1"/>
  <c r="W548" i="1" s="1"/>
  <c r="Y548" i="1" s="1"/>
  <c r="AA548" i="1" s="1"/>
  <c r="AC548" i="1" s="1"/>
  <c r="AE548" i="1" s="1"/>
  <c r="AG548" i="1" s="1"/>
  <c r="AI548" i="1" s="1"/>
  <c r="P547" i="1"/>
  <c r="R547" i="1" s="1"/>
  <c r="T547" i="1" s="1"/>
  <c r="V547" i="1" s="1"/>
  <c r="X547" i="1" s="1"/>
  <c r="Z547" i="1" s="1"/>
  <c r="AB547" i="1" s="1"/>
  <c r="AD547" i="1" s="1"/>
  <c r="AF547" i="1" s="1"/>
  <c r="AH547" i="1" s="1"/>
  <c r="AJ547" i="1" s="1"/>
  <c r="O547" i="1"/>
  <c r="Q547" i="1" s="1"/>
  <c r="S547" i="1" s="1"/>
  <c r="U547" i="1" s="1"/>
  <c r="W547" i="1" s="1"/>
  <c r="Y547" i="1" s="1"/>
  <c r="AA547" i="1" s="1"/>
  <c r="AC547" i="1" s="1"/>
  <c r="AE547" i="1" s="1"/>
  <c r="AG547" i="1" s="1"/>
  <c r="AI547" i="1" s="1"/>
  <c r="P546" i="1"/>
  <c r="R546" i="1" s="1"/>
  <c r="T546" i="1" s="1"/>
  <c r="V546" i="1" s="1"/>
  <c r="X546" i="1" s="1"/>
  <c r="Z546" i="1" s="1"/>
  <c r="AB546" i="1" s="1"/>
  <c r="AD546" i="1" s="1"/>
  <c r="AF546" i="1" s="1"/>
  <c r="AH546" i="1" s="1"/>
  <c r="AJ546" i="1" s="1"/>
  <c r="O546" i="1"/>
  <c r="Q546" i="1" s="1"/>
  <c r="S546" i="1" s="1"/>
  <c r="U546" i="1" s="1"/>
  <c r="W546" i="1" s="1"/>
  <c r="Y546" i="1" s="1"/>
  <c r="AA546" i="1" s="1"/>
  <c r="AC546" i="1" s="1"/>
  <c r="AE546" i="1" s="1"/>
  <c r="AG546" i="1" s="1"/>
  <c r="AI546" i="1" s="1"/>
  <c r="P31" i="1"/>
  <c r="P22" i="1"/>
  <c r="P20" i="1"/>
  <c r="O113" i="1" l="1"/>
  <c r="Q113" i="1" s="1"/>
  <c r="S113" i="1" s="1"/>
  <c r="U113" i="1" s="1"/>
  <c r="W113" i="1" s="1"/>
  <c r="Y113" i="1" s="1"/>
  <c r="AA113" i="1" s="1"/>
  <c r="AC113" i="1" s="1"/>
  <c r="AE113" i="1" s="1"/>
  <c r="AG113" i="1" s="1"/>
  <c r="AI113" i="1" s="1"/>
  <c r="P113" i="1"/>
  <c r="R113" i="1" s="1"/>
  <c r="T113" i="1" s="1"/>
  <c r="V113" i="1" s="1"/>
  <c r="X113" i="1" s="1"/>
  <c r="Z113" i="1" s="1"/>
  <c r="AB113" i="1" s="1"/>
  <c r="AD113" i="1" s="1"/>
  <c r="AF113" i="1" s="1"/>
  <c r="AH113" i="1" s="1"/>
  <c r="AJ113" i="1" s="1"/>
  <c r="O8" i="1"/>
  <c r="Q8" i="1" s="1"/>
  <c r="S8" i="1" s="1"/>
  <c r="U8" i="1" s="1"/>
  <c r="W8" i="1" s="1"/>
  <c r="Y8" i="1" s="1"/>
  <c r="AA8" i="1" s="1"/>
  <c r="AC8" i="1" s="1"/>
  <c r="AE8" i="1" s="1"/>
  <c r="AG8" i="1" s="1"/>
  <c r="AI8" i="1" s="1"/>
  <c r="P8" i="1"/>
  <c r="R8" i="1" s="1"/>
  <c r="T8" i="1" s="1"/>
  <c r="V8" i="1" s="1"/>
  <c r="X8" i="1" s="1"/>
  <c r="Z8" i="1" s="1"/>
  <c r="AB8" i="1" s="1"/>
  <c r="AD8" i="1" s="1"/>
  <c r="AF8" i="1" s="1"/>
  <c r="AH8" i="1" s="1"/>
  <c r="AJ8" i="1" s="1"/>
  <c r="O9" i="1"/>
  <c r="Q9" i="1" s="1"/>
  <c r="S9" i="1" s="1"/>
  <c r="U9" i="1" s="1"/>
  <c r="W9" i="1" s="1"/>
  <c r="Y9" i="1" s="1"/>
  <c r="AA9" i="1" s="1"/>
  <c r="AC9" i="1" s="1"/>
  <c r="AE9" i="1" s="1"/>
  <c r="AG9" i="1" s="1"/>
  <c r="P9" i="1"/>
  <c r="R9" i="1" s="1"/>
  <c r="T9" i="1" s="1"/>
  <c r="V9" i="1" s="1"/>
  <c r="X9" i="1" s="1"/>
  <c r="Z9" i="1" s="1"/>
  <c r="AB9" i="1" s="1"/>
  <c r="AD9" i="1" s="1"/>
  <c r="AF9" i="1" s="1"/>
  <c r="AH9" i="1" s="1"/>
  <c r="AJ9" i="1" s="1"/>
  <c r="O10" i="1"/>
  <c r="Q10" i="1" s="1"/>
  <c r="S10" i="1" s="1"/>
  <c r="U10" i="1" s="1"/>
  <c r="W10" i="1" s="1"/>
  <c r="Y10" i="1" s="1"/>
  <c r="AA10" i="1" s="1"/>
  <c r="AC10" i="1" s="1"/>
  <c r="AE10" i="1" s="1"/>
  <c r="AG10" i="1" s="1"/>
  <c r="AI10" i="1" s="1"/>
  <c r="P10" i="1"/>
  <c r="R10" i="1" s="1"/>
  <c r="T10" i="1" s="1"/>
  <c r="V10" i="1" s="1"/>
  <c r="X10" i="1" s="1"/>
  <c r="Z10" i="1" s="1"/>
  <c r="AB10" i="1" s="1"/>
  <c r="AD10" i="1" s="1"/>
  <c r="AF10" i="1" s="1"/>
  <c r="AH10" i="1" s="1"/>
  <c r="AJ10" i="1" s="1"/>
  <c r="O11" i="1"/>
  <c r="Q11" i="1" s="1"/>
  <c r="S11" i="1" s="1"/>
  <c r="U11" i="1" s="1"/>
  <c r="W11" i="1" s="1"/>
  <c r="Y11" i="1" s="1"/>
  <c r="AA11" i="1" s="1"/>
  <c r="AC11" i="1" s="1"/>
  <c r="AE11" i="1" s="1"/>
  <c r="AG11" i="1" s="1"/>
  <c r="P11" i="1"/>
  <c r="R11" i="1" s="1"/>
  <c r="T11" i="1" s="1"/>
  <c r="V11" i="1" s="1"/>
  <c r="X11" i="1" s="1"/>
  <c r="Z11" i="1" s="1"/>
  <c r="AB11" i="1" s="1"/>
  <c r="AD11" i="1" s="1"/>
  <c r="AF11" i="1" s="1"/>
  <c r="AH11" i="1" s="1"/>
  <c r="AJ11" i="1" s="1"/>
  <c r="O12" i="1"/>
  <c r="Q12" i="1" s="1"/>
  <c r="S12" i="1" s="1"/>
  <c r="U12" i="1" s="1"/>
  <c r="W12" i="1" s="1"/>
  <c r="Y12" i="1" s="1"/>
  <c r="AA12" i="1" s="1"/>
  <c r="AC12" i="1" s="1"/>
  <c r="AE12" i="1" s="1"/>
  <c r="AG12" i="1" s="1"/>
  <c r="AI12" i="1" s="1"/>
  <c r="P12" i="1"/>
  <c r="R12" i="1" s="1"/>
  <c r="T12" i="1" s="1"/>
  <c r="V12" i="1" s="1"/>
  <c r="X12" i="1" s="1"/>
  <c r="Z12" i="1" s="1"/>
  <c r="AB12" i="1" s="1"/>
  <c r="AD12" i="1" s="1"/>
  <c r="AF12" i="1" s="1"/>
  <c r="AH12" i="1" s="1"/>
  <c r="AJ12" i="1" s="1"/>
  <c r="O13" i="1"/>
  <c r="Q13" i="1" s="1"/>
  <c r="S13" i="1" s="1"/>
  <c r="U13" i="1" s="1"/>
  <c r="W13" i="1" s="1"/>
  <c r="Y13" i="1" s="1"/>
  <c r="AA13" i="1" s="1"/>
  <c r="AC13" i="1" s="1"/>
  <c r="AE13" i="1" s="1"/>
  <c r="AG13" i="1" s="1"/>
  <c r="AI13" i="1" s="1"/>
  <c r="P13" i="1"/>
  <c r="R13" i="1" s="1"/>
  <c r="T13" i="1" s="1"/>
  <c r="V13" i="1" s="1"/>
  <c r="X13" i="1" s="1"/>
  <c r="Z13" i="1" s="1"/>
  <c r="AB13" i="1" s="1"/>
  <c r="AD13" i="1" s="1"/>
  <c r="AF13" i="1" s="1"/>
  <c r="AH13" i="1" s="1"/>
  <c r="AJ13" i="1" s="1"/>
  <c r="O14" i="1"/>
  <c r="Q14" i="1" s="1"/>
  <c r="S14" i="1" s="1"/>
  <c r="U14" i="1" s="1"/>
  <c r="W14" i="1" s="1"/>
  <c r="Y14" i="1" s="1"/>
  <c r="AA14" i="1" s="1"/>
  <c r="AC14" i="1" s="1"/>
  <c r="AE14" i="1" s="1"/>
  <c r="AG14" i="1" s="1"/>
  <c r="AI14" i="1" s="1"/>
  <c r="P14" i="1"/>
  <c r="R14" i="1" s="1"/>
  <c r="T14" i="1" s="1"/>
  <c r="V14" i="1" s="1"/>
  <c r="X14" i="1" s="1"/>
  <c r="Z14" i="1" s="1"/>
  <c r="AB14" i="1" s="1"/>
  <c r="AD14" i="1" s="1"/>
  <c r="AF14" i="1" s="1"/>
  <c r="AH14" i="1" s="1"/>
  <c r="AJ14" i="1" s="1"/>
  <c r="O20" i="1"/>
  <c r="Q20" i="1" s="1"/>
  <c r="S20" i="1" s="1"/>
  <c r="U20" i="1" s="1"/>
  <c r="W20" i="1" s="1"/>
  <c r="Y20" i="1" s="1"/>
  <c r="AA20" i="1" s="1"/>
  <c r="AC20" i="1" s="1"/>
  <c r="AE20" i="1" s="1"/>
  <c r="AG20" i="1" s="1"/>
  <c r="AI20" i="1" s="1"/>
  <c r="P21" i="1"/>
  <c r="R21" i="1" s="1"/>
  <c r="T21" i="1" s="1"/>
  <c r="V21" i="1" s="1"/>
  <c r="X21" i="1" s="1"/>
  <c r="Z21" i="1" s="1"/>
  <c r="AB21" i="1" s="1"/>
  <c r="AD21" i="1" s="1"/>
  <c r="AF21" i="1" s="1"/>
  <c r="AH21" i="1" s="1"/>
  <c r="AJ21" i="1" s="1"/>
  <c r="O22" i="1"/>
  <c r="Q22" i="1" s="1"/>
  <c r="S22" i="1" s="1"/>
  <c r="U22" i="1" s="1"/>
  <c r="W22" i="1" s="1"/>
  <c r="Y22" i="1" s="1"/>
  <c r="AA22" i="1" s="1"/>
  <c r="AC22" i="1" s="1"/>
  <c r="AE22" i="1" s="1"/>
  <c r="AG22" i="1" s="1"/>
  <c r="AI22" i="1" s="1"/>
  <c r="P23" i="1"/>
  <c r="R23" i="1" s="1"/>
  <c r="T23" i="1" s="1"/>
  <c r="V23" i="1" s="1"/>
  <c r="X23" i="1" s="1"/>
  <c r="Z23" i="1" s="1"/>
  <c r="AB23" i="1" s="1"/>
  <c r="AD23" i="1" s="1"/>
  <c r="AF23" i="1" s="1"/>
  <c r="AH23" i="1" s="1"/>
  <c r="AJ23" i="1" s="1"/>
  <c r="O24" i="1"/>
  <c r="Q24" i="1" s="1"/>
  <c r="S24" i="1" s="1"/>
  <c r="U24" i="1" s="1"/>
  <c r="W24" i="1" s="1"/>
  <c r="Y24" i="1" s="1"/>
  <c r="AA24" i="1" s="1"/>
  <c r="AC24" i="1" s="1"/>
  <c r="AE24" i="1" s="1"/>
  <c r="AG24" i="1" s="1"/>
  <c r="AI24" i="1" s="1"/>
  <c r="P24" i="1"/>
  <c r="R24" i="1" s="1"/>
  <c r="T24" i="1" s="1"/>
  <c r="V24" i="1" s="1"/>
  <c r="X24" i="1" s="1"/>
  <c r="Z24" i="1" s="1"/>
  <c r="AB24" i="1" s="1"/>
  <c r="AD24" i="1" s="1"/>
  <c r="AF24" i="1" s="1"/>
  <c r="AH24" i="1" s="1"/>
  <c r="AJ24" i="1" s="1"/>
  <c r="O25" i="1"/>
  <c r="Q25" i="1" s="1"/>
  <c r="S25" i="1" s="1"/>
  <c r="U25" i="1" s="1"/>
  <c r="W25" i="1" s="1"/>
  <c r="Y25" i="1" s="1"/>
  <c r="AA25" i="1" s="1"/>
  <c r="AC25" i="1" s="1"/>
  <c r="AE25" i="1" s="1"/>
  <c r="AG25" i="1" s="1"/>
  <c r="AI25" i="1" s="1"/>
  <c r="P25" i="1"/>
  <c r="R25" i="1" s="1"/>
  <c r="T25" i="1" s="1"/>
  <c r="V25" i="1" s="1"/>
  <c r="X25" i="1" s="1"/>
  <c r="Z25" i="1" s="1"/>
  <c r="AB25" i="1" s="1"/>
  <c r="AD25" i="1" s="1"/>
  <c r="AF25" i="1" s="1"/>
  <c r="AH25" i="1" s="1"/>
  <c r="AJ25" i="1" s="1"/>
  <c r="O26" i="1"/>
  <c r="Q26" i="1" s="1"/>
  <c r="S26" i="1" s="1"/>
  <c r="U26" i="1" s="1"/>
  <c r="W26" i="1" s="1"/>
  <c r="Y26" i="1" s="1"/>
  <c r="AA26" i="1" s="1"/>
  <c r="AC26" i="1" s="1"/>
  <c r="AE26" i="1" s="1"/>
  <c r="AG26" i="1" s="1"/>
  <c r="AI26" i="1" s="1"/>
  <c r="P26" i="1"/>
  <c r="R26" i="1" s="1"/>
  <c r="T26" i="1" s="1"/>
  <c r="V26" i="1" s="1"/>
  <c r="X26" i="1" s="1"/>
  <c r="Z26" i="1" s="1"/>
  <c r="AB26" i="1" s="1"/>
  <c r="AD26" i="1" s="1"/>
  <c r="AF26" i="1" s="1"/>
  <c r="AH26" i="1" s="1"/>
  <c r="AJ26" i="1" s="1"/>
  <c r="O27" i="1"/>
  <c r="Q27" i="1" s="1"/>
  <c r="S27" i="1" s="1"/>
  <c r="U27" i="1" s="1"/>
  <c r="W27" i="1" s="1"/>
  <c r="Y27" i="1" s="1"/>
  <c r="AA27" i="1" s="1"/>
  <c r="AC27" i="1" s="1"/>
  <c r="AE27" i="1" s="1"/>
  <c r="AG27" i="1" s="1"/>
  <c r="AI27" i="1" s="1"/>
  <c r="P27" i="1"/>
  <c r="R27" i="1" s="1"/>
  <c r="T27" i="1" s="1"/>
  <c r="V27" i="1" s="1"/>
  <c r="X27" i="1" s="1"/>
  <c r="Z27" i="1" s="1"/>
  <c r="AB27" i="1" s="1"/>
  <c r="AD27" i="1" s="1"/>
  <c r="AF27" i="1" s="1"/>
  <c r="AH27" i="1" s="1"/>
  <c r="AJ27" i="1" s="1"/>
  <c r="O28" i="1"/>
  <c r="Q28" i="1" s="1"/>
  <c r="S28" i="1" s="1"/>
  <c r="U28" i="1" s="1"/>
  <c r="W28" i="1" s="1"/>
  <c r="Y28" i="1" s="1"/>
  <c r="AA28" i="1" s="1"/>
  <c r="AC28" i="1" s="1"/>
  <c r="AE28" i="1" s="1"/>
  <c r="AG28" i="1" s="1"/>
  <c r="AI28" i="1" s="1"/>
  <c r="P28" i="1"/>
  <c r="R28" i="1" s="1"/>
  <c r="T28" i="1" s="1"/>
  <c r="V28" i="1" s="1"/>
  <c r="X28" i="1" s="1"/>
  <c r="Z28" i="1" s="1"/>
  <c r="AB28" i="1" s="1"/>
  <c r="AD28" i="1" s="1"/>
  <c r="AF28" i="1" s="1"/>
  <c r="AH28" i="1" s="1"/>
  <c r="AJ28" i="1" s="1"/>
  <c r="O29" i="1"/>
  <c r="Q29" i="1" s="1"/>
  <c r="S29" i="1" s="1"/>
  <c r="U29" i="1" s="1"/>
  <c r="W29" i="1" s="1"/>
  <c r="Y29" i="1" s="1"/>
  <c r="AA29" i="1" s="1"/>
  <c r="AC29" i="1" s="1"/>
  <c r="AE29" i="1" s="1"/>
  <c r="AG29" i="1" s="1"/>
  <c r="AI29" i="1" s="1"/>
  <c r="P29" i="1"/>
  <c r="R29" i="1" s="1"/>
  <c r="T29" i="1" s="1"/>
  <c r="V29" i="1" s="1"/>
  <c r="X29" i="1" s="1"/>
  <c r="Z29" i="1" s="1"/>
  <c r="AB29" i="1" s="1"/>
  <c r="AD29" i="1" s="1"/>
  <c r="AF29" i="1" s="1"/>
  <c r="AH29" i="1" s="1"/>
  <c r="AJ29" i="1" s="1"/>
  <c r="O30" i="1"/>
  <c r="Q30" i="1" s="1"/>
  <c r="S30" i="1" s="1"/>
  <c r="U30" i="1" s="1"/>
  <c r="W30" i="1" s="1"/>
  <c r="Y30" i="1" s="1"/>
  <c r="AA30" i="1" s="1"/>
  <c r="AC30" i="1" s="1"/>
  <c r="AE30" i="1" s="1"/>
  <c r="AG30" i="1" s="1"/>
  <c r="AI30" i="1" s="1"/>
  <c r="P30" i="1"/>
  <c r="R30" i="1" s="1"/>
  <c r="T30" i="1" s="1"/>
  <c r="V30" i="1" s="1"/>
  <c r="X30" i="1" s="1"/>
  <c r="Z30" i="1" s="1"/>
  <c r="AB30" i="1" s="1"/>
  <c r="AD30" i="1" s="1"/>
  <c r="AF30" i="1" s="1"/>
  <c r="AH30" i="1" s="1"/>
  <c r="AJ30" i="1" s="1"/>
  <c r="O31" i="1"/>
  <c r="Q31" i="1" s="1"/>
  <c r="S31" i="1" s="1"/>
  <c r="U31" i="1" s="1"/>
  <c r="W31" i="1" s="1"/>
  <c r="Y31" i="1" s="1"/>
  <c r="AA31" i="1" s="1"/>
  <c r="AC31" i="1" s="1"/>
  <c r="AE31" i="1" s="1"/>
  <c r="AG31" i="1" s="1"/>
  <c r="AI31" i="1" s="1"/>
  <c r="P32" i="1"/>
  <c r="R32" i="1" s="1"/>
  <c r="T32" i="1" s="1"/>
  <c r="V32" i="1" s="1"/>
  <c r="X32" i="1" s="1"/>
  <c r="Z32" i="1" s="1"/>
  <c r="AB32" i="1" s="1"/>
  <c r="AD32" i="1" s="1"/>
  <c r="AF32" i="1" s="1"/>
  <c r="AH32" i="1" s="1"/>
  <c r="AJ32" i="1" s="1"/>
  <c r="O34" i="1"/>
  <c r="Q34" i="1" s="1"/>
  <c r="S34" i="1" s="1"/>
  <c r="U34" i="1" s="1"/>
  <c r="W34" i="1" s="1"/>
  <c r="Y34" i="1" s="1"/>
  <c r="AA34" i="1" s="1"/>
  <c r="AC34" i="1" s="1"/>
  <c r="AE34" i="1" s="1"/>
  <c r="AG34" i="1" s="1"/>
  <c r="AI34" i="1" s="1"/>
  <c r="P34" i="1"/>
  <c r="R34" i="1" s="1"/>
  <c r="T34" i="1" s="1"/>
  <c r="V34" i="1" s="1"/>
  <c r="X34" i="1" s="1"/>
  <c r="Z34" i="1" s="1"/>
  <c r="AB34" i="1" s="1"/>
  <c r="AD34" i="1" s="1"/>
  <c r="AF34" i="1" s="1"/>
  <c r="AH34" i="1" s="1"/>
  <c r="AJ34" i="1" s="1"/>
  <c r="O36" i="1"/>
  <c r="Q36" i="1" s="1"/>
  <c r="S36" i="1" s="1"/>
  <c r="U36" i="1" s="1"/>
  <c r="W36" i="1" s="1"/>
  <c r="Y36" i="1" s="1"/>
  <c r="AA36" i="1" s="1"/>
  <c r="AC36" i="1" s="1"/>
  <c r="AE36" i="1" s="1"/>
  <c r="AG36" i="1" s="1"/>
  <c r="AI36" i="1" s="1"/>
  <c r="P36" i="1"/>
  <c r="R36" i="1" s="1"/>
  <c r="T36" i="1" s="1"/>
  <c r="V36" i="1" s="1"/>
  <c r="X36" i="1" s="1"/>
  <c r="Z36" i="1" s="1"/>
  <c r="AB36" i="1" s="1"/>
  <c r="AD36" i="1" s="1"/>
  <c r="AF36" i="1" s="1"/>
  <c r="AH36" i="1" s="1"/>
  <c r="AJ36" i="1" s="1"/>
  <c r="O37" i="1"/>
  <c r="Q37" i="1" s="1"/>
  <c r="S37" i="1" s="1"/>
  <c r="U37" i="1" s="1"/>
  <c r="W37" i="1" s="1"/>
  <c r="Y37" i="1" s="1"/>
  <c r="AA37" i="1" s="1"/>
  <c r="AC37" i="1" s="1"/>
  <c r="AE37" i="1" s="1"/>
  <c r="AG37" i="1" s="1"/>
  <c r="AI37" i="1" s="1"/>
  <c r="P37" i="1"/>
  <c r="R37" i="1" s="1"/>
  <c r="T37" i="1" s="1"/>
  <c r="V37" i="1" s="1"/>
  <c r="X37" i="1" s="1"/>
  <c r="Z37" i="1" s="1"/>
  <c r="AB37" i="1" s="1"/>
  <c r="AD37" i="1" s="1"/>
  <c r="AF37" i="1" s="1"/>
  <c r="AH37" i="1" s="1"/>
  <c r="AJ37" i="1" s="1"/>
  <c r="O38" i="1"/>
  <c r="Q38" i="1" s="1"/>
  <c r="S38" i="1" s="1"/>
  <c r="U38" i="1" s="1"/>
  <c r="W38" i="1" s="1"/>
  <c r="Y38" i="1" s="1"/>
  <c r="AA38" i="1" s="1"/>
  <c r="AC38" i="1" s="1"/>
  <c r="AE38" i="1" s="1"/>
  <c r="AG38" i="1" s="1"/>
  <c r="AI38" i="1" s="1"/>
  <c r="P38" i="1"/>
  <c r="R38" i="1" s="1"/>
  <c r="T38" i="1" s="1"/>
  <c r="V38" i="1" s="1"/>
  <c r="X38" i="1" s="1"/>
  <c r="Z38" i="1" s="1"/>
  <c r="AB38" i="1" s="1"/>
  <c r="AD38" i="1" s="1"/>
  <c r="AF38" i="1" s="1"/>
  <c r="AH38" i="1" s="1"/>
  <c r="AJ38" i="1" s="1"/>
  <c r="O39" i="1"/>
  <c r="Q39" i="1" s="1"/>
  <c r="S39" i="1" s="1"/>
  <c r="U39" i="1" s="1"/>
  <c r="W39" i="1" s="1"/>
  <c r="Y39" i="1" s="1"/>
  <c r="AA39" i="1" s="1"/>
  <c r="AC39" i="1" s="1"/>
  <c r="AE39" i="1" s="1"/>
  <c r="AG39" i="1" s="1"/>
  <c r="AI39" i="1" s="1"/>
  <c r="P39" i="1"/>
  <c r="R39" i="1" s="1"/>
  <c r="T39" i="1" s="1"/>
  <c r="V39" i="1" s="1"/>
  <c r="X39" i="1" s="1"/>
  <c r="Z39" i="1" s="1"/>
  <c r="AB39" i="1" s="1"/>
  <c r="AD39" i="1" s="1"/>
  <c r="AF39" i="1" s="1"/>
  <c r="AH39" i="1" s="1"/>
  <c r="AJ39" i="1" s="1"/>
  <c r="O40" i="1"/>
  <c r="Q40" i="1" s="1"/>
  <c r="S40" i="1" s="1"/>
  <c r="U40" i="1" s="1"/>
  <c r="W40" i="1" s="1"/>
  <c r="Y40" i="1" s="1"/>
  <c r="AA40" i="1" s="1"/>
  <c r="AC40" i="1" s="1"/>
  <c r="AE40" i="1" s="1"/>
  <c r="AG40" i="1" s="1"/>
  <c r="AI40" i="1" s="1"/>
  <c r="P40" i="1"/>
  <c r="R40" i="1" s="1"/>
  <c r="T40" i="1" s="1"/>
  <c r="V40" i="1" s="1"/>
  <c r="X40" i="1" s="1"/>
  <c r="Z40" i="1" s="1"/>
  <c r="AB40" i="1" s="1"/>
  <c r="AD40" i="1" s="1"/>
  <c r="AF40" i="1" s="1"/>
  <c r="AH40" i="1" s="1"/>
  <c r="AJ40" i="1" s="1"/>
  <c r="O41" i="1"/>
  <c r="Q41" i="1" s="1"/>
  <c r="S41" i="1" s="1"/>
  <c r="U41" i="1" s="1"/>
  <c r="W41" i="1" s="1"/>
  <c r="Y41" i="1" s="1"/>
  <c r="AA41" i="1" s="1"/>
  <c r="AC41" i="1" s="1"/>
  <c r="AE41" i="1" s="1"/>
  <c r="AG41" i="1" s="1"/>
  <c r="AI41" i="1" s="1"/>
  <c r="P41" i="1"/>
  <c r="R41" i="1" s="1"/>
  <c r="T41" i="1" s="1"/>
  <c r="V41" i="1" s="1"/>
  <c r="X41" i="1" s="1"/>
  <c r="Z41" i="1" s="1"/>
  <c r="AB41" i="1" s="1"/>
  <c r="AD41" i="1" s="1"/>
  <c r="AF41" i="1" s="1"/>
  <c r="AH41" i="1" s="1"/>
  <c r="AJ41" i="1" s="1"/>
  <c r="O42" i="1"/>
  <c r="Q42" i="1" s="1"/>
  <c r="S42" i="1" s="1"/>
  <c r="U42" i="1" s="1"/>
  <c r="W42" i="1" s="1"/>
  <c r="Y42" i="1" s="1"/>
  <c r="AA42" i="1" s="1"/>
  <c r="AC42" i="1" s="1"/>
  <c r="AE42" i="1" s="1"/>
  <c r="AG42" i="1" s="1"/>
  <c r="AI42" i="1" s="1"/>
  <c r="P42" i="1"/>
  <c r="R42" i="1" s="1"/>
  <c r="T42" i="1" s="1"/>
  <c r="V42" i="1" s="1"/>
  <c r="X42" i="1" s="1"/>
  <c r="Z42" i="1" s="1"/>
  <c r="AB42" i="1" s="1"/>
  <c r="AD42" i="1" s="1"/>
  <c r="AF42" i="1" s="1"/>
  <c r="AH42" i="1" s="1"/>
  <c r="AJ42" i="1" s="1"/>
  <c r="O43" i="1"/>
  <c r="Q43" i="1" s="1"/>
  <c r="S43" i="1" s="1"/>
  <c r="U43" i="1" s="1"/>
  <c r="W43" i="1" s="1"/>
  <c r="Y43" i="1" s="1"/>
  <c r="AA43" i="1" s="1"/>
  <c r="AC43" i="1" s="1"/>
  <c r="AE43" i="1" s="1"/>
  <c r="AG43" i="1" s="1"/>
  <c r="AI43" i="1" s="1"/>
  <c r="P43" i="1"/>
  <c r="R43" i="1" s="1"/>
  <c r="T43" i="1" s="1"/>
  <c r="V43" i="1" s="1"/>
  <c r="X43" i="1" s="1"/>
  <c r="Z43" i="1" s="1"/>
  <c r="AB43" i="1" s="1"/>
  <c r="AD43" i="1" s="1"/>
  <c r="AF43" i="1" s="1"/>
  <c r="AH43" i="1" s="1"/>
  <c r="AJ43" i="1" s="1"/>
  <c r="O46" i="1"/>
  <c r="Q46" i="1" s="1"/>
  <c r="S46" i="1" s="1"/>
  <c r="U46" i="1" s="1"/>
  <c r="W46" i="1" s="1"/>
  <c r="Y46" i="1" s="1"/>
  <c r="AA46" i="1" s="1"/>
  <c r="AC46" i="1" s="1"/>
  <c r="AE46" i="1" s="1"/>
  <c r="AG46" i="1" s="1"/>
  <c r="AI46" i="1" s="1"/>
  <c r="P46" i="1"/>
  <c r="R46" i="1" s="1"/>
  <c r="T46" i="1" s="1"/>
  <c r="V46" i="1" s="1"/>
  <c r="X46" i="1" s="1"/>
  <c r="Z46" i="1" s="1"/>
  <c r="AB46" i="1" s="1"/>
  <c r="AD46" i="1" s="1"/>
  <c r="AF46" i="1" s="1"/>
  <c r="AH46" i="1" s="1"/>
  <c r="AJ46" i="1" s="1"/>
  <c r="O47" i="1"/>
  <c r="Q47" i="1" s="1"/>
  <c r="S47" i="1" s="1"/>
  <c r="U47" i="1" s="1"/>
  <c r="W47" i="1" s="1"/>
  <c r="Y47" i="1" s="1"/>
  <c r="AA47" i="1" s="1"/>
  <c r="AC47" i="1" s="1"/>
  <c r="AE47" i="1" s="1"/>
  <c r="AG47" i="1" s="1"/>
  <c r="AI47" i="1" s="1"/>
  <c r="P47" i="1"/>
  <c r="R47" i="1" s="1"/>
  <c r="T47" i="1" s="1"/>
  <c r="V47" i="1" s="1"/>
  <c r="X47" i="1" s="1"/>
  <c r="Z47" i="1" s="1"/>
  <c r="AB47" i="1" s="1"/>
  <c r="AD47" i="1" s="1"/>
  <c r="AF47" i="1" s="1"/>
  <c r="AH47" i="1" s="1"/>
  <c r="AJ47" i="1" s="1"/>
  <c r="O49" i="1"/>
  <c r="Q49" i="1" s="1"/>
  <c r="S49" i="1" s="1"/>
  <c r="U49" i="1" s="1"/>
  <c r="W49" i="1" s="1"/>
  <c r="Y49" i="1" s="1"/>
  <c r="AA49" i="1" s="1"/>
  <c r="AC49" i="1" s="1"/>
  <c r="AE49" i="1" s="1"/>
  <c r="AG49" i="1" s="1"/>
  <c r="AI49" i="1" s="1"/>
  <c r="P49" i="1"/>
  <c r="R49" i="1" s="1"/>
  <c r="T49" i="1" s="1"/>
  <c r="V49" i="1" s="1"/>
  <c r="X49" i="1" s="1"/>
  <c r="Z49" i="1" s="1"/>
  <c r="AB49" i="1" s="1"/>
  <c r="AD49" i="1" s="1"/>
  <c r="AF49" i="1" s="1"/>
  <c r="AH49" i="1" s="1"/>
  <c r="AJ49" i="1" s="1"/>
  <c r="O50" i="1"/>
  <c r="Q50" i="1" s="1"/>
  <c r="S50" i="1" s="1"/>
  <c r="U50" i="1" s="1"/>
  <c r="W50" i="1" s="1"/>
  <c r="Y50" i="1" s="1"/>
  <c r="AA50" i="1" s="1"/>
  <c r="AC50" i="1" s="1"/>
  <c r="AE50" i="1" s="1"/>
  <c r="AG50" i="1" s="1"/>
  <c r="AI50" i="1" s="1"/>
  <c r="P50" i="1"/>
  <c r="R50" i="1" s="1"/>
  <c r="T50" i="1" s="1"/>
  <c r="V50" i="1" s="1"/>
  <c r="X50" i="1" s="1"/>
  <c r="Z50" i="1" s="1"/>
  <c r="AB50" i="1" s="1"/>
  <c r="AD50" i="1" s="1"/>
  <c r="AF50" i="1" s="1"/>
  <c r="AH50" i="1" s="1"/>
  <c r="AJ50" i="1" s="1"/>
  <c r="O51" i="1"/>
  <c r="Q51" i="1" s="1"/>
  <c r="S51" i="1" s="1"/>
  <c r="U51" i="1" s="1"/>
  <c r="W51" i="1" s="1"/>
  <c r="Y51" i="1" s="1"/>
  <c r="AA51" i="1" s="1"/>
  <c r="AC51" i="1" s="1"/>
  <c r="AE51" i="1" s="1"/>
  <c r="AG51" i="1" s="1"/>
  <c r="AI51" i="1" s="1"/>
  <c r="P51" i="1"/>
  <c r="R51" i="1" s="1"/>
  <c r="T51" i="1" s="1"/>
  <c r="V51" i="1" s="1"/>
  <c r="X51" i="1" s="1"/>
  <c r="Z51" i="1" s="1"/>
  <c r="AB51" i="1" s="1"/>
  <c r="AD51" i="1" s="1"/>
  <c r="AF51" i="1" s="1"/>
  <c r="AH51" i="1" s="1"/>
  <c r="AJ51" i="1" s="1"/>
  <c r="O53" i="1"/>
  <c r="Q53" i="1" s="1"/>
  <c r="S53" i="1" s="1"/>
  <c r="U53" i="1" s="1"/>
  <c r="W53" i="1" s="1"/>
  <c r="Y53" i="1" s="1"/>
  <c r="AA53" i="1" s="1"/>
  <c r="AC53" i="1" s="1"/>
  <c r="AE53" i="1" s="1"/>
  <c r="AG53" i="1" s="1"/>
  <c r="AI53" i="1" s="1"/>
  <c r="P53" i="1"/>
  <c r="R53" i="1" s="1"/>
  <c r="T53" i="1" s="1"/>
  <c r="V53" i="1" s="1"/>
  <c r="X53" i="1" s="1"/>
  <c r="Z53" i="1" s="1"/>
  <c r="AB53" i="1" s="1"/>
  <c r="AD53" i="1" s="1"/>
  <c r="AF53" i="1" s="1"/>
  <c r="AH53" i="1" s="1"/>
  <c r="AJ53" i="1" s="1"/>
  <c r="O54" i="1"/>
  <c r="Q54" i="1" s="1"/>
  <c r="S54" i="1" s="1"/>
  <c r="U54" i="1" s="1"/>
  <c r="W54" i="1" s="1"/>
  <c r="Y54" i="1" s="1"/>
  <c r="AA54" i="1" s="1"/>
  <c r="AC54" i="1" s="1"/>
  <c r="AE54" i="1" s="1"/>
  <c r="AG54" i="1" s="1"/>
  <c r="AI54" i="1" s="1"/>
  <c r="P54" i="1"/>
  <c r="R54" i="1" s="1"/>
  <c r="T54" i="1" s="1"/>
  <c r="V54" i="1" s="1"/>
  <c r="X54" i="1" s="1"/>
  <c r="Z54" i="1" s="1"/>
  <c r="AB54" i="1" s="1"/>
  <c r="AD54" i="1" s="1"/>
  <c r="AF54" i="1" s="1"/>
  <c r="AH54" i="1" s="1"/>
  <c r="AJ54" i="1" s="1"/>
  <c r="O55" i="1"/>
  <c r="Q55" i="1" s="1"/>
  <c r="S55" i="1" s="1"/>
  <c r="U55" i="1" s="1"/>
  <c r="W55" i="1" s="1"/>
  <c r="Y55" i="1" s="1"/>
  <c r="AA55" i="1" s="1"/>
  <c r="AC55" i="1" s="1"/>
  <c r="AE55" i="1" s="1"/>
  <c r="AG55" i="1" s="1"/>
  <c r="AI55" i="1" s="1"/>
  <c r="P55" i="1"/>
  <c r="R55" i="1" s="1"/>
  <c r="T55" i="1" s="1"/>
  <c r="V55" i="1" s="1"/>
  <c r="X55" i="1" s="1"/>
  <c r="Z55" i="1" s="1"/>
  <c r="AB55" i="1" s="1"/>
  <c r="AD55" i="1" s="1"/>
  <c r="AF55" i="1" s="1"/>
  <c r="AH55" i="1" s="1"/>
  <c r="AJ55" i="1" s="1"/>
  <c r="O56" i="1"/>
  <c r="Q56" i="1" s="1"/>
  <c r="S56" i="1" s="1"/>
  <c r="U56" i="1" s="1"/>
  <c r="W56" i="1" s="1"/>
  <c r="Y56" i="1" s="1"/>
  <c r="AA56" i="1" s="1"/>
  <c r="AC56" i="1" s="1"/>
  <c r="AE56" i="1" s="1"/>
  <c r="AG56" i="1" s="1"/>
  <c r="AI56" i="1" s="1"/>
  <c r="P56" i="1"/>
  <c r="R56" i="1" s="1"/>
  <c r="T56" i="1" s="1"/>
  <c r="V56" i="1" s="1"/>
  <c r="X56" i="1" s="1"/>
  <c r="Z56" i="1" s="1"/>
  <c r="AB56" i="1" s="1"/>
  <c r="AD56" i="1" s="1"/>
  <c r="AF56" i="1" s="1"/>
  <c r="AH56" i="1" s="1"/>
  <c r="AJ56" i="1" s="1"/>
  <c r="O57" i="1"/>
  <c r="Q57" i="1" s="1"/>
  <c r="S57" i="1" s="1"/>
  <c r="U57" i="1" s="1"/>
  <c r="W57" i="1" s="1"/>
  <c r="Y57" i="1" s="1"/>
  <c r="AA57" i="1" s="1"/>
  <c r="AC57" i="1" s="1"/>
  <c r="AE57" i="1" s="1"/>
  <c r="AG57" i="1" s="1"/>
  <c r="AI57" i="1" s="1"/>
  <c r="P57" i="1"/>
  <c r="R57" i="1" s="1"/>
  <c r="T57" i="1" s="1"/>
  <c r="V57" i="1" s="1"/>
  <c r="X57" i="1" s="1"/>
  <c r="Z57" i="1" s="1"/>
  <c r="AB57" i="1" s="1"/>
  <c r="AD57" i="1" s="1"/>
  <c r="AF57" i="1" s="1"/>
  <c r="AH57" i="1" s="1"/>
  <c r="AJ57" i="1" s="1"/>
  <c r="O58" i="1"/>
  <c r="Q58" i="1" s="1"/>
  <c r="S58" i="1" s="1"/>
  <c r="U58" i="1" s="1"/>
  <c r="W58" i="1" s="1"/>
  <c r="Y58" i="1" s="1"/>
  <c r="AA58" i="1" s="1"/>
  <c r="AC58" i="1" s="1"/>
  <c r="AE58" i="1" s="1"/>
  <c r="AG58" i="1" s="1"/>
  <c r="AI58" i="1" s="1"/>
  <c r="P58" i="1"/>
  <c r="R58" i="1" s="1"/>
  <c r="T58" i="1" s="1"/>
  <c r="V58" i="1" s="1"/>
  <c r="X58" i="1" s="1"/>
  <c r="Z58" i="1" s="1"/>
  <c r="AB58" i="1" s="1"/>
  <c r="AD58" i="1" s="1"/>
  <c r="AF58" i="1" s="1"/>
  <c r="AH58" i="1" s="1"/>
  <c r="AJ58" i="1" s="1"/>
  <c r="O60" i="1"/>
  <c r="Q60" i="1" s="1"/>
  <c r="S60" i="1" s="1"/>
  <c r="U60" i="1" s="1"/>
  <c r="W60" i="1" s="1"/>
  <c r="Y60" i="1" s="1"/>
  <c r="AA60" i="1" s="1"/>
  <c r="AC60" i="1" s="1"/>
  <c r="AE60" i="1" s="1"/>
  <c r="AG60" i="1" s="1"/>
  <c r="AI60" i="1" s="1"/>
  <c r="P60" i="1"/>
  <c r="R60" i="1" s="1"/>
  <c r="T60" i="1" s="1"/>
  <c r="V60" i="1" s="1"/>
  <c r="X60" i="1" s="1"/>
  <c r="Z60" i="1" s="1"/>
  <c r="AB60" i="1" s="1"/>
  <c r="AD60" i="1" s="1"/>
  <c r="AF60" i="1" s="1"/>
  <c r="AH60" i="1" s="1"/>
  <c r="AJ60" i="1" s="1"/>
  <c r="O61" i="1"/>
  <c r="Q61" i="1" s="1"/>
  <c r="S61" i="1" s="1"/>
  <c r="U61" i="1" s="1"/>
  <c r="W61" i="1" s="1"/>
  <c r="Y61" i="1" s="1"/>
  <c r="AA61" i="1" s="1"/>
  <c r="AC61" i="1" s="1"/>
  <c r="AE61" i="1" s="1"/>
  <c r="AG61" i="1" s="1"/>
  <c r="AI61" i="1" s="1"/>
  <c r="P61" i="1"/>
  <c r="R61" i="1" s="1"/>
  <c r="T61" i="1" s="1"/>
  <c r="V61" i="1" s="1"/>
  <c r="X61" i="1" s="1"/>
  <c r="Z61" i="1" s="1"/>
  <c r="AB61" i="1" s="1"/>
  <c r="AD61" i="1" s="1"/>
  <c r="AF61" i="1" s="1"/>
  <c r="AH61" i="1" s="1"/>
  <c r="AJ61" i="1" s="1"/>
  <c r="O62" i="1"/>
  <c r="Q62" i="1" s="1"/>
  <c r="S62" i="1" s="1"/>
  <c r="U62" i="1" s="1"/>
  <c r="W62" i="1" s="1"/>
  <c r="Y62" i="1" s="1"/>
  <c r="AA62" i="1" s="1"/>
  <c r="AC62" i="1" s="1"/>
  <c r="AE62" i="1" s="1"/>
  <c r="AG62" i="1" s="1"/>
  <c r="AI62" i="1" s="1"/>
  <c r="P62" i="1"/>
  <c r="R62" i="1" s="1"/>
  <c r="T62" i="1" s="1"/>
  <c r="V62" i="1" s="1"/>
  <c r="X62" i="1" s="1"/>
  <c r="Z62" i="1" s="1"/>
  <c r="AB62" i="1" s="1"/>
  <c r="AD62" i="1" s="1"/>
  <c r="AF62" i="1" s="1"/>
  <c r="AH62" i="1" s="1"/>
  <c r="AJ62" i="1" s="1"/>
  <c r="O63" i="1"/>
  <c r="Q63" i="1" s="1"/>
  <c r="S63" i="1" s="1"/>
  <c r="U63" i="1" s="1"/>
  <c r="W63" i="1" s="1"/>
  <c r="Y63" i="1" s="1"/>
  <c r="AA63" i="1" s="1"/>
  <c r="AC63" i="1" s="1"/>
  <c r="AE63" i="1" s="1"/>
  <c r="AG63" i="1" s="1"/>
  <c r="AI63" i="1" s="1"/>
  <c r="P63" i="1"/>
  <c r="R63" i="1" s="1"/>
  <c r="T63" i="1" s="1"/>
  <c r="V63" i="1" s="1"/>
  <c r="X63" i="1" s="1"/>
  <c r="Z63" i="1" s="1"/>
  <c r="AB63" i="1" s="1"/>
  <c r="AD63" i="1" s="1"/>
  <c r="AF63" i="1" s="1"/>
  <c r="AH63" i="1" s="1"/>
  <c r="AJ63" i="1" s="1"/>
  <c r="O64" i="1"/>
  <c r="Q64" i="1" s="1"/>
  <c r="S64" i="1" s="1"/>
  <c r="U64" i="1" s="1"/>
  <c r="W64" i="1" s="1"/>
  <c r="Y64" i="1" s="1"/>
  <c r="AA64" i="1" s="1"/>
  <c r="AC64" i="1" s="1"/>
  <c r="AE64" i="1" s="1"/>
  <c r="AG64" i="1" s="1"/>
  <c r="AI64" i="1" s="1"/>
  <c r="P64" i="1"/>
  <c r="R64" i="1" s="1"/>
  <c r="T64" i="1" s="1"/>
  <c r="V64" i="1" s="1"/>
  <c r="X64" i="1" s="1"/>
  <c r="Z64" i="1" s="1"/>
  <c r="AB64" i="1" s="1"/>
  <c r="AD64" i="1" s="1"/>
  <c r="AF64" i="1" s="1"/>
  <c r="AH64" i="1" s="1"/>
  <c r="AJ64" i="1" s="1"/>
  <c r="O65" i="1"/>
  <c r="Q65" i="1" s="1"/>
  <c r="S65" i="1" s="1"/>
  <c r="U65" i="1" s="1"/>
  <c r="W65" i="1" s="1"/>
  <c r="Y65" i="1" s="1"/>
  <c r="AA65" i="1" s="1"/>
  <c r="AC65" i="1" s="1"/>
  <c r="AE65" i="1" s="1"/>
  <c r="AG65" i="1" s="1"/>
  <c r="AI65" i="1" s="1"/>
  <c r="P65" i="1"/>
  <c r="R65" i="1" s="1"/>
  <c r="T65" i="1" s="1"/>
  <c r="V65" i="1" s="1"/>
  <c r="X65" i="1" s="1"/>
  <c r="Z65" i="1" s="1"/>
  <c r="AB65" i="1" s="1"/>
  <c r="AD65" i="1" s="1"/>
  <c r="AF65" i="1" s="1"/>
  <c r="AH65" i="1" s="1"/>
  <c r="AJ65" i="1" s="1"/>
  <c r="O66" i="1"/>
  <c r="Q66" i="1" s="1"/>
  <c r="S66" i="1" s="1"/>
  <c r="U66" i="1" s="1"/>
  <c r="W66" i="1" s="1"/>
  <c r="Y66" i="1" s="1"/>
  <c r="AA66" i="1" s="1"/>
  <c r="AC66" i="1" s="1"/>
  <c r="AE66" i="1" s="1"/>
  <c r="AG66" i="1" s="1"/>
  <c r="AI66" i="1" s="1"/>
  <c r="P66" i="1"/>
  <c r="R66" i="1" s="1"/>
  <c r="T66" i="1" s="1"/>
  <c r="V66" i="1" s="1"/>
  <c r="X66" i="1" s="1"/>
  <c r="Z66" i="1" s="1"/>
  <c r="AB66" i="1" s="1"/>
  <c r="AD66" i="1" s="1"/>
  <c r="AF66" i="1" s="1"/>
  <c r="AH66" i="1" s="1"/>
  <c r="AJ66" i="1" s="1"/>
  <c r="O67" i="1"/>
  <c r="Q67" i="1" s="1"/>
  <c r="S67" i="1" s="1"/>
  <c r="U67" i="1" s="1"/>
  <c r="W67" i="1" s="1"/>
  <c r="Y67" i="1" s="1"/>
  <c r="AA67" i="1" s="1"/>
  <c r="AC67" i="1" s="1"/>
  <c r="AE67" i="1" s="1"/>
  <c r="AG67" i="1" s="1"/>
  <c r="AI67" i="1" s="1"/>
  <c r="P67" i="1"/>
  <c r="R67" i="1" s="1"/>
  <c r="T67" i="1" s="1"/>
  <c r="V67" i="1" s="1"/>
  <c r="X67" i="1" s="1"/>
  <c r="Z67" i="1" s="1"/>
  <c r="AB67" i="1" s="1"/>
  <c r="AD67" i="1" s="1"/>
  <c r="AF67" i="1" s="1"/>
  <c r="AH67" i="1" s="1"/>
  <c r="AJ67" i="1" s="1"/>
  <c r="O68" i="1"/>
  <c r="Q68" i="1" s="1"/>
  <c r="S68" i="1" s="1"/>
  <c r="U68" i="1" s="1"/>
  <c r="W68" i="1" s="1"/>
  <c r="Y68" i="1" s="1"/>
  <c r="AA68" i="1" s="1"/>
  <c r="AC68" i="1" s="1"/>
  <c r="AE68" i="1" s="1"/>
  <c r="AG68" i="1" s="1"/>
  <c r="AI68" i="1" s="1"/>
  <c r="P68" i="1"/>
  <c r="R68" i="1" s="1"/>
  <c r="T68" i="1" s="1"/>
  <c r="V68" i="1" s="1"/>
  <c r="X68" i="1" s="1"/>
  <c r="Z68" i="1" s="1"/>
  <c r="AB68" i="1" s="1"/>
  <c r="AD68" i="1" s="1"/>
  <c r="AF68" i="1" s="1"/>
  <c r="AH68" i="1" s="1"/>
  <c r="AJ68" i="1" s="1"/>
  <c r="O69" i="1"/>
  <c r="Q69" i="1" s="1"/>
  <c r="S69" i="1" s="1"/>
  <c r="U69" i="1" s="1"/>
  <c r="W69" i="1" s="1"/>
  <c r="Y69" i="1" s="1"/>
  <c r="AA69" i="1" s="1"/>
  <c r="AC69" i="1" s="1"/>
  <c r="AE69" i="1" s="1"/>
  <c r="AG69" i="1" s="1"/>
  <c r="AI69" i="1" s="1"/>
  <c r="P69" i="1"/>
  <c r="R69" i="1" s="1"/>
  <c r="T69" i="1" s="1"/>
  <c r="V69" i="1" s="1"/>
  <c r="X69" i="1" s="1"/>
  <c r="Z69" i="1" s="1"/>
  <c r="AB69" i="1" s="1"/>
  <c r="AD69" i="1" s="1"/>
  <c r="AF69" i="1" s="1"/>
  <c r="AH69" i="1" s="1"/>
  <c r="AJ69" i="1" s="1"/>
  <c r="O71" i="1"/>
  <c r="Q71" i="1" s="1"/>
  <c r="S71" i="1" s="1"/>
  <c r="U71" i="1" s="1"/>
  <c r="W71" i="1" s="1"/>
  <c r="Y71" i="1" s="1"/>
  <c r="AA71" i="1" s="1"/>
  <c r="AC71" i="1" s="1"/>
  <c r="AE71" i="1" s="1"/>
  <c r="AG71" i="1" s="1"/>
  <c r="AI71" i="1" s="1"/>
  <c r="P71" i="1"/>
  <c r="R71" i="1" s="1"/>
  <c r="T71" i="1" s="1"/>
  <c r="V71" i="1" s="1"/>
  <c r="X71" i="1" s="1"/>
  <c r="Z71" i="1" s="1"/>
  <c r="AB71" i="1" s="1"/>
  <c r="AD71" i="1" s="1"/>
  <c r="AF71" i="1" s="1"/>
  <c r="AH71" i="1" s="1"/>
  <c r="AJ71" i="1" s="1"/>
  <c r="O72" i="1"/>
  <c r="Q72" i="1" s="1"/>
  <c r="S72" i="1" s="1"/>
  <c r="U72" i="1" s="1"/>
  <c r="W72" i="1" s="1"/>
  <c r="Y72" i="1" s="1"/>
  <c r="AA72" i="1" s="1"/>
  <c r="AC72" i="1" s="1"/>
  <c r="AE72" i="1" s="1"/>
  <c r="AG72" i="1" s="1"/>
  <c r="AI72" i="1" s="1"/>
  <c r="P72" i="1"/>
  <c r="R72" i="1" s="1"/>
  <c r="T72" i="1" s="1"/>
  <c r="V72" i="1" s="1"/>
  <c r="X72" i="1" s="1"/>
  <c r="Z72" i="1" s="1"/>
  <c r="AB72" i="1" s="1"/>
  <c r="AD72" i="1" s="1"/>
  <c r="AF72" i="1" s="1"/>
  <c r="AH72" i="1" s="1"/>
  <c r="AJ72" i="1" s="1"/>
  <c r="O73" i="1"/>
  <c r="Q73" i="1" s="1"/>
  <c r="S73" i="1" s="1"/>
  <c r="U73" i="1" s="1"/>
  <c r="W73" i="1" s="1"/>
  <c r="Y73" i="1" s="1"/>
  <c r="AA73" i="1" s="1"/>
  <c r="AC73" i="1" s="1"/>
  <c r="AE73" i="1" s="1"/>
  <c r="AG73" i="1" s="1"/>
  <c r="AI73" i="1" s="1"/>
  <c r="P73" i="1"/>
  <c r="R73" i="1" s="1"/>
  <c r="T73" i="1" s="1"/>
  <c r="V73" i="1" s="1"/>
  <c r="X73" i="1" s="1"/>
  <c r="Z73" i="1" s="1"/>
  <c r="AB73" i="1" s="1"/>
  <c r="AD73" i="1" s="1"/>
  <c r="AF73" i="1" s="1"/>
  <c r="AH73" i="1" s="1"/>
  <c r="AJ73" i="1" s="1"/>
  <c r="O74" i="1"/>
  <c r="Q74" i="1" s="1"/>
  <c r="S74" i="1" s="1"/>
  <c r="U74" i="1" s="1"/>
  <c r="W74" i="1" s="1"/>
  <c r="Y74" i="1" s="1"/>
  <c r="AA74" i="1" s="1"/>
  <c r="AC74" i="1" s="1"/>
  <c r="AE74" i="1" s="1"/>
  <c r="AG74" i="1" s="1"/>
  <c r="AI74" i="1" s="1"/>
  <c r="P74" i="1"/>
  <c r="R74" i="1" s="1"/>
  <c r="T74" i="1" s="1"/>
  <c r="V74" i="1" s="1"/>
  <c r="X74" i="1" s="1"/>
  <c r="Z74" i="1" s="1"/>
  <c r="AB74" i="1" s="1"/>
  <c r="AD74" i="1" s="1"/>
  <c r="AF74" i="1" s="1"/>
  <c r="AH74" i="1" s="1"/>
  <c r="AJ74" i="1" s="1"/>
  <c r="O75" i="1"/>
  <c r="Q75" i="1" s="1"/>
  <c r="S75" i="1" s="1"/>
  <c r="U75" i="1" s="1"/>
  <c r="W75" i="1" s="1"/>
  <c r="Y75" i="1" s="1"/>
  <c r="AA75" i="1" s="1"/>
  <c r="AC75" i="1" s="1"/>
  <c r="AE75" i="1" s="1"/>
  <c r="AG75" i="1" s="1"/>
  <c r="AI75" i="1" s="1"/>
  <c r="P75" i="1"/>
  <c r="R75" i="1" s="1"/>
  <c r="T75" i="1" s="1"/>
  <c r="V75" i="1" s="1"/>
  <c r="X75" i="1" s="1"/>
  <c r="Z75" i="1" s="1"/>
  <c r="AB75" i="1" s="1"/>
  <c r="AD75" i="1" s="1"/>
  <c r="AF75" i="1" s="1"/>
  <c r="AH75" i="1" s="1"/>
  <c r="AJ75" i="1" s="1"/>
  <c r="O76" i="1"/>
  <c r="Q76" i="1" s="1"/>
  <c r="S76" i="1" s="1"/>
  <c r="U76" i="1" s="1"/>
  <c r="W76" i="1" s="1"/>
  <c r="Y76" i="1" s="1"/>
  <c r="AA76" i="1" s="1"/>
  <c r="AC76" i="1" s="1"/>
  <c r="AE76" i="1" s="1"/>
  <c r="AG76" i="1" s="1"/>
  <c r="AI76" i="1" s="1"/>
  <c r="P76" i="1"/>
  <c r="R76" i="1" s="1"/>
  <c r="T76" i="1" s="1"/>
  <c r="V76" i="1" s="1"/>
  <c r="X76" i="1" s="1"/>
  <c r="Z76" i="1" s="1"/>
  <c r="AB76" i="1" s="1"/>
  <c r="AD76" i="1" s="1"/>
  <c r="AF76" i="1" s="1"/>
  <c r="AH76" i="1" s="1"/>
  <c r="AJ76" i="1" s="1"/>
  <c r="O77" i="1"/>
  <c r="Q77" i="1" s="1"/>
  <c r="S77" i="1" s="1"/>
  <c r="U77" i="1" s="1"/>
  <c r="W77" i="1" s="1"/>
  <c r="Y77" i="1" s="1"/>
  <c r="AA77" i="1" s="1"/>
  <c r="AC77" i="1" s="1"/>
  <c r="AE77" i="1" s="1"/>
  <c r="AG77" i="1" s="1"/>
  <c r="AI77" i="1" s="1"/>
  <c r="P77" i="1"/>
  <c r="R77" i="1" s="1"/>
  <c r="T77" i="1" s="1"/>
  <c r="V77" i="1" s="1"/>
  <c r="X77" i="1" s="1"/>
  <c r="Z77" i="1" s="1"/>
  <c r="AB77" i="1" s="1"/>
  <c r="AD77" i="1" s="1"/>
  <c r="AF77" i="1" s="1"/>
  <c r="AH77" i="1" s="1"/>
  <c r="AJ77" i="1" s="1"/>
  <c r="O78" i="1"/>
  <c r="Q78" i="1" s="1"/>
  <c r="S78" i="1" s="1"/>
  <c r="U78" i="1" s="1"/>
  <c r="W78" i="1" s="1"/>
  <c r="Y78" i="1" s="1"/>
  <c r="AA78" i="1" s="1"/>
  <c r="AC78" i="1" s="1"/>
  <c r="AE78" i="1" s="1"/>
  <c r="AG78" i="1" s="1"/>
  <c r="AI78" i="1" s="1"/>
  <c r="P78" i="1"/>
  <c r="R78" i="1" s="1"/>
  <c r="T78" i="1" s="1"/>
  <c r="V78" i="1" s="1"/>
  <c r="X78" i="1" s="1"/>
  <c r="Z78" i="1" s="1"/>
  <c r="AB78" i="1" s="1"/>
  <c r="AD78" i="1" s="1"/>
  <c r="AF78" i="1" s="1"/>
  <c r="AH78" i="1" s="1"/>
  <c r="AJ78" i="1" s="1"/>
  <c r="O79" i="1"/>
  <c r="Q79" i="1" s="1"/>
  <c r="S79" i="1" s="1"/>
  <c r="U79" i="1" s="1"/>
  <c r="W79" i="1" s="1"/>
  <c r="Y79" i="1" s="1"/>
  <c r="AA79" i="1" s="1"/>
  <c r="AC79" i="1" s="1"/>
  <c r="AE79" i="1" s="1"/>
  <c r="AG79" i="1" s="1"/>
  <c r="AI79" i="1" s="1"/>
  <c r="P79" i="1"/>
  <c r="R79" i="1" s="1"/>
  <c r="T79" i="1" s="1"/>
  <c r="V79" i="1" s="1"/>
  <c r="X79" i="1" s="1"/>
  <c r="Z79" i="1" s="1"/>
  <c r="AB79" i="1" s="1"/>
  <c r="AD79" i="1" s="1"/>
  <c r="AF79" i="1" s="1"/>
  <c r="AH79" i="1" s="1"/>
  <c r="AJ79" i="1" s="1"/>
  <c r="O80" i="1"/>
  <c r="Q80" i="1" s="1"/>
  <c r="S80" i="1" s="1"/>
  <c r="U80" i="1" s="1"/>
  <c r="W80" i="1" s="1"/>
  <c r="Y80" i="1" s="1"/>
  <c r="AA80" i="1" s="1"/>
  <c r="AC80" i="1" s="1"/>
  <c r="AE80" i="1" s="1"/>
  <c r="AG80" i="1" s="1"/>
  <c r="AI80" i="1" s="1"/>
  <c r="P80" i="1"/>
  <c r="R80" i="1" s="1"/>
  <c r="T80" i="1" s="1"/>
  <c r="V80" i="1" s="1"/>
  <c r="X80" i="1" s="1"/>
  <c r="Z80" i="1" s="1"/>
  <c r="AB80" i="1" s="1"/>
  <c r="AD80" i="1" s="1"/>
  <c r="AF80" i="1" s="1"/>
  <c r="AH80" i="1" s="1"/>
  <c r="AJ80" i="1" s="1"/>
  <c r="O81" i="1"/>
  <c r="Q81" i="1" s="1"/>
  <c r="S81" i="1" s="1"/>
  <c r="U81" i="1" s="1"/>
  <c r="W81" i="1" s="1"/>
  <c r="Y81" i="1" s="1"/>
  <c r="AA81" i="1" s="1"/>
  <c r="AC81" i="1" s="1"/>
  <c r="AE81" i="1" s="1"/>
  <c r="AG81" i="1" s="1"/>
  <c r="AI81" i="1" s="1"/>
  <c r="P81" i="1"/>
  <c r="R81" i="1" s="1"/>
  <c r="T81" i="1" s="1"/>
  <c r="V81" i="1" s="1"/>
  <c r="X81" i="1" s="1"/>
  <c r="Z81" i="1" s="1"/>
  <c r="AB81" i="1" s="1"/>
  <c r="AD81" i="1" s="1"/>
  <c r="AF81" i="1" s="1"/>
  <c r="AH81" i="1" s="1"/>
  <c r="AJ81" i="1" s="1"/>
  <c r="O82" i="1"/>
  <c r="Q82" i="1" s="1"/>
  <c r="S82" i="1" s="1"/>
  <c r="U82" i="1" s="1"/>
  <c r="W82" i="1" s="1"/>
  <c r="Y82" i="1" s="1"/>
  <c r="AA82" i="1" s="1"/>
  <c r="AC82" i="1" s="1"/>
  <c r="AE82" i="1" s="1"/>
  <c r="AG82" i="1" s="1"/>
  <c r="AI82" i="1" s="1"/>
  <c r="P82" i="1"/>
  <c r="R82" i="1" s="1"/>
  <c r="T82" i="1" s="1"/>
  <c r="V82" i="1" s="1"/>
  <c r="X82" i="1" s="1"/>
  <c r="Z82" i="1" s="1"/>
  <c r="AB82" i="1" s="1"/>
  <c r="AD82" i="1" s="1"/>
  <c r="AF82" i="1" s="1"/>
  <c r="AH82" i="1" s="1"/>
  <c r="AJ82" i="1" s="1"/>
  <c r="O86" i="1"/>
  <c r="Q86" i="1" s="1"/>
  <c r="S86" i="1" s="1"/>
  <c r="U86" i="1" s="1"/>
  <c r="W86" i="1" s="1"/>
  <c r="Y86" i="1" s="1"/>
  <c r="AA86" i="1" s="1"/>
  <c r="AC86" i="1" s="1"/>
  <c r="AE86" i="1" s="1"/>
  <c r="AG86" i="1" s="1"/>
  <c r="AI86" i="1" s="1"/>
  <c r="P86" i="1"/>
  <c r="R86" i="1" s="1"/>
  <c r="T86" i="1" s="1"/>
  <c r="V86" i="1" s="1"/>
  <c r="X86" i="1" s="1"/>
  <c r="Z86" i="1" s="1"/>
  <c r="AB86" i="1" s="1"/>
  <c r="AD86" i="1" s="1"/>
  <c r="AF86" i="1" s="1"/>
  <c r="AH86" i="1" s="1"/>
  <c r="AJ86" i="1" s="1"/>
  <c r="O87" i="1"/>
  <c r="Q87" i="1" s="1"/>
  <c r="S87" i="1" s="1"/>
  <c r="U87" i="1" s="1"/>
  <c r="W87" i="1" s="1"/>
  <c r="Y87" i="1" s="1"/>
  <c r="AA87" i="1" s="1"/>
  <c r="AC87" i="1" s="1"/>
  <c r="AE87" i="1" s="1"/>
  <c r="AG87" i="1" s="1"/>
  <c r="AI87" i="1" s="1"/>
  <c r="P87" i="1"/>
  <c r="R87" i="1" s="1"/>
  <c r="T87" i="1" s="1"/>
  <c r="V87" i="1" s="1"/>
  <c r="X87" i="1" s="1"/>
  <c r="Z87" i="1" s="1"/>
  <c r="AB87" i="1" s="1"/>
  <c r="AD87" i="1" s="1"/>
  <c r="AF87" i="1" s="1"/>
  <c r="AH87" i="1" s="1"/>
  <c r="AJ87" i="1" s="1"/>
  <c r="O88" i="1"/>
  <c r="Q88" i="1" s="1"/>
  <c r="S88" i="1" s="1"/>
  <c r="U88" i="1" s="1"/>
  <c r="W88" i="1" s="1"/>
  <c r="Y88" i="1" s="1"/>
  <c r="AA88" i="1" s="1"/>
  <c r="AC88" i="1" s="1"/>
  <c r="AE88" i="1" s="1"/>
  <c r="AG88" i="1" s="1"/>
  <c r="AI88" i="1" s="1"/>
  <c r="P88" i="1"/>
  <c r="R88" i="1" s="1"/>
  <c r="T88" i="1" s="1"/>
  <c r="V88" i="1" s="1"/>
  <c r="X88" i="1" s="1"/>
  <c r="Z88" i="1" s="1"/>
  <c r="AB88" i="1" s="1"/>
  <c r="AD88" i="1" s="1"/>
  <c r="AF88" i="1" s="1"/>
  <c r="AH88" i="1" s="1"/>
  <c r="AJ88" i="1" s="1"/>
  <c r="O89" i="1"/>
  <c r="Q89" i="1" s="1"/>
  <c r="S89" i="1" s="1"/>
  <c r="U89" i="1" s="1"/>
  <c r="W89" i="1" s="1"/>
  <c r="Y89" i="1" s="1"/>
  <c r="AA89" i="1" s="1"/>
  <c r="AC89" i="1" s="1"/>
  <c r="AE89" i="1" s="1"/>
  <c r="AG89" i="1" s="1"/>
  <c r="AI89" i="1" s="1"/>
  <c r="P89" i="1"/>
  <c r="R89" i="1" s="1"/>
  <c r="T89" i="1" s="1"/>
  <c r="V89" i="1" s="1"/>
  <c r="X89" i="1" s="1"/>
  <c r="Z89" i="1" s="1"/>
  <c r="AB89" i="1" s="1"/>
  <c r="AD89" i="1" s="1"/>
  <c r="AF89" i="1" s="1"/>
  <c r="AH89" i="1" s="1"/>
  <c r="AJ89" i="1" s="1"/>
  <c r="O98" i="1"/>
  <c r="Q98" i="1" s="1"/>
  <c r="S98" i="1" s="1"/>
  <c r="U98" i="1" s="1"/>
  <c r="W98" i="1" s="1"/>
  <c r="Y98" i="1" s="1"/>
  <c r="AA98" i="1" s="1"/>
  <c r="AC98" i="1" s="1"/>
  <c r="AE98" i="1" s="1"/>
  <c r="AG98" i="1" s="1"/>
  <c r="AI98" i="1" s="1"/>
  <c r="P98" i="1"/>
  <c r="R98" i="1" s="1"/>
  <c r="T98" i="1" s="1"/>
  <c r="V98" i="1" s="1"/>
  <c r="X98" i="1" s="1"/>
  <c r="Z98" i="1" s="1"/>
  <c r="AB98" i="1" s="1"/>
  <c r="AD98" i="1" s="1"/>
  <c r="AF98" i="1" s="1"/>
  <c r="AH98" i="1" s="1"/>
  <c r="AJ98" i="1" s="1"/>
  <c r="O99" i="1"/>
  <c r="Q99" i="1" s="1"/>
  <c r="S99" i="1" s="1"/>
  <c r="U99" i="1" s="1"/>
  <c r="W99" i="1" s="1"/>
  <c r="Y99" i="1" s="1"/>
  <c r="AA99" i="1" s="1"/>
  <c r="AC99" i="1" s="1"/>
  <c r="AE99" i="1" s="1"/>
  <c r="AG99" i="1" s="1"/>
  <c r="AI99" i="1" s="1"/>
  <c r="P99" i="1"/>
  <c r="R99" i="1" s="1"/>
  <c r="T99" i="1" s="1"/>
  <c r="V99" i="1" s="1"/>
  <c r="X99" i="1" s="1"/>
  <c r="Z99" i="1" s="1"/>
  <c r="AB99" i="1" s="1"/>
  <c r="AD99" i="1" s="1"/>
  <c r="AF99" i="1" s="1"/>
  <c r="AH99" i="1" s="1"/>
  <c r="AJ99" i="1" s="1"/>
  <c r="O100" i="1"/>
  <c r="Q100" i="1" s="1"/>
  <c r="S100" i="1" s="1"/>
  <c r="U100" i="1" s="1"/>
  <c r="W100" i="1" s="1"/>
  <c r="Y100" i="1" s="1"/>
  <c r="AA100" i="1" s="1"/>
  <c r="AC100" i="1" s="1"/>
  <c r="AE100" i="1" s="1"/>
  <c r="AG100" i="1" s="1"/>
  <c r="AI100" i="1" s="1"/>
  <c r="P100" i="1"/>
  <c r="R100" i="1" s="1"/>
  <c r="T100" i="1" s="1"/>
  <c r="V100" i="1" s="1"/>
  <c r="X100" i="1" s="1"/>
  <c r="Z100" i="1" s="1"/>
  <c r="AB100" i="1" s="1"/>
  <c r="AD100" i="1" s="1"/>
  <c r="AF100" i="1" s="1"/>
  <c r="AH100" i="1" s="1"/>
  <c r="AJ100" i="1" s="1"/>
  <c r="O101" i="1"/>
  <c r="Q101" i="1" s="1"/>
  <c r="S101" i="1" s="1"/>
  <c r="U101" i="1" s="1"/>
  <c r="W101" i="1" s="1"/>
  <c r="Y101" i="1" s="1"/>
  <c r="AA101" i="1" s="1"/>
  <c r="AC101" i="1" s="1"/>
  <c r="AE101" i="1" s="1"/>
  <c r="AG101" i="1" s="1"/>
  <c r="AI101" i="1" s="1"/>
  <c r="P101" i="1"/>
  <c r="R101" i="1" s="1"/>
  <c r="T101" i="1" s="1"/>
  <c r="V101" i="1" s="1"/>
  <c r="X101" i="1" s="1"/>
  <c r="Z101" i="1" s="1"/>
  <c r="AB101" i="1" s="1"/>
  <c r="AD101" i="1" s="1"/>
  <c r="AF101" i="1" s="1"/>
  <c r="AH101" i="1" s="1"/>
  <c r="AJ101" i="1" s="1"/>
  <c r="O102" i="1"/>
  <c r="Q102" i="1" s="1"/>
  <c r="S102" i="1" s="1"/>
  <c r="U102" i="1" s="1"/>
  <c r="W102" i="1" s="1"/>
  <c r="Y102" i="1" s="1"/>
  <c r="AA102" i="1" s="1"/>
  <c r="AC102" i="1" s="1"/>
  <c r="AE102" i="1" s="1"/>
  <c r="AG102" i="1" s="1"/>
  <c r="AI102" i="1" s="1"/>
  <c r="P102" i="1"/>
  <c r="R102" i="1" s="1"/>
  <c r="T102" i="1" s="1"/>
  <c r="V102" i="1" s="1"/>
  <c r="X102" i="1" s="1"/>
  <c r="Z102" i="1" s="1"/>
  <c r="AB102" i="1" s="1"/>
  <c r="AD102" i="1" s="1"/>
  <c r="AF102" i="1" s="1"/>
  <c r="AH102" i="1" s="1"/>
  <c r="AJ102" i="1" s="1"/>
  <c r="O103" i="1"/>
  <c r="Q103" i="1" s="1"/>
  <c r="S103" i="1" s="1"/>
  <c r="U103" i="1" s="1"/>
  <c r="W103" i="1" s="1"/>
  <c r="Y103" i="1" s="1"/>
  <c r="AA103" i="1" s="1"/>
  <c r="AC103" i="1" s="1"/>
  <c r="AE103" i="1" s="1"/>
  <c r="AG103" i="1" s="1"/>
  <c r="AI103" i="1" s="1"/>
  <c r="P103" i="1"/>
  <c r="R103" i="1" s="1"/>
  <c r="T103" i="1" s="1"/>
  <c r="V103" i="1" s="1"/>
  <c r="X103" i="1" s="1"/>
  <c r="Z103" i="1" s="1"/>
  <c r="AB103" i="1" s="1"/>
  <c r="AD103" i="1" s="1"/>
  <c r="AF103" i="1" s="1"/>
  <c r="AH103" i="1" s="1"/>
  <c r="AJ103" i="1" s="1"/>
  <c r="O104" i="1"/>
  <c r="Q104" i="1" s="1"/>
  <c r="S104" i="1" s="1"/>
  <c r="U104" i="1" s="1"/>
  <c r="W104" i="1" s="1"/>
  <c r="Y104" i="1" s="1"/>
  <c r="AA104" i="1" s="1"/>
  <c r="AC104" i="1" s="1"/>
  <c r="AE104" i="1" s="1"/>
  <c r="AG104" i="1" s="1"/>
  <c r="AI104" i="1" s="1"/>
  <c r="P104" i="1"/>
  <c r="R104" i="1" s="1"/>
  <c r="T104" i="1" s="1"/>
  <c r="V104" i="1" s="1"/>
  <c r="X104" i="1" s="1"/>
  <c r="Z104" i="1" s="1"/>
  <c r="AB104" i="1" s="1"/>
  <c r="AD104" i="1" s="1"/>
  <c r="AF104" i="1" s="1"/>
  <c r="AH104" i="1" s="1"/>
  <c r="AJ104" i="1" s="1"/>
  <c r="O106" i="1"/>
  <c r="Q106" i="1" s="1"/>
  <c r="S106" i="1" s="1"/>
  <c r="U106" i="1" s="1"/>
  <c r="W106" i="1" s="1"/>
  <c r="Y106" i="1" s="1"/>
  <c r="AA106" i="1" s="1"/>
  <c r="AC106" i="1" s="1"/>
  <c r="AE106" i="1" s="1"/>
  <c r="AG106" i="1" s="1"/>
  <c r="AI106" i="1" s="1"/>
  <c r="P106" i="1"/>
  <c r="R106" i="1" s="1"/>
  <c r="T106" i="1" s="1"/>
  <c r="V106" i="1" s="1"/>
  <c r="X106" i="1" s="1"/>
  <c r="Z106" i="1" s="1"/>
  <c r="AB106" i="1" s="1"/>
  <c r="AD106" i="1" s="1"/>
  <c r="AF106" i="1" s="1"/>
  <c r="AH106" i="1" s="1"/>
  <c r="AJ106" i="1" s="1"/>
  <c r="O107" i="1"/>
  <c r="Q107" i="1" s="1"/>
  <c r="S107" i="1" s="1"/>
  <c r="U107" i="1" s="1"/>
  <c r="W107" i="1" s="1"/>
  <c r="Y107" i="1" s="1"/>
  <c r="AA107" i="1" s="1"/>
  <c r="AC107" i="1" s="1"/>
  <c r="AE107" i="1" s="1"/>
  <c r="AG107" i="1" s="1"/>
  <c r="AI107" i="1" s="1"/>
  <c r="P107" i="1"/>
  <c r="R107" i="1" s="1"/>
  <c r="T107" i="1" s="1"/>
  <c r="V107" i="1" s="1"/>
  <c r="X107" i="1" s="1"/>
  <c r="Z107" i="1" s="1"/>
  <c r="AB107" i="1" s="1"/>
  <c r="AD107" i="1" s="1"/>
  <c r="AF107" i="1" s="1"/>
  <c r="AH107" i="1" s="1"/>
  <c r="AJ107" i="1" s="1"/>
  <c r="O108" i="1"/>
  <c r="Q108" i="1" s="1"/>
  <c r="S108" i="1" s="1"/>
  <c r="U108" i="1" s="1"/>
  <c r="W108" i="1" s="1"/>
  <c r="Y108" i="1" s="1"/>
  <c r="AA108" i="1" s="1"/>
  <c r="AC108" i="1" s="1"/>
  <c r="AE108" i="1" s="1"/>
  <c r="AG108" i="1" s="1"/>
  <c r="AI108" i="1" s="1"/>
  <c r="P108" i="1"/>
  <c r="R108" i="1" s="1"/>
  <c r="T108" i="1" s="1"/>
  <c r="V108" i="1" s="1"/>
  <c r="X108" i="1" s="1"/>
  <c r="Z108" i="1" s="1"/>
  <c r="AB108" i="1" s="1"/>
  <c r="AD108" i="1" s="1"/>
  <c r="AF108" i="1" s="1"/>
  <c r="AH108" i="1" s="1"/>
  <c r="AJ108" i="1" s="1"/>
  <c r="O109" i="1"/>
  <c r="Q109" i="1" s="1"/>
  <c r="S109" i="1" s="1"/>
  <c r="U109" i="1" s="1"/>
  <c r="W109" i="1" s="1"/>
  <c r="Y109" i="1" s="1"/>
  <c r="AA109" i="1" s="1"/>
  <c r="AC109" i="1" s="1"/>
  <c r="AE109" i="1" s="1"/>
  <c r="AG109" i="1" s="1"/>
  <c r="AI109" i="1" s="1"/>
  <c r="P109" i="1"/>
  <c r="R109" i="1" s="1"/>
  <c r="T109" i="1" s="1"/>
  <c r="V109" i="1" s="1"/>
  <c r="X109" i="1" s="1"/>
  <c r="Z109" i="1" s="1"/>
  <c r="AB109" i="1" s="1"/>
  <c r="AD109" i="1" s="1"/>
  <c r="AF109" i="1" s="1"/>
  <c r="AH109" i="1" s="1"/>
  <c r="AJ109" i="1" s="1"/>
  <c r="O111" i="1"/>
  <c r="Q111" i="1" s="1"/>
  <c r="S111" i="1" s="1"/>
  <c r="U111" i="1" s="1"/>
  <c r="W111" i="1" s="1"/>
  <c r="Y111" i="1" s="1"/>
  <c r="AA111" i="1" s="1"/>
  <c r="AC111" i="1" s="1"/>
  <c r="AE111" i="1" s="1"/>
  <c r="AG111" i="1" s="1"/>
  <c r="AI111" i="1" s="1"/>
  <c r="P111" i="1"/>
  <c r="R111" i="1" s="1"/>
  <c r="T111" i="1" s="1"/>
  <c r="V111" i="1" s="1"/>
  <c r="X111" i="1" s="1"/>
  <c r="Z111" i="1" s="1"/>
  <c r="AB111" i="1" s="1"/>
  <c r="AD111" i="1" s="1"/>
  <c r="AF111" i="1" s="1"/>
  <c r="AH111" i="1" s="1"/>
  <c r="AJ111" i="1" s="1"/>
  <c r="O116" i="1"/>
  <c r="Q116" i="1" s="1"/>
  <c r="S116" i="1" s="1"/>
  <c r="U116" i="1" s="1"/>
  <c r="W116" i="1" s="1"/>
  <c r="Y116" i="1" s="1"/>
  <c r="AA116" i="1" s="1"/>
  <c r="AC116" i="1" s="1"/>
  <c r="AE116" i="1" s="1"/>
  <c r="AG116" i="1" s="1"/>
  <c r="AI116" i="1" s="1"/>
  <c r="P116" i="1"/>
  <c r="R116" i="1" s="1"/>
  <c r="T116" i="1" s="1"/>
  <c r="V116" i="1" s="1"/>
  <c r="X116" i="1" s="1"/>
  <c r="O117" i="1"/>
  <c r="Q117" i="1" s="1"/>
  <c r="S117" i="1" s="1"/>
  <c r="U117" i="1" s="1"/>
  <c r="W117" i="1" s="1"/>
  <c r="Y117" i="1" s="1"/>
  <c r="AA117" i="1" s="1"/>
  <c r="AC117" i="1" s="1"/>
  <c r="AE117" i="1" s="1"/>
  <c r="AG117" i="1" s="1"/>
  <c r="AI117" i="1" s="1"/>
  <c r="P117" i="1"/>
  <c r="R117" i="1" s="1"/>
  <c r="T117" i="1" s="1"/>
  <c r="V117" i="1" s="1"/>
  <c r="X117" i="1" s="1"/>
  <c r="O118" i="1"/>
  <c r="Q118" i="1" s="1"/>
  <c r="S118" i="1" s="1"/>
  <c r="U118" i="1" s="1"/>
  <c r="W118" i="1" s="1"/>
  <c r="Y118" i="1" s="1"/>
  <c r="AA118" i="1" s="1"/>
  <c r="AC118" i="1" s="1"/>
  <c r="AE118" i="1" s="1"/>
  <c r="AG118" i="1" s="1"/>
  <c r="AI118" i="1" s="1"/>
  <c r="P118" i="1"/>
  <c r="R118" i="1" s="1"/>
  <c r="T118" i="1" s="1"/>
  <c r="V118" i="1" s="1"/>
  <c r="X118" i="1" s="1"/>
  <c r="Z118" i="1" s="1"/>
  <c r="AB118" i="1" s="1"/>
  <c r="AD118" i="1" s="1"/>
  <c r="AF118" i="1" s="1"/>
  <c r="AH118" i="1" s="1"/>
  <c r="AJ118" i="1" s="1"/>
  <c r="O119" i="1"/>
  <c r="Q119" i="1" s="1"/>
  <c r="S119" i="1" s="1"/>
  <c r="U119" i="1" s="1"/>
  <c r="W119" i="1" s="1"/>
  <c r="Y119" i="1" s="1"/>
  <c r="AA119" i="1" s="1"/>
  <c r="AC119" i="1" s="1"/>
  <c r="AE119" i="1" s="1"/>
  <c r="AG119" i="1" s="1"/>
  <c r="AI119" i="1" s="1"/>
  <c r="P119" i="1"/>
  <c r="R119" i="1" s="1"/>
  <c r="T119" i="1" s="1"/>
  <c r="V119" i="1" s="1"/>
  <c r="X119" i="1" s="1"/>
  <c r="Z119" i="1" s="1"/>
  <c r="AB119" i="1" s="1"/>
  <c r="AD119" i="1" s="1"/>
  <c r="AF119" i="1" s="1"/>
  <c r="AH119" i="1" s="1"/>
  <c r="AJ119" i="1" s="1"/>
  <c r="O120" i="1"/>
  <c r="Q120" i="1" s="1"/>
  <c r="S120" i="1" s="1"/>
  <c r="U120" i="1" s="1"/>
  <c r="W120" i="1" s="1"/>
  <c r="P120" i="1"/>
  <c r="R120" i="1" s="1"/>
  <c r="T120" i="1" s="1"/>
  <c r="V120" i="1" s="1"/>
  <c r="X120" i="1" s="1"/>
  <c r="O122" i="1"/>
  <c r="Q122" i="1" s="1"/>
  <c r="S122" i="1" s="1"/>
  <c r="U122" i="1" s="1"/>
  <c r="W122" i="1" s="1"/>
  <c r="Y122" i="1" s="1"/>
  <c r="AA122" i="1" s="1"/>
  <c r="AC122" i="1" s="1"/>
  <c r="AE122" i="1" s="1"/>
  <c r="AG122" i="1" s="1"/>
  <c r="AI122" i="1" s="1"/>
  <c r="P122" i="1"/>
  <c r="R122" i="1" s="1"/>
  <c r="T122" i="1" s="1"/>
  <c r="V122" i="1" s="1"/>
  <c r="X122" i="1" s="1"/>
  <c r="Z122" i="1" s="1"/>
  <c r="AB122" i="1" s="1"/>
  <c r="AD122" i="1" s="1"/>
  <c r="AF122" i="1" s="1"/>
  <c r="AH122" i="1" s="1"/>
  <c r="AJ122" i="1" s="1"/>
  <c r="O123" i="1"/>
  <c r="Q123" i="1" s="1"/>
  <c r="S123" i="1" s="1"/>
  <c r="U123" i="1" s="1"/>
  <c r="W123" i="1" s="1"/>
  <c r="Y123" i="1" s="1"/>
  <c r="AA123" i="1" s="1"/>
  <c r="AC123" i="1" s="1"/>
  <c r="AE123" i="1" s="1"/>
  <c r="AG123" i="1" s="1"/>
  <c r="AI123" i="1" s="1"/>
  <c r="P123" i="1"/>
  <c r="R123" i="1" s="1"/>
  <c r="T123" i="1" s="1"/>
  <c r="V123" i="1" s="1"/>
  <c r="X123" i="1" s="1"/>
  <c r="Z123" i="1" s="1"/>
  <c r="AB123" i="1" s="1"/>
  <c r="AD123" i="1" s="1"/>
  <c r="AF123" i="1" s="1"/>
  <c r="AH123" i="1" s="1"/>
  <c r="AJ123" i="1" s="1"/>
  <c r="O124" i="1"/>
  <c r="Q124" i="1" s="1"/>
  <c r="S124" i="1" s="1"/>
  <c r="U124" i="1" s="1"/>
  <c r="W124" i="1" s="1"/>
  <c r="Y124" i="1" s="1"/>
  <c r="AA124" i="1" s="1"/>
  <c r="AC124" i="1" s="1"/>
  <c r="AE124" i="1" s="1"/>
  <c r="AG124" i="1" s="1"/>
  <c r="AI124" i="1" s="1"/>
  <c r="P124" i="1"/>
  <c r="R124" i="1" s="1"/>
  <c r="T124" i="1" s="1"/>
  <c r="V124" i="1" s="1"/>
  <c r="X124" i="1" s="1"/>
  <c r="Z124" i="1" s="1"/>
  <c r="AB124" i="1" s="1"/>
  <c r="AD124" i="1" s="1"/>
  <c r="AF124" i="1" s="1"/>
  <c r="AH124" i="1" s="1"/>
  <c r="AJ124" i="1" s="1"/>
  <c r="O125" i="1"/>
  <c r="Q125" i="1" s="1"/>
  <c r="S125" i="1" s="1"/>
  <c r="U125" i="1" s="1"/>
  <c r="W125" i="1" s="1"/>
  <c r="Y125" i="1" s="1"/>
  <c r="AA125" i="1" s="1"/>
  <c r="AC125" i="1" s="1"/>
  <c r="AE125" i="1" s="1"/>
  <c r="AG125" i="1" s="1"/>
  <c r="AI125" i="1" s="1"/>
  <c r="P125" i="1"/>
  <c r="R125" i="1" s="1"/>
  <c r="T125" i="1" s="1"/>
  <c r="V125" i="1" s="1"/>
  <c r="X125" i="1" s="1"/>
  <c r="Z125" i="1" s="1"/>
  <c r="AB125" i="1" s="1"/>
  <c r="AD125" i="1" s="1"/>
  <c r="AF125" i="1" s="1"/>
  <c r="AH125" i="1" s="1"/>
  <c r="AJ125" i="1" s="1"/>
  <c r="O126" i="1"/>
  <c r="Q126" i="1" s="1"/>
  <c r="S126" i="1" s="1"/>
  <c r="U126" i="1" s="1"/>
  <c r="W126" i="1" s="1"/>
  <c r="Y126" i="1" s="1"/>
  <c r="AA126" i="1" s="1"/>
  <c r="AC126" i="1" s="1"/>
  <c r="AE126" i="1" s="1"/>
  <c r="AG126" i="1" s="1"/>
  <c r="AI126" i="1" s="1"/>
  <c r="P126" i="1"/>
  <c r="R126" i="1" s="1"/>
  <c r="T126" i="1" s="1"/>
  <c r="V126" i="1" s="1"/>
  <c r="X126" i="1" s="1"/>
  <c r="Z126" i="1" s="1"/>
  <c r="AB126" i="1" s="1"/>
  <c r="AD126" i="1" s="1"/>
  <c r="AF126" i="1" s="1"/>
  <c r="AH126" i="1" s="1"/>
  <c r="AJ126" i="1" s="1"/>
  <c r="O127" i="1"/>
  <c r="Q127" i="1" s="1"/>
  <c r="S127" i="1" s="1"/>
  <c r="U127" i="1" s="1"/>
  <c r="W127" i="1" s="1"/>
  <c r="Y127" i="1" s="1"/>
  <c r="AA127" i="1" s="1"/>
  <c r="AC127" i="1" s="1"/>
  <c r="AE127" i="1" s="1"/>
  <c r="AG127" i="1" s="1"/>
  <c r="AI127" i="1" s="1"/>
  <c r="P127" i="1"/>
  <c r="R127" i="1" s="1"/>
  <c r="T127" i="1" s="1"/>
  <c r="V127" i="1" s="1"/>
  <c r="X127" i="1" s="1"/>
  <c r="Z127" i="1" s="1"/>
  <c r="AB127" i="1" s="1"/>
  <c r="AD127" i="1" s="1"/>
  <c r="AF127" i="1" s="1"/>
  <c r="AH127" i="1" s="1"/>
  <c r="AJ127" i="1" s="1"/>
  <c r="O128" i="1"/>
  <c r="Q128" i="1" s="1"/>
  <c r="S128" i="1" s="1"/>
  <c r="U128" i="1" s="1"/>
  <c r="W128" i="1" s="1"/>
  <c r="Y128" i="1" s="1"/>
  <c r="AA128" i="1" s="1"/>
  <c r="AC128" i="1" s="1"/>
  <c r="AE128" i="1" s="1"/>
  <c r="AG128" i="1" s="1"/>
  <c r="AI128" i="1" s="1"/>
  <c r="P128" i="1"/>
  <c r="R128" i="1" s="1"/>
  <c r="T128" i="1" s="1"/>
  <c r="V128" i="1" s="1"/>
  <c r="X128" i="1" s="1"/>
  <c r="Z128" i="1" s="1"/>
  <c r="AB128" i="1" s="1"/>
  <c r="AD128" i="1" s="1"/>
  <c r="AF128" i="1" s="1"/>
  <c r="AH128" i="1" s="1"/>
  <c r="AJ128" i="1" s="1"/>
  <c r="O129" i="1"/>
  <c r="Q129" i="1" s="1"/>
  <c r="S129" i="1" s="1"/>
  <c r="U129" i="1" s="1"/>
  <c r="W129" i="1" s="1"/>
  <c r="Y129" i="1" s="1"/>
  <c r="AA129" i="1" s="1"/>
  <c r="AC129" i="1" s="1"/>
  <c r="AE129" i="1" s="1"/>
  <c r="AG129" i="1" s="1"/>
  <c r="AI129" i="1" s="1"/>
  <c r="P129" i="1"/>
  <c r="R129" i="1" s="1"/>
  <c r="T129" i="1" s="1"/>
  <c r="V129" i="1" s="1"/>
  <c r="X129" i="1" s="1"/>
  <c r="Z129" i="1" s="1"/>
  <c r="AB129" i="1" s="1"/>
  <c r="AD129" i="1" s="1"/>
  <c r="AF129" i="1" s="1"/>
  <c r="AH129" i="1" s="1"/>
  <c r="AJ129" i="1" s="1"/>
  <c r="O130" i="1"/>
  <c r="Q130" i="1" s="1"/>
  <c r="S130" i="1" s="1"/>
  <c r="U130" i="1" s="1"/>
  <c r="W130" i="1" s="1"/>
  <c r="Y130" i="1" s="1"/>
  <c r="AA130" i="1" s="1"/>
  <c r="AC130" i="1" s="1"/>
  <c r="AE130" i="1" s="1"/>
  <c r="AG130" i="1" s="1"/>
  <c r="AI130" i="1" s="1"/>
  <c r="P130" i="1"/>
  <c r="R130" i="1" s="1"/>
  <c r="T130" i="1" s="1"/>
  <c r="V130" i="1" s="1"/>
  <c r="X130" i="1" s="1"/>
  <c r="Z130" i="1" s="1"/>
  <c r="AB130" i="1" s="1"/>
  <c r="AD130" i="1" s="1"/>
  <c r="AF130" i="1" s="1"/>
  <c r="AH130" i="1" s="1"/>
  <c r="AJ130" i="1" s="1"/>
  <c r="O131" i="1"/>
  <c r="Q131" i="1" s="1"/>
  <c r="S131" i="1" s="1"/>
  <c r="U131" i="1" s="1"/>
  <c r="W131" i="1" s="1"/>
  <c r="Y131" i="1" s="1"/>
  <c r="AA131" i="1" s="1"/>
  <c r="AC131" i="1" s="1"/>
  <c r="AE131" i="1" s="1"/>
  <c r="AG131" i="1" s="1"/>
  <c r="AI131" i="1" s="1"/>
  <c r="P131" i="1"/>
  <c r="R131" i="1" s="1"/>
  <c r="T131" i="1" s="1"/>
  <c r="V131" i="1" s="1"/>
  <c r="X131" i="1" s="1"/>
  <c r="Z131" i="1" s="1"/>
  <c r="AB131" i="1" s="1"/>
  <c r="AD131" i="1" s="1"/>
  <c r="AF131" i="1" s="1"/>
  <c r="AH131" i="1" s="1"/>
  <c r="AJ131" i="1" s="1"/>
  <c r="O132" i="1"/>
  <c r="Q132" i="1" s="1"/>
  <c r="S132" i="1" s="1"/>
  <c r="U132" i="1" s="1"/>
  <c r="W132" i="1" s="1"/>
  <c r="Y132" i="1" s="1"/>
  <c r="AA132" i="1" s="1"/>
  <c r="AC132" i="1" s="1"/>
  <c r="AE132" i="1" s="1"/>
  <c r="AG132" i="1" s="1"/>
  <c r="AI132" i="1" s="1"/>
  <c r="P132" i="1"/>
  <c r="R132" i="1" s="1"/>
  <c r="T132" i="1" s="1"/>
  <c r="V132" i="1" s="1"/>
  <c r="X132" i="1" s="1"/>
  <c r="Z132" i="1" s="1"/>
  <c r="AB132" i="1" s="1"/>
  <c r="AD132" i="1" s="1"/>
  <c r="AF132" i="1" s="1"/>
  <c r="AH132" i="1" s="1"/>
  <c r="AJ132" i="1" s="1"/>
  <c r="O134" i="1"/>
  <c r="Q134" i="1" s="1"/>
  <c r="S134" i="1" s="1"/>
  <c r="U134" i="1" s="1"/>
  <c r="W134" i="1" s="1"/>
  <c r="Y134" i="1" s="1"/>
  <c r="AA134" i="1" s="1"/>
  <c r="AC134" i="1" s="1"/>
  <c r="AE134" i="1" s="1"/>
  <c r="AG134" i="1" s="1"/>
  <c r="AI134" i="1" s="1"/>
  <c r="P134" i="1"/>
  <c r="R134" i="1" s="1"/>
  <c r="T134" i="1" s="1"/>
  <c r="V134" i="1" s="1"/>
  <c r="X134" i="1" s="1"/>
  <c r="Z134" i="1" s="1"/>
  <c r="AB134" i="1" s="1"/>
  <c r="AD134" i="1" s="1"/>
  <c r="AF134" i="1" s="1"/>
  <c r="AH134" i="1" s="1"/>
  <c r="AJ134" i="1" s="1"/>
  <c r="O135" i="1"/>
  <c r="Q135" i="1" s="1"/>
  <c r="S135" i="1" s="1"/>
  <c r="U135" i="1" s="1"/>
  <c r="W135" i="1" s="1"/>
  <c r="Y135" i="1" s="1"/>
  <c r="AA135" i="1" s="1"/>
  <c r="AC135" i="1" s="1"/>
  <c r="AE135" i="1" s="1"/>
  <c r="AG135" i="1" s="1"/>
  <c r="AI135" i="1" s="1"/>
  <c r="P135" i="1"/>
  <c r="R135" i="1" s="1"/>
  <c r="T135" i="1" s="1"/>
  <c r="V135" i="1" s="1"/>
  <c r="X135" i="1" s="1"/>
  <c r="Z135" i="1" s="1"/>
  <c r="AB135" i="1" s="1"/>
  <c r="AD135" i="1" s="1"/>
  <c r="AF135" i="1" s="1"/>
  <c r="AH135" i="1" s="1"/>
  <c r="AJ135" i="1" s="1"/>
  <c r="O136" i="1"/>
  <c r="Q136" i="1" s="1"/>
  <c r="S136" i="1" s="1"/>
  <c r="U136" i="1" s="1"/>
  <c r="W136" i="1" s="1"/>
  <c r="Y136" i="1" s="1"/>
  <c r="AA136" i="1" s="1"/>
  <c r="AC136" i="1" s="1"/>
  <c r="AE136" i="1" s="1"/>
  <c r="AG136" i="1" s="1"/>
  <c r="AI136" i="1" s="1"/>
  <c r="P136" i="1"/>
  <c r="R136" i="1" s="1"/>
  <c r="T136" i="1" s="1"/>
  <c r="V136" i="1" s="1"/>
  <c r="X136" i="1" s="1"/>
  <c r="Z136" i="1" s="1"/>
  <c r="AB136" i="1" s="1"/>
  <c r="AD136" i="1" s="1"/>
  <c r="AF136" i="1" s="1"/>
  <c r="AH136" i="1" s="1"/>
  <c r="AJ136" i="1" s="1"/>
  <c r="O137" i="1"/>
  <c r="Q137" i="1" s="1"/>
  <c r="S137" i="1" s="1"/>
  <c r="U137" i="1" s="1"/>
  <c r="W137" i="1" s="1"/>
  <c r="Y137" i="1" s="1"/>
  <c r="AA137" i="1" s="1"/>
  <c r="AC137" i="1" s="1"/>
  <c r="AE137" i="1" s="1"/>
  <c r="AG137" i="1" s="1"/>
  <c r="AI137" i="1" s="1"/>
  <c r="P137" i="1"/>
  <c r="R137" i="1" s="1"/>
  <c r="T137" i="1" s="1"/>
  <c r="V137" i="1" s="1"/>
  <c r="X137" i="1" s="1"/>
  <c r="Z137" i="1" s="1"/>
  <c r="AB137" i="1" s="1"/>
  <c r="AD137" i="1" s="1"/>
  <c r="AF137" i="1" s="1"/>
  <c r="AH137" i="1" s="1"/>
  <c r="AJ137" i="1" s="1"/>
  <c r="O138" i="1"/>
  <c r="Q138" i="1" s="1"/>
  <c r="S138" i="1" s="1"/>
  <c r="U138" i="1" s="1"/>
  <c r="W138" i="1" s="1"/>
  <c r="Y138" i="1" s="1"/>
  <c r="AA138" i="1" s="1"/>
  <c r="AC138" i="1" s="1"/>
  <c r="AE138" i="1" s="1"/>
  <c r="AG138" i="1" s="1"/>
  <c r="AI138" i="1" s="1"/>
  <c r="P138" i="1"/>
  <c r="R138" i="1" s="1"/>
  <c r="T138" i="1" s="1"/>
  <c r="V138" i="1" s="1"/>
  <c r="X138" i="1" s="1"/>
  <c r="Z138" i="1" s="1"/>
  <c r="AB138" i="1" s="1"/>
  <c r="AD138" i="1" s="1"/>
  <c r="AF138" i="1" s="1"/>
  <c r="AH138" i="1" s="1"/>
  <c r="AJ138" i="1" s="1"/>
  <c r="O149" i="1"/>
  <c r="Q149" i="1" s="1"/>
  <c r="S149" i="1" s="1"/>
  <c r="U149" i="1" s="1"/>
  <c r="W149" i="1" s="1"/>
  <c r="Y149" i="1" s="1"/>
  <c r="AA149" i="1" s="1"/>
  <c r="AC149" i="1" s="1"/>
  <c r="AE149" i="1" s="1"/>
  <c r="AG149" i="1" s="1"/>
  <c r="AI149" i="1" s="1"/>
  <c r="P149" i="1"/>
  <c r="R149" i="1" s="1"/>
  <c r="T149" i="1" s="1"/>
  <c r="V149" i="1" s="1"/>
  <c r="X149" i="1" s="1"/>
  <c r="Z149" i="1" s="1"/>
  <c r="AB149" i="1" s="1"/>
  <c r="AD149" i="1" s="1"/>
  <c r="AF149" i="1" s="1"/>
  <c r="AH149" i="1" s="1"/>
  <c r="AJ149" i="1" s="1"/>
  <c r="O150" i="1"/>
  <c r="Q150" i="1" s="1"/>
  <c r="S150" i="1" s="1"/>
  <c r="U150" i="1" s="1"/>
  <c r="W150" i="1" s="1"/>
  <c r="Y150" i="1" s="1"/>
  <c r="AA150" i="1" s="1"/>
  <c r="AC150" i="1" s="1"/>
  <c r="AE150" i="1" s="1"/>
  <c r="AG150" i="1" s="1"/>
  <c r="AI150" i="1" s="1"/>
  <c r="P150" i="1"/>
  <c r="R150" i="1" s="1"/>
  <c r="T150" i="1" s="1"/>
  <c r="V150" i="1" s="1"/>
  <c r="X150" i="1" s="1"/>
  <c r="Z150" i="1" s="1"/>
  <c r="AB150" i="1" s="1"/>
  <c r="AD150" i="1" s="1"/>
  <c r="AF150" i="1" s="1"/>
  <c r="AH150" i="1" s="1"/>
  <c r="AJ150" i="1" s="1"/>
  <c r="O153" i="1"/>
  <c r="Q153" i="1" s="1"/>
  <c r="S153" i="1" s="1"/>
  <c r="U153" i="1" s="1"/>
  <c r="W153" i="1" s="1"/>
  <c r="Y153" i="1" s="1"/>
  <c r="AA153" i="1" s="1"/>
  <c r="AC153" i="1" s="1"/>
  <c r="AE153" i="1" s="1"/>
  <c r="AG153" i="1" s="1"/>
  <c r="AI153" i="1" s="1"/>
  <c r="P153" i="1"/>
  <c r="R153" i="1" s="1"/>
  <c r="T153" i="1" s="1"/>
  <c r="V153" i="1" s="1"/>
  <c r="X153" i="1" s="1"/>
  <c r="Z153" i="1" s="1"/>
  <c r="AB153" i="1" s="1"/>
  <c r="AD153" i="1" s="1"/>
  <c r="AF153" i="1" s="1"/>
  <c r="AH153" i="1" s="1"/>
  <c r="AJ153" i="1" s="1"/>
  <c r="O157" i="1"/>
  <c r="Q157" i="1" s="1"/>
  <c r="S157" i="1" s="1"/>
  <c r="U157" i="1" s="1"/>
  <c r="W157" i="1" s="1"/>
  <c r="Y157" i="1" s="1"/>
  <c r="AA157" i="1" s="1"/>
  <c r="AC157" i="1" s="1"/>
  <c r="AE157" i="1" s="1"/>
  <c r="AG157" i="1" s="1"/>
  <c r="AI157" i="1" s="1"/>
  <c r="P157" i="1"/>
  <c r="R157" i="1" s="1"/>
  <c r="T157" i="1" s="1"/>
  <c r="V157" i="1" s="1"/>
  <c r="X157" i="1" s="1"/>
  <c r="Z157" i="1" s="1"/>
  <c r="AB157" i="1" s="1"/>
  <c r="AD157" i="1" s="1"/>
  <c r="AF157" i="1" s="1"/>
  <c r="AH157" i="1" s="1"/>
  <c r="AJ157" i="1" s="1"/>
  <c r="O158" i="1"/>
  <c r="Q158" i="1" s="1"/>
  <c r="S158" i="1" s="1"/>
  <c r="U158" i="1" s="1"/>
  <c r="W158" i="1" s="1"/>
  <c r="Y158" i="1" s="1"/>
  <c r="AA158" i="1" s="1"/>
  <c r="AC158" i="1" s="1"/>
  <c r="AE158" i="1" s="1"/>
  <c r="AG158" i="1" s="1"/>
  <c r="AI158" i="1" s="1"/>
  <c r="P158" i="1"/>
  <c r="R158" i="1" s="1"/>
  <c r="T158" i="1" s="1"/>
  <c r="V158" i="1" s="1"/>
  <c r="X158" i="1" s="1"/>
  <c r="Z158" i="1" s="1"/>
  <c r="AB158" i="1" s="1"/>
  <c r="AD158" i="1" s="1"/>
  <c r="AF158" i="1" s="1"/>
  <c r="AH158" i="1" s="1"/>
  <c r="AJ158" i="1" s="1"/>
  <c r="O164" i="1"/>
  <c r="Q164" i="1" s="1"/>
  <c r="S164" i="1" s="1"/>
  <c r="U164" i="1" s="1"/>
  <c r="W164" i="1" s="1"/>
  <c r="Y164" i="1" s="1"/>
  <c r="AA164" i="1" s="1"/>
  <c r="AC164" i="1" s="1"/>
  <c r="AE164" i="1" s="1"/>
  <c r="AG164" i="1" s="1"/>
  <c r="AI164" i="1" s="1"/>
  <c r="P164" i="1"/>
  <c r="R164" i="1" s="1"/>
  <c r="T164" i="1" s="1"/>
  <c r="V164" i="1" s="1"/>
  <c r="X164" i="1" s="1"/>
  <c r="Z164" i="1" s="1"/>
  <c r="AB164" i="1" s="1"/>
  <c r="AD164" i="1" s="1"/>
  <c r="AF164" i="1" s="1"/>
  <c r="AH164" i="1" s="1"/>
  <c r="AJ164" i="1" s="1"/>
  <c r="O165" i="1"/>
  <c r="Q165" i="1" s="1"/>
  <c r="S165" i="1" s="1"/>
  <c r="U165" i="1" s="1"/>
  <c r="W165" i="1" s="1"/>
  <c r="Y165" i="1" s="1"/>
  <c r="AA165" i="1" s="1"/>
  <c r="AC165" i="1" s="1"/>
  <c r="AE165" i="1" s="1"/>
  <c r="AG165" i="1" s="1"/>
  <c r="AI165" i="1" s="1"/>
  <c r="P165" i="1"/>
  <c r="R165" i="1" s="1"/>
  <c r="T165" i="1" s="1"/>
  <c r="V165" i="1" s="1"/>
  <c r="X165" i="1" s="1"/>
  <c r="Z165" i="1" s="1"/>
  <c r="AB165" i="1" s="1"/>
  <c r="AD165" i="1" s="1"/>
  <c r="AF165" i="1" s="1"/>
  <c r="AH165" i="1" s="1"/>
  <c r="AJ165" i="1" s="1"/>
  <c r="O166" i="1"/>
  <c r="Q166" i="1" s="1"/>
  <c r="S166" i="1" s="1"/>
  <c r="U166" i="1" s="1"/>
  <c r="W166" i="1" s="1"/>
  <c r="Y166" i="1" s="1"/>
  <c r="AA166" i="1" s="1"/>
  <c r="AC166" i="1" s="1"/>
  <c r="AE166" i="1" s="1"/>
  <c r="AG166" i="1" s="1"/>
  <c r="AI166" i="1" s="1"/>
  <c r="P166" i="1"/>
  <c r="R166" i="1" s="1"/>
  <c r="T166" i="1" s="1"/>
  <c r="V166" i="1" s="1"/>
  <c r="X166" i="1" s="1"/>
  <c r="Z166" i="1" s="1"/>
  <c r="AB166" i="1" s="1"/>
  <c r="AD166" i="1" s="1"/>
  <c r="AF166" i="1" s="1"/>
  <c r="AH166" i="1" s="1"/>
  <c r="AJ166" i="1" s="1"/>
  <c r="O168" i="1"/>
  <c r="Q168" i="1" s="1"/>
  <c r="S168" i="1" s="1"/>
  <c r="U168" i="1" s="1"/>
  <c r="W168" i="1" s="1"/>
  <c r="Y168" i="1" s="1"/>
  <c r="AA168" i="1" s="1"/>
  <c r="AC168" i="1" s="1"/>
  <c r="AE168" i="1" s="1"/>
  <c r="AG168" i="1" s="1"/>
  <c r="AI168" i="1" s="1"/>
  <c r="P168" i="1"/>
  <c r="R168" i="1" s="1"/>
  <c r="T168" i="1" s="1"/>
  <c r="V168" i="1" s="1"/>
  <c r="X168" i="1" s="1"/>
  <c r="Z168" i="1" s="1"/>
  <c r="AB168" i="1" s="1"/>
  <c r="AD168" i="1" s="1"/>
  <c r="AF168" i="1" s="1"/>
  <c r="AH168" i="1" s="1"/>
  <c r="AJ168" i="1" s="1"/>
  <c r="O173" i="1"/>
  <c r="Q173" i="1" s="1"/>
  <c r="S173" i="1" s="1"/>
  <c r="U173" i="1" s="1"/>
  <c r="W173" i="1" s="1"/>
  <c r="Y173" i="1" s="1"/>
  <c r="AA173" i="1" s="1"/>
  <c r="AC173" i="1" s="1"/>
  <c r="AE173" i="1" s="1"/>
  <c r="AG173" i="1" s="1"/>
  <c r="AI173" i="1" s="1"/>
  <c r="P173" i="1"/>
  <c r="R173" i="1" s="1"/>
  <c r="T173" i="1" s="1"/>
  <c r="V173" i="1" s="1"/>
  <c r="X173" i="1" s="1"/>
  <c r="Z173" i="1" s="1"/>
  <c r="AB173" i="1" s="1"/>
  <c r="AD173" i="1" s="1"/>
  <c r="AF173" i="1" s="1"/>
  <c r="AH173" i="1" s="1"/>
  <c r="AJ173" i="1" s="1"/>
  <c r="O178" i="1"/>
  <c r="Q178" i="1" s="1"/>
  <c r="S178" i="1" s="1"/>
  <c r="U178" i="1" s="1"/>
  <c r="W178" i="1" s="1"/>
  <c r="Y178" i="1" s="1"/>
  <c r="AA178" i="1" s="1"/>
  <c r="AC178" i="1" s="1"/>
  <c r="AE178" i="1" s="1"/>
  <c r="AG178" i="1" s="1"/>
  <c r="AI178" i="1" s="1"/>
  <c r="P178" i="1"/>
  <c r="R178" i="1" s="1"/>
  <c r="T178" i="1" s="1"/>
  <c r="V178" i="1" s="1"/>
  <c r="X178" i="1" s="1"/>
  <c r="Z178" i="1" s="1"/>
  <c r="AB178" i="1" s="1"/>
  <c r="AD178" i="1" s="1"/>
  <c r="AF178" i="1" s="1"/>
  <c r="AH178" i="1" s="1"/>
  <c r="AJ178" i="1" s="1"/>
  <c r="O179" i="1"/>
  <c r="Q179" i="1" s="1"/>
  <c r="S179" i="1" s="1"/>
  <c r="U179" i="1" s="1"/>
  <c r="W179" i="1" s="1"/>
  <c r="Y179" i="1" s="1"/>
  <c r="AA179" i="1" s="1"/>
  <c r="AC179" i="1" s="1"/>
  <c r="AE179" i="1" s="1"/>
  <c r="AG179" i="1" s="1"/>
  <c r="AI179" i="1" s="1"/>
  <c r="P179" i="1"/>
  <c r="R179" i="1" s="1"/>
  <c r="T179" i="1" s="1"/>
  <c r="V179" i="1" s="1"/>
  <c r="X179" i="1" s="1"/>
  <c r="Z179" i="1" s="1"/>
  <c r="AB179" i="1" s="1"/>
  <c r="AD179" i="1" s="1"/>
  <c r="AF179" i="1" s="1"/>
  <c r="AH179" i="1" s="1"/>
  <c r="AJ179" i="1" s="1"/>
  <c r="O180" i="1"/>
  <c r="Q180" i="1" s="1"/>
  <c r="S180" i="1" s="1"/>
  <c r="U180" i="1" s="1"/>
  <c r="W180" i="1" s="1"/>
  <c r="Y180" i="1" s="1"/>
  <c r="AA180" i="1" s="1"/>
  <c r="AC180" i="1" s="1"/>
  <c r="AE180" i="1" s="1"/>
  <c r="AG180" i="1" s="1"/>
  <c r="AI180" i="1" s="1"/>
  <c r="P180" i="1"/>
  <c r="R180" i="1" s="1"/>
  <c r="T180" i="1" s="1"/>
  <c r="V180" i="1" s="1"/>
  <c r="X180" i="1" s="1"/>
  <c r="Z180" i="1" s="1"/>
  <c r="AB180" i="1" s="1"/>
  <c r="AD180" i="1" s="1"/>
  <c r="AF180" i="1" s="1"/>
  <c r="AH180" i="1" s="1"/>
  <c r="AJ180" i="1" s="1"/>
  <c r="O181" i="1"/>
  <c r="Q181" i="1" s="1"/>
  <c r="S181" i="1" s="1"/>
  <c r="U181" i="1" s="1"/>
  <c r="W181" i="1" s="1"/>
  <c r="Y181" i="1" s="1"/>
  <c r="AA181" i="1" s="1"/>
  <c r="AC181" i="1" s="1"/>
  <c r="AE181" i="1" s="1"/>
  <c r="AG181" i="1" s="1"/>
  <c r="AI181" i="1" s="1"/>
  <c r="P181" i="1"/>
  <c r="R181" i="1" s="1"/>
  <c r="T181" i="1" s="1"/>
  <c r="V181" i="1" s="1"/>
  <c r="X181" i="1" s="1"/>
  <c r="Z181" i="1" s="1"/>
  <c r="AB181" i="1" s="1"/>
  <c r="AD181" i="1" s="1"/>
  <c r="AF181" i="1" s="1"/>
  <c r="AH181" i="1" s="1"/>
  <c r="AJ181" i="1" s="1"/>
  <c r="O182" i="1"/>
  <c r="Q182" i="1" s="1"/>
  <c r="S182" i="1" s="1"/>
  <c r="U182" i="1" s="1"/>
  <c r="W182" i="1" s="1"/>
  <c r="Y182" i="1" s="1"/>
  <c r="AA182" i="1" s="1"/>
  <c r="AC182" i="1" s="1"/>
  <c r="AE182" i="1" s="1"/>
  <c r="AG182" i="1" s="1"/>
  <c r="AI182" i="1" s="1"/>
  <c r="P182" i="1"/>
  <c r="R182" i="1" s="1"/>
  <c r="T182" i="1" s="1"/>
  <c r="V182" i="1" s="1"/>
  <c r="X182" i="1" s="1"/>
  <c r="Z182" i="1" s="1"/>
  <c r="AB182" i="1" s="1"/>
  <c r="AD182" i="1" s="1"/>
  <c r="AF182" i="1" s="1"/>
  <c r="AH182" i="1" s="1"/>
  <c r="AJ182" i="1" s="1"/>
  <c r="O183" i="1"/>
  <c r="Q183" i="1" s="1"/>
  <c r="S183" i="1" s="1"/>
  <c r="U183" i="1" s="1"/>
  <c r="W183" i="1" s="1"/>
  <c r="Y183" i="1" s="1"/>
  <c r="AA183" i="1" s="1"/>
  <c r="AC183" i="1" s="1"/>
  <c r="AE183" i="1" s="1"/>
  <c r="AG183" i="1" s="1"/>
  <c r="AI183" i="1" s="1"/>
  <c r="P183" i="1"/>
  <c r="R183" i="1" s="1"/>
  <c r="T183" i="1" s="1"/>
  <c r="V183" i="1" s="1"/>
  <c r="X183" i="1" s="1"/>
  <c r="Z183" i="1" s="1"/>
  <c r="AB183" i="1" s="1"/>
  <c r="AD183" i="1" s="1"/>
  <c r="AF183" i="1" s="1"/>
  <c r="AH183" i="1" s="1"/>
  <c r="AJ183" i="1" s="1"/>
  <c r="O184" i="1"/>
  <c r="Q184" i="1" s="1"/>
  <c r="S184" i="1" s="1"/>
  <c r="U184" i="1" s="1"/>
  <c r="W184" i="1" s="1"/>
  <c r="Y184" i="1" s="1"/>
  <c r="AA184" i="1" s="1"/>
  <c r="AC184" i="1" s="1"/>
  <c r="AE184" i="1" s="1"/>
  <c r="AG184" i="1" s="1"/>
  <c r="AI184" i="1" s="1"/>
  <c r="P184" i="1"/>
  <c r="R184" i="1" s="1"/>
  <c r="T184" i="1" s="1"/>
  <c r="V184" i="1" s="1"/>
  <c r="X184" i="1" s="1"/>
  <c r="Z184" i="1" s="1"/>
  <c r="AB184" i="1" s="1"/>
  <c r="AD184" i="1" s="1"/>
  <c r="AF184" i="1" s="1"/>
  <c r="AH184" i="1" s="1"/>
  <c r="AJ184" i="1" s="1"/>
  <c r="O185" i="1"/>
  <c r="Q185" i="1" s="1"/>
  <c r="S185" i="1" s="1"/>
  <c r="U185" i="1" s="1"/>
  <c r="W185" i="1" s="1"/>
  <c r="Y185" i="1" s="1"/>
  <c r="AA185" i="1" s="1"/>
  <c r="AC185" i="1" s="1"/>
  <c r="AE185" i="1" s="1"/>
  <c r="AG185" i="1" s="1"/>
  <c r="AI185" i="1" s="1"/>
  <c r="P185" i="1"/>
  <c r="R185" i="1" s="1"/>
  <c r="T185" i="1" s="1"/>
  <c r="V185" i="1" s="1"/>
  <c r="X185" i="1" s="1"/>
  <c r="Z185" i="1" s="1"/>
  <c r="AB185" i="1" s="1"/>
  <c r="AD185" i="1" s="1"/>
  <c r="AF185" i="1" s="1"/>
  <c r="AH185" i="1" s="1"/>
  <c r="AJ185" i="1" s="1"/>
  <c r="O186" i="1"/>
  <c r="Q186" i="1" s="1"/>
  <c r="S186" i="1" s="1"/>
  <c r="U186" i="1" s="1"/>
  <c r="W186" i="1" s="1"/>
  <c r="Y186" i="1" s="1"/>
  <c r="AA186" i="1" s="1"/>
  <c r="AC186" i="1" s="1"/>
  <c r="AE186" i="1" s="1"/>
  <c r="AG186" i="1" s="1"/>
  <c r="AI186" i="1" s="1"/>
  <c r="P186" i="1"/>
  <c r="R186" i="1" s="1"/>
  <c r="T186" i="1" s="1"/>
  <c r="V186" i="1" s="1"/>
  <c r="X186" i="1" s="1"/>
  <c r="Z186" i="1" s="1"/>
  <c r="AB186" i="1" s="1"/>
  <c r="AD186" i="1" s="1"/>
  <c r="AF186" i="1" s="1"/>
  <c r="AH186" i="1" s="1"/>
  <c r="AJ186" i="1" s="1"/>
  <c r="O187" i="1"/>
  <c r="Q187" i="1" s="1"/>
  <c r="S187" i="1" s="1"/>
  <c r="U187" i="1" s="1"/>
  <c r="W187" i="1" s="1"/>
  <c r="Y187" i="1" s="1"/>
  <c r="AA187" i="1" s="1"/>
  <c r="AC187" i="1" s="1"/>
  <c r="AE187" i="1" s="1"/>
  <c r="AG187" i="1" s="1"/>
  <c r="AI187" i="1" s="1"/>
  <c r="P187" i="1"/>
  <c r="R187" i="1" s="1"/>
  <c r="T187" i="1" s="1"/>
  <c r="V187" i="1" s="1"/>
  <c r="X187" i="1" s="1"/>
  <c r="Z187" i="1" s="1"/>
  <c r="AB187" i="1" s="1"/>
  <c r="AD187" i="1" s="1"/>
  <c r="AF187" i="1" s="1"/>
  <c r="AH187" i="1" s="1"/>
  <c r="AJ187" i="1" s="1"/>
  <c r="O188" i="1"/>
  <c r="Q188" i="1" s="1"/>
  <c r="S188" i="1" s="1"/>
  <c r="U188" i="1" s="1"/>
  <c r="W188" i="1" s="1"/>
  <c r="Y188" i="1" s="1"/>
  <c r="AA188" i="1" s="1"/>
  <c r="AC188" i="1" s="1"/>
  <c r="AE188" i="1" s="1"/>
  <c r="AG188" i="1" s="1"/>
  <c r="AI188" i="1" s="1"/>
  <c r="P188" i="1"/>
  <c r="R188" i="1" s="1"/>
  <c r="T188" i="1" s="1"/>
  <c r="V188" i="1" s="1"/>
  <c r="X188" i="1" s="1"/>
  <c r="Z188" i="1" s="1"/>
  <c r="AB188" i="1" s="1"/>
  <c r="AD188" i="1" s="1"/>
  <c r="AF188" i="1" s="1"/>
  <c r="AH188" i="1" s="1"/>
  <c r="AJ188" i="1" s="1"/>
  <c r="O189" i="1"/>
  <c r="Q189" i="1" s="1"/>
  <c r="S189" i="1" s="1"/>
  <c r="U189" i="1" s="1"/>
  <c r="W189" i="1" s="1"/>
  <c r="Y189" i="1" s="1"/>
  <c r="AA189" i="1" s="1"/>
  <c r="AC189" i="1" s="1"/>
  <c r="AE189" i="1" s="1"/>
  <c r="AG189" i="1" s="1"/>
  <c r="AI189" i="1" s="1"/>
  <c r="P189" i="1"/>
  <c r="R189" i="1" s="1"/>
  <c r="T189" i="1" s="1"/>
  <c r="V189" i="1" s="1"/>
  <c r="X189" i="1" s="1"/>
  <c r="Z189" i="1" s="1"/>
  <c r="AB189" i="1" s="1"/>
  <c r="AD189" i="1" s="1"/>
  <c r="AF189" i="1" s="1"/>
  <c r="AH189" i="1" s="1"/>
  <c r="AJ189" i="1" s="1"/>
  <c r="O190" i="1"/>
  <c r="Q190" i="1" s="1"/>
  <c r="S190" i="1" s="1"/>
  <c r="U190" i="1" s="1"/>
  <c r="W190" i="1" s="1"/>
  <c r="Y190" i="1" s="1"/>
  <c r="AA190" i="1" s="1"/>
  <c r="AC190" i="1" s="1"/>
  <c r="AE190" i="1" s="1"/>
  <c r="AG190" i="1" s="1"/>
  <c r="AI190" i="1" s="1"/>
  <c r="P190" i="1"/>
  <c r="R190" i="1" s="1"/>
  <c r="T190" i="1" s="1"/>
  <c r="V190" i="1" s="1"/>
  <c r="X190" i="1" s="1"/>
  <c r="Z190" i="1" s="1"/>
  <c r="AB190" i="1" s="1"/>
  <c r="AD190" i="1" s="1"/>
  <c r="AF190" i="1" s="1"/>
  <c r="AH190" i="1" s="1"/>
  <c r="AJ190" i="1" s="1"/>
  <c r="O191" i="1"/>
  <c r="Q191" i="1" s="1"/>
  <c r="S191" i="1" s="1"/>
  <c r="U191" i="1" s="1"/>
  <c r="W191" i="1" s="1"/>
  <c r="Y191" i="1" s="1"/>
  <c r="AA191" i="1" s="1"/>
  <c r="AC191" i="1" s="1"/>
  <c r="AE191" i="1" s="1"/>
  <c r="AG191" i="1" s="1"/>
  <c r="AI191" i="1" s="1"/>
  <c r="P191" i="1"/>
  <c r="R191" i="1" s="1"/>
  <c r="T191" i="1" s="1"/>
  <c r="V191" i="1" s="1"/>
  <c r="X191" i="1" s="1"/>
  <c r="Z191" i="1" s="1"/>
  <c r="AB191" i="1" s="1"/>
  <c r="AD191" i="1" s="1"/>
  <c r="AF191" i="1" s="1"/>
  <c r="AH191" i="1" s="1"/>
  <c r="AJ191" i="1" s="1"/>
  <c r="O192" i="1"/>
  <c r="Q192" i="1" s="1"/>
  <c r="S192" i="1" s="1"/>
  <c r="U192" i="1" s="1"/>
  <c r="W192" i="1" s="1"/>
  <c r="Y192" i="1" s="1"/>
  <c r="AA192" i="1" s="1"/>
  <c r="AC192" i="1" s="1"/>
  <c r="AE192" i="1" s="1"/>
  <c r="AG192" i="1" s="1"/>
  <c r="AI192" i="1" s="1"/>
  <c r="P192" i="1"/>
  <c r="R192" i="1" s="1"/>
  <c r="T192" i="1" s="1"/>
  <c r="V192" i="1" s="1"/>
  <c r="X192" i="1" s="1"/>
  <c r="Z192" i="1" s="1"/>
  <c r="AB192" i="1" s="1"/>
  <c r="AD192" i="1" s="1"/>
  <c r="AF192" i="1" s="1"/>
  <c r="AH192" i="1" s="1"/>
  <c r="AJ192" i="1" s="1"/>
  <c r="O193" i="1"/>
  <c r="Q193" i="1" s="1"/>
  <c r="S193" i="1" s="1"/>
  <c r="U193" i="1" s="1"/>
  <c r="W193" i="1" s="1"/>
  <c r="Y193" i="1" s="1"/>
  <c r="AA193" i="1" s="1"/>
  <c r="AC193" i="1" s="1"/>
  <c r="AE193" i="1" s="1"/>
  <c r="AG193" i="1" s="1"/>
  <c r="AI193" i="1" s="1"/>
  <c r="P193" i="1"/>
  <c r="R193" i="1" s="1"/>
  <c r="T193" i="1" s="1"/>
  <c r="V193" i="1" s="1"/>
  <c r="X193" i="1" s="1"/>
  <c r="Z193" i="1" s="1"/>
  <c r="AB193" i="1" s="1"/>
  <c r="AD193" i="1" s="1"/>
  <c r="AF193" i="1" s="1"/>
  <c r="AH193" i="1" s="1"/>
  <c r="AJ193" i="1" s="1"/>
  <c r="O194" i="1"/>
  <c r="Q194" i="1" s="1"/>
  <c r="S194" i="1" s="1"/>
  <c r="U194" i="1" s="1"/>
  <c r="W194" i="1" s="1"/>
  <c r="Y194" i="1" s="1"/>
  <c r="AA194" i="1" s="1"/>
  <c r="AC194" i="1" s="1"/>
  <c r="AE194" i="1" s="1"/>
  <c r="AG194" i="1" s="1"/>
  <c r="AI194" i="1" s="1"/>
  <c r="P194" i="1"/>
  <c r="R194" i="1" s="1"/>
  <c r="T194" i="1" s="1"/>
  <c r="V194" i="1" s="1"/>
  <c r="X194" i="1" s="1"/>
  <c r="Z194" i="1" s="1"/>
  <c r="AB194" i="1" s="1"/>
  <c r="AD194" i="1" s="1"/>
  <c r="AF194" i="1" s="1"/>
  <c r="AH194" i="1" s="1"/>
  <c r="AJ194" i="1" s="1"/>
  <c r="O195" i="1"/>
  <c r="Q195" i="1" s="1"/>
  <c r="S195" i="1" s="1"/>
  <c r="U195" i="1" s="1"/>
  <c r="W195" i="1" s="1"/>
  <c r="Y195" i="1" s="1"/>
  <c r="AA195" i="1" s="1"/>
  <c r="AC195" i="1" s="1"/>
  <c r="AE195" i="1" s="1"/>
  <c r="AG195" i="1" s="1"/>
  <c r="AI195" i="1" s="1"/>
  <c r="P195" i="1"/>
  <c r="R195" i="1" s="1"/>
  <c r="T195" i="1" s="1"/>
  <c r="V195" i="1" s="1"/>
  <c r="X195" i="1" s="1"/>
  <c r="Z195" i="1" s="1"/>
  <c r="AB195" i="1" s="1"/>
  <c r="AD195" i="1" s="1"/>
  <c r="AF195" i="1" s="1"/>
  <c r="AH195" i="1" s="1"/>
  <c r="AJ195" i="1" s="1"/>
  <c r="O196" i="1"/>
  <c r="Q196" i="1" s="1"/>
  <c r="S196" i="1" s="1"/>
  <c r="U196" i="1" s="1"/>
  <c r="W196" i="1" s="1"/>
  <c r="Y196" i="1" s="1"/>
  <c r="AA196" i="1" s="1"/>
  <c r="AC196" i="1" s="1"/>
  <c r="AE196" i="1" s="1"/>
  <c r="AG196" i="1" s="1"/>
  <c r="AI196" i="1" s="1"/>
  <c r="P196" i="1"/>
  <c r="R196" i="1" s="1"/>
  <c r="T196" i="1" s="1"/>
  <c r="V196" i="1" s="1"/>
  <c r="X196" i="1" s="1"/>
  <c r="Z196" i="1" s="1"/>
  <c r="AB196" i="1" s="1"/>
  <c r="AD196" i="1" s="1"/>
  <c r="AF196" i="1" s="1"/>
  <c r="AH196" i="1" s="1"/>
  <c r="AJ196" i="1" s="1"/>
  <c r="O197" i="1"/>
  <c r="Q197" i="1" s="1"/>
  <c r="S197" i="1" s="1"/>
  <c r="U197" i="1" s="1"/>
  <c r="W197" i="1" s="1"/>
  <c r="Y197" i="1" s="1"/>
  <c r="AA197" i="1" s="1"/>
  <c r="AC197" i="1" s="1"/>
  <c r="AE197" i="1" s="1"/>
  <c r="AG197" i="1" s="1"/>
  <c r="AI197" i="1" s="1"/>
  <c r="P197" i="1"/>
  <c r="R197" i="1" s="1"/>
  <c r="T197" i="1" s="1"/>
  <c r="V197" i="1" s="1"/>
  <c r="X197" i="1" s="1"/>
  <c r="Z197" i="1" s="1"/>
  <c r="AB197" i="1" s="1"/>
  <c r="AD197" i="1" s="1"/>
  <c r="AF197" i="1" s="1"/>
  <c r="AH197" i="1" s="1"/>
  <c r="AJ197" i="1" s="1"/>
  <c r="O198" i="1"/>
  <c r="Q198" i="1" s="1"/>
  <c r="S198" i="1" s="1"/>
  <c r="U198" i="1" s="1"/>
  <c r="W198" i="1" s="1"/>
  <c r="Y198" i="1" s="1"/>
  <c r="AA198" i="1" s="1"/>
  <c r="AC198" i="1" s="1"/>
  <c r="AE198" i="1" s="1"/>
  <c r="AG198" i="1" s="1"/>
  <c r="AI198" i="1" s="1"/>
  <c r="P198" i="1"/>
  <c r="R198" i="1" s="1"/>
  <c r="T198" i="1" s="1"/>
  <c r="V198" i="1" s="1"/>
  <c r="X198" i="1" s="1"/>
  <c r="Z198" i="1" s="1"/>
  <c r="AB198" i="1" s="1"/>
  <c r="AD198" i="1" s="1"/>
  <c r="AF198" i="1" s="1"/>
  <c r="AH198" i="1" s="1"/>
  <c r="AJ198" i="1" s="1"/>
  <c r="O199" i="1"/>
  <c r="Q199" i="1" s="1"/>
  <c r="S199" i="1" s="1"/>
  <c r="U199" i="1" s="1"/>
  <c r="W199" i="1" s="1"/>
  <c r="Y199" i="1" s="1"/>
  <c r="AA199" i="1" s="1"/>
  <c r="AC199" i="1" s="1"/>
  <c r="AE199" i="1" s="1"/>
  <c r="AG199" i="1" s="1"/>
  <c r="AI199" i="1" s="1"/>
  <c r="P199" i="1"/>
  <c r="R199" i="1" s="1"/>
  <c r="T199" i="1" s="1"/>
  <c r="V199" i="1" s="1"/>
  <c r="X199" i="1" s="1"/>
  <c r="Z199" i="1" s="1"/>
  <c r="AB199" i="1" s="1"/>
  <c r="AD199" i="1" s="1"/>
  <c r="AF199" i="1" s="1"/>
  <c r="AH199" i="1" s="1"/>
  <c r="AJ199" i="1" s="1"/>
  <c r="O200" i="1"/>
  <c r="Q200" i="1" s="1"/>
  <c r="S200" i="1" s="1"/>
  <c r="U200" i="1" s="1"/>
  <c r="W200" i="1" s="1"/>
  <c r="Y200" i="1" s="1"/>
  <c r="AA200" i="1" s="1"/>
  <c r="AC200" i="1" s="1"/>
  <c r="AE200" i="1" s="1"/>
  <c r="AG200" i="1" s="1"/>
  <c r="AI200" i="1" s="1"/>
  <c r="P200" i="1"/>
  <c r="R200" i="1" s="1"/>
  <c r="T200" i="1" s="1"/>
  <c r="V200" i="1" s="1"/>
  <c r="X200" i="1" s="1"/>
  <c r="Z200" i="1" s="1"/>
  <c r="AB200" i="1" s="1"/>
  <c r="AD200" i="1" s="1"/>
  <c r="AF200" i="1" s="1"/>
  <c r="AH200" i="1" s="1"/>
  <c r="AJ200" i="1" s="1"/>
  <c r="O201" i="1"/>
  <c r="Q201" i="1" s="1"/>
  <c r="S201" i="1" s="1"/>
  <c r="U201" i="1" s="1"/>
  <c r="W201" i="1" s="1"/>
  <c r="Y201" i="1" s="1"/>
  <c r="AA201" i="1" s="1"/>
  <c r="AC201" i="1" s="1"/>
  <c r="AE201" i="1" s="1"/>
  <c r="AG201" i="1" s="1"/>
  <c r="AI201" i="1" s="1"/>
  <c r="P201" i="1"/>
  <c r="R201" i="1" s="1"/>
  <c r="T201" i="1" s="1"/>
  <c r="V201" i="1" s="1"/>
  <c r="X201" i="1" s="1"/>
  <c r="Z201" i="1" s="1"/>
  <c r="AB201" i="1" s="1"/>
  <c r="AD201" i="1" s="1"/>
  <c r="AF201" i="1" s="1"/>
  <c r="AH201" i="1" s="1"/>
  <c r="AJ201" i="1" s="1"/>
  <c r="O202" i="1"/>
  <c r="Q202" i="1" s="1"/>
  <c r="S202" i="1" s="1"/>
  <c r="U202" i="1" s="1"/>
  <c r="W202" i="1" s="1"/>
  <c r="Y202" i="1" s="1"/>
  <c r="AA202" i="1" s="1"/>
  <c r="AC202" i="1" s="1"/>
  <c r="AE202" i="1" s="1"/>
  <c r="AG202" i="1" s="1"/>
  <c r="AI202" i="1" s="1"/>
  <c r="P202" i="1"/>
  <c r="R202" i="1" s="1"/>
  <c r="T202" i="1" s="1"/>
  <c r="V202" i="1" s="1"/>
  <c r="X202" i="1" s="1"/>
  <c r="Z202" i="1" s="1"/>
  <c r="AB202" i="1" s="1"/>
  <c r="AD202" i="1" s="1"/>
  <c r="AF202" i="1" s="1"/>
  <c r="AH202" i="1" s="1"/>
  <c r="AJ202" i="1" s="1"/>
  <c r="O203" i="1"/>
  <c r="Q203" i="1" s="1"/>
  <c r="S203" i="1" s="1"/>
  <c r="U203" i="1" s="1"/>
  <c r="W203" i="1" s="1"/>
  <c r="Y203" i="1" s="1"/>
  <c r="AA203" i="1" s="1"/>
  <c r="AC203" i="1" s="1"/>
  <c r="AE203" i="1" s="1"/>
  <c r="AG203" i="1" s="1"/>
  <c r="AI203" i="1" s="1"/>
  <c r="P203" i="1"/>
  <c r="R203" i="1" s="1"/>
  <c r="T203" i="1" s="1"/>
  <c r="V203" i="1" s="1"/>
  <c r="X203" i="1" s="1"/>
  <c r="Z203" i="1" s="1"/>
  <c r="AB203" i="1" s="1"/>
  <c r="AD203" i="1" s="1"/>
  <c r="AF203" i="1" s="1"/>
  <c r="AH203" i="1" s="1"/>
  <c r="AJ203" i="1" s="1"/>
  <c r="O204" i="1"/>
  <c r="Q204" i="1" s="1"/>
  <c r="S204" i="1" s="1"/>
  <c r="U204" i="1" s="1"/>
  <c r="W204" i="1" s="1"/>
  <c r="Y204" i="1" s="1"/>
  <c r="AA204" i="1" s="1"/>
  <c r="AC204" i="1" s="1"/>
  <c r="AE204" i="1" s="1"/>
  <c r="AG204" i="1" s="1"/>
  <c r="AI204" i="1" s="1"/>
  <c r="P204" i="1"/>
  <c r="R204" i="1" s="1"/>
  <c r="T204" i="1" s="1"/>
  <c r="V204" i="1" s="1"/>
  <c r="X204" i="1" s="1"/>
  <c r="Z204" i="1" s="1"/>
  <c r="AB204" i="1" s="1"/>
  <c r="AD204" i="1" s="1"/>
  <c r="AF204" i="1" s="1"/>
  <c r="AH204" i="1" s="1"/>
  <c r="AJ204" i="1" s="1"/>
  <c r="O205" i="1"/>
  <c r="Q205" i="1" s="1"/>
  <c r="S205" i="1" s="1"/>
  <c r="U205" i="1" s="1"/>
  <c r="W205" i="1" s="1"/>
  <c r="Y205" i="1" s="1"/>
  <c r="AA205" i="1" s="1"/>
  <c r="AC205" i="1" s="1"/>
  <c r="AE205" i="1" s="1"/>
  <c r="AG205" i="1" s="1"/>
  <c r="AI205" i="1" s="1"/>
  <c r="P205" i="1"/>
  <c r="R205" i="1" s="1"/>
  <c r="T205" i="1" s="1"/>
  <c r="V205" i="1" s="1"/>
  <c r="X205" i="1" s="1"/>
  <c r="Z205" i="1" s="1"/>
  <c r="AB205" i="1" s="1"/>
  <c r="AD205" i="1" s="1"/>
  <c r="AF205" i="1" s="1"/>
  <c r="AH205" i="1" s="1"/>
  <c r="AJ205" i="1" s="1"/>
  <c r="O206" i="1"/>
  <c r="Q206" i="1" s="1"/>
  <c r="S206" i="1" s="1"/>
  <c r="U206" i="1" s="1"/>
  <c r="W206" i="1" s="1"/>
  <c r="Y206" i="1" s="1"/>
  <c r="AA206" i="1" s="1"/>
  <c r="AC206" i="1" s="1"/>
  <c r="AE206" i="1" s="1"/>
  <c r="AG206" i="1" s="1"/>
  <c r="AI206" i="1" s="1"/>
  <c r="P206" i="1"/>
  <c r="R206" i="1" s="1"/>
  <c r="T206" i="1" s="1"/>
  <c r="V206" i="1" s="1"/>
  <c r="X206" i="1" s="1"/>
  <c r="Z206" i="1" s="1"/>
  <c r="AB206" i="1" s="1"/>
  <c r="AD206" i="1" s="1"/>
  <c r="AF206" i="1" s="1"/>
  <c r="AH206" i="1" s="1"/>
  <c r="AJ206" i="1" s="1"/>
  <c r="O208" i="1"/>
  <c r="Q208" i="1" s="1"/>
  <c r="S208" i="1" s="1"/>
  <c r="U208" i="1" s="1"/>
  <c r="W208" i="1" s="1"/>
  <c r="Y208" i="1" s="1"/>
  <c r="AA208" i="1" s="1"/>
  <c r="AC208" i="1" s="1"/>
  <c r="AE208" i="1" s="1"/>
  <c r="AG208" i="1" s="1"/>
  <c r="AI208" i="1" s="1"/>
  <c r="P208" i="1"/>
  <c r="R208" i="1" s="1"/>
  <c r="T208" i="1" s="1"/>
  <c r="V208" i="1" s="1"/>
  <c r="X208" i="1" s="1"/>
  <c r="Z208" i="1" s="1"/>
  <c r="AB208" i="1" s="1"/>
  <c r="AD208" i="1" s="1"/>
  <c r="AF208" i="1" s="1"/>
  <c r="AH208" i="1" s="1"/>
  <c r="AJ208" i="1" s="1"/>
  <c r="O209" i="1"/>
  <c r="Q209" i="1" s="1"/>
  <c r="S209" i="1" s="1"/>
  <c r="U209" i="1" s="1"/>
  <c r="W209" i="1" s="1"/>
  <c r="Y209" i="1" s="1"/>
  <c r="AA209" i="1" s="1"/>
  <c r="AC209" i="1" s="1"/>
  <c r="AE209" i="1" s="1"/>
  <c r="AG209" i="1" s="1"/>
  <c r="AI209" i="1" s="1"/>
  <c r="P209" i="1"/>
  <c r="R209" i="1" s="1"/>
  <c r="T209" i="1" s="1"/>
  <c r="V209" i="1" s="1"/>
  <c r="X209" i="1" s="1"/>
  <c r="Z209" i="1" s="1"/>
  <c r="AB209" i="1" s="1"/>
  <c r="AD209" i="1" s="1"/>
  <c r="AF209" i="1" s="1"/>
  <c r="AH209" i="1" s="1"/>
  <c r="AJ209" i="1" s="1"/>
  <c r="O210" i="1"/>
  <c r="Q210" i="1" s="1"/>
  <c r="S210" i="1" s="1"/>
  <c r="U210" i="1" s="1"/>
  <c r="W210" i="1" s="1"/>
  <c r="Y210" i="1" s="1"/>
  <c r="AA210" i="1" s="1"/>
  <c r="AC210" i="1" s="1"/>
  <c r="AE210" i="1" s="1"/>
  <c r="AG210" i="1" s="1"/>
  <c r="AI210" i="1" s="1"/>
  <c r="P210" i="1"/>
  <c r="R210" i="1" s="1"/>
  <c r="T210" i="1" s="1"/>
  <c r="V210" i="1" s="1"/>
  <c r="X210" i="1" s="1"/>
  <c r="Z210" i="1" s="1"/>
  <c r="AB210" i="1" s="1"/>
  <c r="AD210" i="1" s="1"/>
  <c r="AF210" i="1" s="1"/>
  <c r="AH210" i="1" s="1"/>
  <c r="AJ210" i="1" s="1"/>
  <c r="O211" i="1"/>
  <c r="Q211" i="1" s="1"/>
  <c r="S211" i="1" s="1"/>
  <c r="U211" i="1" s="1"/>
  <c r="W211" i="1" s="1"/>
  <c r="Y211" i="1" s="1"/>
  <c r="AA211" i="1" s="1"/>
  <c r="AC211" i="1" s="1"/>
  <c r="AE211" i="1" s="1"/>
  <c r="AG211" i="1" s="1"/>
  <c r="AI211" i="1" s="1"/>
  <c r="P211" i="1"/>
  <c r="R211" i="1" s="1"/>
  <c r="T211" i="1" s="1"/>
  <c r="V211" i="1" s="1"/>
  <c r="X211" i="1" s="1"/>
  <c r="Z211" i="1" s="1"/>
  <c r="AB211" i="1" s="1"/>
  <c r="AD211" i="1" s="1"/>
  <c r="AF211" i="1" s="1"/>
  <c r="AH211" i="1" s="1"/>
  <c r="AJ211" i="1" s="1"/>
  <c r="O212" i="1"/>
  <c r="Q212" i="1" s="1"/>
  <c r="S212" i="1" s="1"/>
  <c r="U212" i="1" s="1"/>
  <c r="W212" i="1" s="1"/>
  <c r="Y212" i="1" s="1"/>
  <c r="AA212" i="1" s="1"/>
  <c r="AC212" i="1" s="1"/>
  <c r="AE212" i="1" s="1"/>
  <c r="AG212" i="1" s="1"/>
  <c r="AI212" i="1" s="1"/>
  <c r="P212" i="1"/>
  <c r="R212" i="1" s="1"/>
  <c r="T212" i="1" s="1"/>
  <c r="V212" i="1" s="1"/>
  <c r="X212" i="1" s="1"/>
  <c r="Z212" i="1" s="1"/>
  <c r="AB212" i="1" s="1"/>
  <c r="AD212" i="1" s="1"/>
  <c r="AF212" i="1" s="1"/>
  <c r="AH212" i="1" s="1"/>
  <c r="AJ212" i="1" s="1"/>
  <c r="O213" i="1"/>
  <c r="Q213" i="1" s="1"/>
  <c r="S213" i="1" s="1"/>
  <c r="U213" i="1" s="1"/>
  <c r="W213" i="1" s="1"/>
  <c r="Y213" i="1" s="1"/>
  <c r="AA213" i="1" s="1"/>
  <c r="AC213" i="1" s="1"/>
  <c r="AE213" i="1" s="1"/>
  <c r="AG213" i="1" s="1"/>
  <c r="AI213" i="1" s="1"/>
  <c r="P213" i="1"/>
  <c r="R213" i="1" s="1"/>
  <c r="T213" i="1" s="1"/>
  <c r="V213" i="1" s="1"/>
  <c r="X213" i="1" s="1"/>
  <c r="Z213" i="1" s="1"/>
  <c r="AB213" i="1" s="1"/>
  <c r="AD213" i="1" s="1"/>
  <c r="AF213" i="1" s="1"/>
  <c r="AH213" i="1" s="1"/>
  <c r="AJ213" i="1" s="1"/>
  <c r="O214" i="1"/>
  <c r="Q214" i="1" s="1"/>
  <c r="S214" i="1" s="1"/>
  <c r="U214" i="1" s="1"/>
  <c r="W214" i="1" s="1"/>
  <c r="Y214" i="1" s="1"/>
  <c r="AA214" i="1" s="1"/>
  <c r="AC214" i="1" s="1"/>
  <c r="AE214" i="1" s="1"/>
  <c r="AG214" i="1" s="1"/>
  <c r="AI214" i="1" s="1"/>
  <c r="P214" i="1"/>
  <c r="R214" i="1" s="1"/>
  <c r="T214" i="1" s="1"/>
  <c r="V214" i="1" s="1"/>
  <c r="X214" i="1" s="1"/>
  <c r="Z214" i="1" s="1"/>
  <c r="AB214" i="1" s="1"/>
  <c r="AD214" i="1" s="1"/>
  <c r="AF214" i="1" s="1"/>
  <c r="AH214" i="1" s="1"/>
  <c r="AJ214" i="1" s="1"/>
  <c r="O222" i="1"/>
  <c r="Q222" i="1" s="1"/>
  <c r="S222" i="1" s="1"/>
  <c r="U222" i="1" s="1"/>
  <c r="W222" i="1" s="1"/>
  <c r="Y222" i="1" s="1"/>
  <c r="AA222" i="1" s="1"/>
  <c r="AC222" i="1" s="1"/>
  <c r="AE222" i="1" s="1"/>
  <c r="AG222" i="1" s="1"/>
  <c r="AI222" i="1" s="1"/>
  <c r="P222" i="1"/>
  <c r="R222" i="1" s="1"/>
  <c r="T222" i="1" s="1"/>
  <c r="V222" i="1" s="1"/>
  <c r="X222" i="1" s="1"/>
  <c r="Z222" i="1" s="1"/>
  <c r="AB222" i="1" s="1"/>
  <c r="AD222" i="1" s="1"/>
  <c r="AF222" i="1" s="1"/>
  <c r="AH222" i="1" s="1"/>
  <c r="AJ222" i="1" s="1"/>
  <c r="O223" i="1"/>
  <c r="Q223" i="1" s="1"/>
  <c r="S223" i="1" s="1"/>
  <c r="U223" i="1" s="1"/>
  <c r="W223" i="1" s="1"/>
  <c r="Y223" i="1" s="1"/>
  <c r="AA223" i="1" s="1"/>
  <c r="AC223" i="1" s="1"/>
  <c r="AE223" i="1" s="1"/>
  <c r="AG223" i="1" s="1"/>
  <c r="AI223" i="1" s="1"/>
  <c r="P223" i="1"/>
  <c r="R223" i="1" s="1"/>
  <c r="T223" i="1" s="1"/>
  <c r="V223" i="1" s="1"/>
  <c r="X223" i="1" s="1"/>
  <c r="Z223" i="1" s="1"/>
  <c r="AB223" i="1" s="1"/>
  <c r="AD223" i="1" s="1"/>
  <c r="AF223" i="1" s="1"/>
  <c r="AH223" i="1" s="1"/>
  <c r="AJ223" i="1" s="1"/>
  <c r="O224" i="1"/>
  <c r="Q224" i="1" s="1"/>
  <c r="S224" i="1" s="1"/>
  <c r="U224" i="1" s="1"/>
  <c r="W224" i="1" s="1"/>
  <c r="Y224" i="1" s="1"/>
  <c r="AA224" i="1" s="1"/>
  <c r="AC224" i="1" s="1"/>
  <c r="AE224" i="1" s="1"/>
  <c r="AG224" i="1" s="1"/>
  <c r="AI224" i="1" s="1"/>
  <c r="P224" i="1"/>
  <c r="R224" i="1" s="1"/>
  <c r="T224" i="1" s="1"/>
  <c r="V224" i="1" s="1"/>
  <c r="X224" i="1" s="1"/>
  <c r="Z224" i="1" s="1"/>
  <c r="AB224" i="1" s="1"/>
  <c r="AD224" i="1" s="1"/>
  <c r="AF224" i="1" s="1"/>
  <c r="AH224" i="1" s="1"/>
  <c r="AJ224" i="1" s="1"/>
  <c r="O226" i="1"/>
  <c r="Q226" i="1" s="1"/>
  <c r="S226" i="1" s="1"/>
  <c r="U226" i="1" s="1"/>
  <c r="W226" i="1" s="1"/>
  <c r="Y226" i="1" s="1"/>
  <c r="AA226" i="1" s="1"/>
  <c r="AC226" i="1" s="1"/>
  <c r="AE226" i="1" s="1"/>
  <c r="AG226" i="1" s="1"/>
  <c r="AI226" i="1" s="1"/>
  <c r="P226" i="1"/>
  <c r="R226" i="1" s="1"/>
  <c r="T226" i="1" s="1"/>
  <c r="V226" i="1" s="1"/>
  <c r="X226" i="1" s="1"/>
  <c r="Z226" i="1" s="1"/>
  <c r="AB226" i="1" s="1"/>
  <c r="AD226" i="1" s="1"/>
  <c r="AF226" i="1" s="1"/>
  <c r="AH226" i="1" s="1"/>
  <c r="AJ226" i="1" s="1"/>
  <c r="O227" i="1"/>
  <c r="Q227" i="1" s="1"/>
  <c r="S227" i="1" s="1"/>
  <c r="U227" i="1" s="1"/>
  <c r="W227" i="1" s="1"/>
  <c r="Y227" i="1" s="1"/>
  <c r="AA227" i="1" s="1"/>
  <c r="AC227" i="1" s="1"/>
  <c r="AE227" i="1" s="1"/>
  <c r="AG227" i="1" s="1"/>
  <c r="AI227" i="1" s="1"/>
  <c r="P227" i="1"/>
  <c r="R227" i="1" s="1"/>
  <c r="T227" i="1" s="1"/>
  <c r="V227" i="1" s="1"/>
  <c r="X227" i="1" s="1"/>
  <c r="Z227" i="1" s="1"/>
  <c r="AB227" i="1" s="1"/>
  <c r="AD227" i="1" s="1"/>
  <c r="AF227" i="1" s="1"/>
  <c r="AH227" i="1" s="1"/>
  <c r="AJ227" i="1" s="1"/>
  <c r="O228" i="1"/>
  <c r="Q228" i="1" s="1"/>
  <c r="S228" i="1" s="1"/>
  <c r="U228" i="1" s="1"/>
  <c r="W228" i="1" s="1"/>
  <c r="Y228" i="1" s="1"/>
  <c r="AA228" i="1" s="1"/>
  <c r="AC228" i="1" s="1"/>
  <c r="AE228" i="1" s="1"/>
  <c r="AG228" i="1" s="1"/>
  <c r="AI228" i="1" s="1"/>
  <c r="P228" i="1"/>
  <c r="R228" i="1" s="1"/>
  <c r="T228" i="1" s="1"/>
  <c r="V228" i="1" s="1"/>
  <c r="X228" i="1" s="1"/>
  <c r="Z228" i="1" s="1"/>
  <c r="AB228" i="1" s="1"/>
  <c r="AD228" i="1" s="1"/>
  <c r="AF228" i="1" s="1"/>
  <c r="AH228" i="1" s="1"/>
  <c r="AJ228" i="1" s="1"/>
  <c r="O229" i="1"/>
  <c r="Q229" i="1" s="1"/>
  <c r="S229" i="1" s="1"/>
  <c r="U229" i="1" s="1"/>
  <c r="W229" i="1" s="1"/>
  <c r="Y229" i="1" s="1"/>
  <c r="AA229" i="1" s="1"/>
  <c r="AC229" i="1" s="1"/>
  <c r="AE229" i="1" s="1"/>
  <c r="AG229" i="1" s="1"/>
  <c r="AI229" i="1" s="1"/>
  <c r="P229" i="1"/>
  <c r="R229" i="1" s="1"/>
  <c r="T229" i="1" s="1"/>
  <c r="V229" i="1" s="1"/>
  <c r="X229" i="1" s="1"/>
  <c r="Z229" i="1" s="1"/>
  <c r="AB229" i="1" s="1"/>
  <c r="AD229" i="1" s="1"/>
  <c r="AF229" i="1" s="1"/>
  <c r="AH229" i="1" s="1"/>
  <c r="AJ229" i="1" s="1"/>
  <c r="O230" i="1"/>
  <c r="Q230" i="1" s="1"/>
  <c r="S230" i="1" s="1"/>
  <c r="U230" i="1" s="1"/>
  <c r="W230" i="1" s="1"/>
  <c r="Y230" i="1" s="1"/>
  <c r="AA230" i="1" s="1"/>
  <c r="AC230" i="1" s="1"/>
  <c r="AE230" i="1" s="1"/>
  <c r="AG230" i="1" s="1"/>
  <c r="AI230" i="1" s="1"/>
  <c r="P230" i="1"/>
  <c r="R230" i="1" s="1"/>
  <c r="T230" i="1" s="1"/>
  <c r="V230" i="1" s="1"/>
  <c r="X230" i="1" s="1"/>
  <c r="Z230" i="1" s="1"/>
  <c r="AB230" i="1" s="1"/>
  <c r="AD230" i="1" s="1"/>
  <c r="AF230" i="1" s="1"/>
  <c r="AH230" i="1" s="1"/>
  <c r="AJ230" i="1" s="1"/>
  <c r="O231" i="1"/>
  <c r="Q231" i="1" s="1"/>
  <c r="S231" i="1" s="1"/>
  <c r="U231" i="1" s="1"/>
  <c r="W231" i="1" s="1"/>
  <c r="Y231" i="1" s="1"/>
  <c r="AA231" i="1" s="1"/>
  <c r="AC231" i="1" s="1"/>
  <c r="AE231" i="1" s="1"/>
  <c r="AG231" i="1" s="1"/>
  <c r="AI231" i="1" s="1"/>
  <c r="P231" i="1"/>
  <c r="R231" i="1" s="1"/>
  <c r="T231" i="1" s="1"/>
  <c r="V231" i="1" s="1"/>
  <c r="X231" i="1" s="1"/>
  <c r="Z231" i="1" s="1"/>
  <c r="AB231" i="1" s="1"/>
  <c r="AD231" i="1" s="1"/>
  <c r="AF231" i="1" s="1"/>
  <c r="AH231" i="1" s="1"/>
  <c r="AJ231" i="1" s="1"/>
  <c r="O232" i="1"/>
  <c r="Q232" i="1" s="1"/>
  <c r="S232" i="1" s="1"/>
  <c r="U232" i="1" s="1"/>
  <c r="W232" i="1" s="1"/>
  <c r="Y232" i="1" s="1"/>
  <c r="AA232" i="1" s="1"/>
  <c r="AC232" i="1" s="1"/>
  <c r="AE232" i="1" s="1"/>
  <c r="AG232" i="1" s="1"/>
  <c r="AI232" i="1" s="1"/>
  <c r="P232" i="1"/>
  <c r="R232" i="1" s="1"/>
  <c r="T232" i="1" s="1"/>
  <c r="V232" i="1" s="1"/>
  <c r="X232" i="1" s="1"/>
  <c r="Z232" i="1" s="1"/>
  <c r="AB232" i="1" s="1"/>
  <c r="AD232" i="1" s="1"/>
  <c r="AF232" i="1" s="1"/>
  <c r="AH232" i="1" s="1"/>
  <c r="AJ232" i="1" s="1"/>
  <c r="O233" i="1"/>
  <c r="Q233" i="1" s="1"/>
  <c r="S233" i="1" s="1"/>
  <c r="U233" i="1" s="1"/>
  <c r="W233" i="1" s="1"/>
  <c r="Y233" i="1" s="1"/>
  <c r="AA233" i="1" s="1"/>
  <c r="AC233" i="1" s="1"/>
  <c r="AE233" i="1" s="1"/>
  <c r="AG233" i="1" s="1"/>
  <c r="AI233" i="1" s="1"/>
  <c r="P233" i="1"/>
  <c r="R233" i="1" s="1"/>
  <c r="T233" i="1" s="1"/>
  <c r="V233" i="1" s="1"/>
  <c r="X233" i="1" s="1"/>
  <c r="Z233" i="1" s="1"/>
  <c r="AB233" i="1" s="1"/>
  <c r="AD233" i="1" s="1"/>
  <c r="AF233" i="1" s="1"/>
  <c r="AH233" i="1" s="1"/>
  <c r="AJ233" i="1" s="1"/>
  <c r="O234" i="1"/>
  <c r="Q234" i="1" s="1"/>
  <c r="S234" i="1" s="1"/>
  <c r="U234" i="1" s="1"/>
  <c r="W234" i="1" s="1"/>
  <c r="Y234" i="1" s="1"/>
  <c r="AA234" i="1" s="1"/>
  <c r="AC234" i="1" s="1"/>
  <c r="AE234" i="1" s="1"/>
  <c r="AG234" i="1" s="1"/>
  <c r="AI234" i="1" s="1"/>
  <c r="P234" i="1"/>
  <c r="R234" i="1" s="1"/>
  <c r="T234" i="1" s="1"/>
  <c r="V234" i="1" s="1"/>
  <c r="X234" i="1" s="1"/>
  <c r="Z234" i="1" s="1"/>
  <c r="AB234" i="1" s="1"/>
  <c r="AD234" i="1" s="1"/>
  <c r="AF234" i="1" s="1"/>
  <c r="AH234" i="1" s="1"/>
  <c r="AJ234" i="1" s="1"/>
  <c r="O235" i="1"/>
  <c r="Q235" i="1" s="1"/>
  <c r="S235" i="1" s="1"/>
  <c r="U235" i="1" s="1"/>
  <c r="W235" i="1" s="1"/>
  <c r="Y235" i="1" s="1"/>
  <c r="AA235" i="1" s="1"/>
  <c r="AC235" i="1" s="1"/>
  <c r="AE235" i="1" s="1"/>
  <c r="AG235" i="1" s="1"/>
  <c r="AI235" i="1" s="1"/>
  <c r="P235" i="1"/>
  <c r="R235" i="1" s="1"/>
  <c r="T235" i="1" s="1"/>
  <c r="V235" i="1" s="1"/>
  <c r="X235" i="1" s="1"/>
  <c r="Z235" i="1" s="1"/>
  <c r="AB235" i="1" s="1"/>
  <c r="AD235" i="1" s="1"/>
  <c r="AF235" i="1" s="1"/>
  <c r="AH235" i="1" s="1"/>
  <c r="AJ235" i="1" s="1"/>
  <c r="O236" i="1"/>
  <c r="Q236" i="1" s="1"/>
  <c r="S236" i="1" s="1"/>
  <c r="U236" i="1" s="1"/>
  <c r="W236" i="1" s="1"/>
  <c r="Y236" i="1" s="1"/>
  <c r="AA236" i="1" s="1"/>
  <c r="AC236" i="1" s="1"/>
  <c r="AE236" i="1" s="1"/>
  <c r="AG236" i="1" s="1"/>
  <c r="AI236" i="1" s="1"/>
  <c r="P236" i="1"/>
  <c r="R236" i="1" s="1"/>
  <c r="T236" i="1" s="1"/>
  <c r="V236" i="1" s="1"/>
  <c r="X236" i="1" s="1"/>
  <c r="Z236" i="1" s="1"/>
  <c r="AB236" i="1" s="1"/>
  <c r="AD236" i="1" s="1"/>
  <c r="AF236" i="1" s="1"/>
  <c r="AH236" i="1" s="1"/>
  <c r="AJ236" i="1" s="1"/>
  <c r="O237" i="1"/>
  <c r="Q237" i="1" s="1"/>
  <c r="S237" i="1" s="1"/>
  <c r="U237" i="1" s="1"/>
  <c r="W237" i="1" s="1"/>
  <c r="Y237" i="1" s="1"/>
  <c r="AA237" i="1" s="1"/>
  <c r="AC237" i="1" s="1"/>
  <c r="AE237" i="1" s="1"/>
  <c r="AG237" i="1" s="1"/>
  <c r="AI237" i="1" s="1"/>
  <c r="P237" i="1"/>
  <c r="R237" i="1" s="1"/>
  <c r="T237" i="1" s="1"/>
  <c r="V237" i="1" s="1"/>
  <c r="X237" i="1" s="1"/>
  <c r="Z237" i="1" s="1"/>
  <c r="AB237" i="1" s="1"/>
  <c r="AD237" i="1" s="1"/>
  <c r="AF237" i="1" s="1"/>
  <c r="AH237" i="1" s="1"/>
  <c r="AJ237" i="1" s="1"/>
  <c r="O238" i="1"/>
  <c r="Q238" i="1" s="1"/>
  <c r="S238" i="1" s="1"/>
  <c r="U238" i="1" s="1"/>
  <c r="W238" i="1" s="1"/>
  <c r="Y238" i="1" s="1"/>
  <c r="AA238" i="1" s="1"/>
  <c r="AC238" i="1" s="1"/>
  <c r="AE238" i="1" s="1"/>
  <c r="AG238" i="1" s="1"/>
  <c r="AI238" i="1" s="1"/>
  <c r="P238" i="1"/>
  <c r="R238" i="1" s="1"/>
  <c r="T238" i="1" s="1"/>
  <c r="V238" i="1" s="1"/>
  <c r="X238" i="1" s="1"/>
  <c r="Z238" i="1" s="1"/>
  <c r="AB238" i="1" s="1"/>
  <c r="AD238" i="1" s="1"/>
  <c r="AF238" i="1" s="1"/>
  <c r="AH238" i="1" s="1"/>
  <c r="AJ238" i="1" s="1"/>
  <c r="O239" i="1"/>
  <c r="Q239" i="1" s="1"/>
  <c r="S239" i="1" s="1"/>
  <c r="U239" i="1" s="1"/>
  <c r="W239" i="1" s="1"/>
  <c r="Y239" i="1" s="1"/>
  <c r="AA239" i="1" s="1"/>
  <c r="AC239" i="1" s="1"/>
  <c r="AE239" i="1" s="1"/>
  <c r="AG239" i="1" s="1"/>
  <c r="AI239" i="1" s="1"/>
  <c r="P239" i="1"/>
  <c r="R239" i="1" s="1"/>
  <c r="T239" i="1" s="1"/>
  <c r="V239" i="1" s="1"/>
  <c r="X239" i="1" s="1"/>
  <c r="Z239" i="1" s="1"/>
  <c r="AB239" i="1" s="1"/>
  <c r="AD239" i="1" s="1"/>
  <c r="AF239" i="1" s="1"/>
  <c r="AH239" i="1" s="1"/>
  <c r="AJ239" i="1" s="1"/>
  <c r="O240" i="1"/>
  <c r="Q240" i="1" s="1"/>
  <c r="S240" i="1" s="1"/>
  <c r="U240" i="1" s="1"/>
  <c r="W240" i="1" s="1"/>
  <c r="Y240" i="1" s="1"/>
  <c r="AA240" i="1" s="1"/>
  <c r="AC240" i="1" s="1"/>
  <c r="AE240" i="1" s="1"/>
  <c r="AG240" i="1" s="1"/>
  <c r="AI240" i="1" s="1"/>
  <c r="P240" i="1"/>
  <c r="R240" i="1" s="1"/>
  <c r="T240" i="1" s="1"/>
  <c r="V240" i="1" s="1"/>
  <c r="X240" i="1" s="1"/>
  <c r="Z240" i="1" s="1"/>
  <c r="AB240" i="1" s="1"/>
  <c r="AD240" i="1" s="1"/>
  <c r="AF240" i="1" s="1"/>
  <c r="AH240" i="1" s="1"/>
  <c r="AJ240" i="1" s="1"/>
  <c r="O241" i="1"/>
  <c r="Q241" i="1" s="1"/>
  <c r="S241" i="1" s="1"/>
  <c r="U241" i="1" s="1"/>
  <c r="W241" i="1" s="1"/>
  <c r="Y241" i="1" s="1"/>
  <c r="AA241" i="1" s="1"/>
  <c r="AC241" i="1" s="1"/>
  <c r="AE241" i="1" s="1"/>
  <c r="AG241" i="1" s="1"/>
  <c r="AI241" i="1" s="1"/>
  <c r="P241" i="1"/>
  <c r="R241" i="1" s="1"/>
  <c r="T241" i="1" s="1"/>
  <c r="V241" i="1" s="1"/>
  <c r="X241" i="1" s="1"/>
  <c r="Z241" i="1" s="1"/>
  <c r="AB241" i="1" s="1"/>
  <c r="AD241" i="1" s="1"/>
  <c r="AF241" i="1" s="1"/>
  <c r="AH241" i="1" s="1"/>
  <c r="AJ241" i="1" s="1"/>
  <c r="O242" i="1"/>
  <c r="Q242" i="1" s="1"/>
  <c r="S242" i="1" s="1"/>
  <c r="U242" i="1" s="1"/>
  <c r="W242" i="1" s="1"/>
  <c r="Y242" i="1" s="1"/>
  <c r="AA242" i="1" s="1"/>
  <c r="AC242" i="1" s="1"/>
  <c r="AE242" i="1" s="1"/>
  <c r="AG242" i="1" s="1"/>
  <c r="AI242" i="1" s="1"/>
  <c r="P242" i="1"/>
  <c r="R242" i="1" s="1"/>
  <c r="T242" i="1" s="1"/>
  <c r="V242" i="1" s="1"/>
  <c r="X242" i="1" s="1"/>
  <c r="Z242" i="1" s="1"/>
  <c r="AB242" i="1" s="1"/>
  <c r="AD242" i="1" s="1"/>
  <c r="AF242" i="1" s="1"/>
  <c r="AH242" i="1" s="1"/>
  <c r="AJ242" i="1" s="1"/>
  <c r="O243" i="1"/>
  <c r="Q243" i="1" s="1"/>
  <c r="S243" i="1" s="1"/>
  <c r="U243" i="1" s="1"/>
  <c r="W243" i="1" s="1"/>
  <c r="Y243" i="1" s="1"/>
  <c r="AA243" i="1" s="1"/>
  <c r="AC243" i="1" s="1"/>
  <c r="AE243" i="1" s="1"/>
  <c r="AG243" i="1" s="1"/>
  <c r="AI243" i="1" s="1"/>
  <c r="P243" i="1"/>
  <c r="R243" i="1" s="1"/>
  <c r="T243" i="1" s="1"/>
  <c r="V243" i="1" s="1"/>
  <c r="X243" i="1" s="1"/>
  <c r="Z243" i="1" s="1"/>
  <c r="AB243" i="1" s="1"/>
  <c r="AD243" i="1" s="1"/>
  <c r="AF243" i="1" s="1"/>
  <c r="AH243" i="1" s="1"/>
  <c r="AJ243" i="1" s="1"/>
  <c r="O244" i="1"/>
  <c r="Q244" i="1" s="1"/>
  <c r="S244" i="1" s="1"/>
  <c r="U244" i="1" s="1"/>
  <c r="W244" i="1" s="1"/>
  <c r="Y244" i="1" s="1"/>
  <c r="AA244" i="1" s="1"/>
  <c r="AC244" i="1" s="1"/>
  <c r="AE244" i="1" s="1"/>
  <c r="AG244" i="1" s="1"/>
  <c r="AI244" i="1" s="1"/>
  <c r="P244" i="1"/>
  <c r="R244" i="1" s="1"/>
  <c r="T244" i="1" s="1"/>
  <c r="V244" i="1" s="1"/>
  <c r="X244" i="1" s="1"/>
  <c r="Z244" i="1" s="1"/>
  <c r="AB244" i="1" s="1"/>
  <c r="AD244" i="1" s="1"/>
  <c r="AF244" i="1" s="1"/>
  <c r="AH244" i="1" s="1"/>
  <c r="AJ244" i="1" s="1"/>
  <c r="O245" i="1"/>
  <c r="Q245" i="1" s="1"/>
  <c r="S245" i="1" s="1"/>
  <c r="U245" i="1" s="1"/>
  <c r="W245" i="1" s="1"/>
  <c r="Y245" i="1" s="1"/>
  <c r="AA245" i="1" s="1"/>
  <c r="AC245" i="1" s="1"/>
  <c r="AE245" i="1" s="1"/>
  <c r="AG245" i="1" s="1"/>
  <c r="AI245" i="1" s="1"/>
  <c r="P245" i="1"/>
  <c r="R245" i="1" s="1"/>
  <c r="T245" i="1" s="1"/>
  <c r="V245" i="1" s="1"/>
  <c r="X245" i="1" s="1"/>
  <c r="Z245" i="1" s="1"/>
  <c r="AB245" i="1" s="1"/>
  <c r="AD245" i="1" s="1"/>
  <c r="AF245" i="1" s="1"/>
  <c r="AH245" i="1" s="1"/>
  <c r="AJ245" i="1" s="1"/>
  <c r="O246" i="1"/>
  <c r="Q246" i="1" s="1"/>
  <c r="S246" i="1" s="1"/>
  <c r="U246" i="1" s="1"/>
  <c r="W246" i="1" s="1"/>
  <c r="Y246" i="1" s="1"/>
  <c r="AA246" i="1" s="1"/>
  <c r="AC246" i="1" s="1"/>
  <c r="AE246" i="1" s="1"/>
  <c r="AG246" i="1" s="1"/>
  <c r="AI246" i="1" s="1"/>
  <c r="P246" i="1"/>
  <c r="R246" i="1" s="1"/>
  <c r="T246" i="1" s="1"/>
  <c r="V246" i="1" s="1"/>
  <c r="X246" i="1" s="1"/>
  <c r="Z246" i="1" s="1"/>
  <c r="AB246" i="1" s="1"/>
  <c r="AD246" i="1" s="1"/>
  <c r="AF246" i="1" s="1"/>
  <c r="AH246" i="1" s="1"/>
  <c r="AJ246" i="1" s="1"/>
  <c r="O247" i="1"/>
  <c r="Q247" i="1" s="1"/>
  <c r="S247" i="1" s="1"/>
  <c r="U247" i="1" s="1"/>
  <c r="W247" i="1" s="1"/>
  <c r="Y247" i="1" s="1"/>
  <c r="AA247" i="1" s="1"/>
  <c r="AC247" i="1" s="1"/>
  <c r="AE247" i="1" s="1"/>
  <c r="AG247" i="1" s="1"/>
  <c r="AI247" i="1" s="1"/>
  <c r="P247" i="1"/>
  <c r="R247" i="1" s="1"/>
  <c r="T247" i="1" s="1"/>
  <c r="V247" i="1" s="1"/>
  <c r="X247" i="1" s="1"/>
  <c r="Z247" i="1" s="1"/>
  <c r="AB247" i="1" s="1"/>
  <c r="AD247" i="1" s="1"/>
  <c r="AF247" i="1" s="1"/>
  <c r="AH247" i="1" s="1"/>
  <c r="AJ247" i="1" s="1"/>
  <c r="O248" i="1"/>
  <c r="Q248" i="1" s="1"/>
  <c r="S248" i="1" s="1"/>
  <c r="U248" i="1" s="1"/>
  <c r="W248" i="1" s="1"/>
  <c r="Y248" i="1" s="1"/>
  <c r="AA248" i="1" s="1"/>
  <c r="AC248" i="1" s="1"/>
  <c r="AE248" i="1" s="1"/>
  <c r="AG248" i="1" s="1"/>
  <c r="AI248" i="1" s="1"/>
  <c r="P248" i="1"/>
  <c r="R248" i="1" s="1"/>
  <c r="T248" i="1" s="1"/>
  <c r="V248" i="1" s="1"/>
  <c r="X248" i="1" s="1"/>
  <c r="Z248" i="1" s="1"/>
  <c r="AB248" i="1" s="1"/>
  <c r="AD248" i="1" s="1"/>
  <c r="AF248" i="1" s="1"/>
  <c r="AH248" i="1" s="1"/>
  <c r="AJ248" i="1" s="1"/>
  <c r="O249" i="1"/>
  <c r="Q249" i="1" s="1"/>
  <c r="S249" i="1" s="1"/>
  <c r="U249" i="1" s="1"/>
  <c r="W249" i="1" s="1"/>
  <c r="Y249" i="1" s="1"/>
  <c r="AA249" i="1" s="1"/>
  <c r="AC249" i="1" s="1"/>
  <c r="AE249" i="1" s="1"/>
  <c r="AG249" i="1" s="1"/>
  <c r="AI249" i="1" s="1"/>
  <c r="P249" i="1"/>
  <c r="R249" i="1" s="1"/>
  <c r="T249" i="1" s="1"/>
  <c r="V249" i="1" s="1"/>
  <c r="X249" i="1" s="1"/>
  <c r="Z249" i="1" s="1"/>
  <c r="AB249" i="1" s="1"/>
  <c r="AD249" i="1" s="1"/>
  <c r="AF249" i="1" s="1"/>
  <c r="AH249" i="1" s="1"/>
  <c r="AJ249" i="1" s="1"/>
  <c r="O250" i="1"/>
  <c r="Q250" i="1" s="1"/>
  <c r="S250" i="1" s="1"/>
  <c r="U250" i="1" s="1"/>
  <c r="W250" i="1" s="1"/>
  <c r="Y250" i="1" s="1"/>
  <c r="AA250" i="1" s="1"/>
  <c r="AC250" i="1" s="1"/>
  <c r="AE250" i="1" s="1"/>
  <c r="AG250" i="1" s="1"/>
  <c r="AI250" i="1" s="1"/>
  <c r="P250" i="1"/>
  <c r="R250" i="1" s="1"/>
  <c r="T250" i="1" s="1"/>
  <c r="V250" i="1" s="1"/>
  <c r="X250" i="1" s="1"/>
  <c r="Z250" i="1" s="1"/>
  <c r="AB250" i="1" s="1"/>
  <c r="AD250" i="1" s="1"/>
  <c r="AF250" i="1" s="1"/>
  <c r="AH250" i="1" s="1"/>
  <c r="AJ250" i="1" s="1"/>
  <c r="O251" i="1"/>
  <c r="Q251" i="1" s="1"/>
  <c r="S251" i="1" s="1"/>
  <c r="U251" i="1" s="1"/>
  <c r="W251" i="1" s="1"/>
  <c r="Y251" i="1" s="1"/>
  <c r="AA251" i="1" s="1"/>
  <c r="AC251" i="1" s="1"/>
  <c r="AE251" i="1" s="1"/>
  <c r="AG251" i="1" s="1"/>
  <c r="AI251" i="1" s="1"/>
  <c r="P251" i="1"/>
  <c r="R251" i="1" s="1"/>
  <c r="T251" i="1" s="1"/>
  <c r="V251" i="1" s="1"/>
  <c r="X251" i="1" s="1"/>
  <c r="Z251" i="1" s="1"/>
  <c r="AB251" i="1" s="1"/>
  <c r="AD251" i="1" s="1"/>
  <c r="AF251" i="1" s="1"/>
  <c r="AH251" i="1" s="1"/>
  <c r="AJ251" i="1" s="1"/>
  <c r="O252" i="1"/>
  <c r="Q252" i="1" s="1"/>
  <c r="S252" i="1" s="1"/>
  <c r="U252" i="1" s="1"/>
  <c r="W252" i="1" s="1"/>
  <c r="Y252" i="1" s="1"/>
  <c r="AA252" i="1" s="1"/>
  <c r="AC252" i="1" s="1"/>
  <c r="AE252" i="1" s="1"/>
  <c r="AG252" i="1" s="1"/>
  <c r="AI252" i="1" s="1"/>
  <c r="P252" i="1"/>
  <c r="R252" i="1" s="1"/>
  <c r="T252" i="1" s="1"/>
  <c r="V252" i="1" s="1"/>
  <c r="X252" i="1" s="1"/>
  <c r="Z252" i="1" s="1"/>
  <c r="AB252" i="1" s="1"/>
  <c r="AD252" i="1" s="1"/>
  <c r="AF252" i="1" s="1"/>
  <c r="AH252" i="1" s="1"/>
  <c r="AJ252" i="1" s="1"/>
  <c r="O253" i="1"/>
  <c r="Q253" i="1" s="1"/>
  <c r="S253" i="1" s="1"/>
  <c r="U253" i="1" s="1"/>
  <c r="W253" i="1" s="1"/>
  <c r="Y253" i="1" s="1"/>
  <c r="AA253" i="1" s="1"/>
  <c r="AC253" i="1" s="1"/>
  <c r="AE253" i="1" s="1"/>
  <c r="AG253" i="1" s="1"/>
  <c r="AI253" i="1" s="1"/>
  <c r="P253" i="1"/>
  <c r="R253" i="1" s="1"/>
  <c r="T253" i="1" s="1"/>
  <c r="V253" i="1" s="1"/>
  <c r="X253" i="1" s="1"/>
  <c r="Z253" i="1" s="1"/>
  <c r="AB253" i="1" s="1"/>
  <c r="AD253" i="1" s="1"/>
  <c r="AF253" i="1" s="1"/>
  <c r="AH253" i="1" s="1"/>
  <c r="AJ253" i="1" s="1"/>
  <c r="O254" i="1"/>
  <c r="Q254" i="1" s="1"/>
  <c r="S254" i="1" s="1"/>
  <c r="U254" i="1" s="1"/>
  <c r="W254" i="1" s="1"/>
  <c r="Y254" i="1" s="1"/>
  <c r="AA254" i="1" s="1"/>
  <c r="AC254" i="1" s="1"/>
  <c r="AE254" i="1" s="1"/>
  <c r="AG254" i="1" s="1"/>
  <c r="AI254" i="1" s="1"/>
  <c r="P254" i="1"/>
  <c r="R254" i="1" s="1"/>
  <c r="T254" i="1" s="1"/>
  <c r="V254" i="1" s="1"/>
  <c r="X254" i="1" s="1"/>
  <c r="Z254" i="1" s="1"/>
  <c r="AB254" i="1" s="1"/>
  <c r="AD254" i="1" s="1"/>
  <c r="AF254" i="1" s="1"/>
  <c r="AH254" i="1" s="1"/>
  <c r="AJ254" i="1" s="1"/>
  <c r="O255" i="1"/>
  <c r="Q255" i="1" s="1"/>
  <c r="S255" i="1" s="1"/>
  <c r="U255" i="1" s="1"/>
  <c r="W255" i="1" s="1"/>
  <c r="Y255" i="1" s="1"/>
  <c r="AA255" i="1" s="1"/>
  <c r="AC255" i="1" s="1"/>
  <c r="AE255" i="1" s="1"/>
  <c r="AG255" i="1" s="1"/>
  <c r="AI255" i="1" s="1"/>
  <c r="P255" i="1"/>
  <c r="R255" i="1" s="1"/>
  <c r="T255" i="1" s="1"/>
  <c r="V255" i="1" s="1"/>
  <c r="X255" i="1" s="1"/>
  <c r="Z255" i="1" s="1"/>
  <c r="AB255" i="1" s="1"/>
  <c r="AD255" i="1" s="1"/>
  <c r="AF255" i="1" s="1"/>
  <c r="AH255" i="1" s="1"/>
  <c r="AJ255" i="1" s="1"/>
  <c r="O256" i="1"/>
  <c r="Q256" i="1" s="1"/>
  <c r="S256" i="1" s="1"/>
  <c r="U256" i="1" s="1"/>
  <c r="W256" i="1" s="1"/>
  <c r="Y256" i="1" s="1"/>
  <c r="AA256" i="1" s="1"/>
  <c r="AC256" i="1" s="1"/>
  <c r="AE256" i="1" s="1"/>
  <c r="AG256" i="1" s="1"/>
  <c r="AI256" i="1" s="1"/>
  <c r="P256" i="1"/>
  <c r="R256" i="1" s="1"/>
  <c r="T256" i="1" s="1"/>
  <c r="V256" i="1" s="1"/>
  <c r="X256" i="1" s="1"/>
  <c r="Z256" i="1" s="1"/>
  <c r="AB256" i="1" s="1"/>
  <c r="AD256" i="1" s="1"/>
  <c r="AF256" i="1" s="1"/>
  <c r="AH256" i="1" s="1"/>
  <c r="AJ256" i="1" s="1"/>
  <c r="O257" i="1"/>
  <c r="Q257" i="1" s="1"/>
  <c r="S257" i="1" s="1"/>
  <c r="U257" i="1" s="1"/>
  <c r="W257" i="1" s="1"/>
  <c r="Y257" i="1" s="1"/>
  <c r="AA257" i="1" s="1"/>
  <c r="AC257" i="1" s="1"/>
  <c r="AE257" i="1" s="1"/>
  <c r="AG257" i="1" s="1"/>
  <c r="AI257" i="1" s="1"/>
  <c r="P257" i="1"/>
  <c r="R257" i="1" s="1"/>
  <c r="T257" i="1" s="1"/>
  <c r="V257" i="1" s="1"/>
  <c r="X257" i="1" s="1"/>
  <c r="Z257" i="1" s="1"/>
  <c r="AB257" i="1" s="1"/>
  <c r="AD257" i="1" s="1"/>
  <c r="AF257" i="1" s="1"/>
  <c r="AH257" i="1" s="1"/>
  <c r="AJ257" i="1" s="1"/>
  <c r="O258" i="1"/>
  <c r="Q258" i="1" s="1"/>
  <c r="S258" i="1" s="1"/>
  <c r="U258" i="1" s="1"/>
  <c r="W258" i="1" s="1"/>
  <c r="Y258" i="1" s="1"/>
  <c r="AA258" i="1" s="1"/>
  <c r="AC258" i="1" s="1"/>
  <c r="AE258" i="1" s="1"/>
  <c r="AG258" i="1" s="1"/>
  <c r="AI258" i="1" s="1"/>
  <c r="P258" i="1"/>
  <c r="R258" i="1" s="1"/>
  <c r="T258" i="1" s="1"/>
  <c r="V258" i="1" s="1"/>
  <c r="X258" i="1" s="1"/>
  <c r="Z258" i="1" s="1"/>
  <c r="AB258" i="1" s="1"/>
  <c r="AD258" i="1" s="1"/>
  <c r="AF258" i="1" s="1"/>
  <c r="AH258" i="1" s="1"/>
  <c r="AJ258" i="1" s="1"/>
  <c r="O259" i="1"/>
  <c r="Q259" i="1" s="1"/>
  <c r="S259" i="1" s="1"/>
  <c r="U259" i="1" s="1"/>
  <c r="W259" i="1" s="1"/>
  <c r="Y259" i="1" s="1"/>
  <c r="AA259" i="1" s="1"/>
  <c r="AC259" i="1" s="1"/>
  <c r="AE259" i="1" s="1"/>
  <c r="AG259" i="1" s="1"/>
  <c r="AI259" i="1" s="1"/>
  <c r="P259" i="1"/>
  <c r="R259" i="1" s="1"/>
  <c r="T259" i="1" s="1"/>
  <c r="V259" i="1" s="1"/>
  <c r="X259" i="1" s="1"/>
  <c r="Z259" i="1" s="1"/>
  <c r="AB259" i="1" s="1"/>
  <c r="AD259" i="1" s="1"/>
  <c r="AF259" i="1" s="1"/>
  <c r="AH259" i="1" s="1"/>
  <c r="AJ259" i="1" s="1"/>
  <c r="O260" i="1"/>
  <c r="Q260" i="1" s="1"/>
  <c r="S260" i="1" s="1"/>
  <c r="U260" i="1" s="1"/>
  <c r="W260" i="1" s="1"/>
  <c r="Y260" i="1" s="1"/>
  <c r="AA260" i="1" s="1"/>
  <c r="AC260" i="1" s="1"/>
  <c r="AE260" i="1" s="1"/>
  <c r="AG260" i="1" s="1"/>
  <c r="AI260" i="1" s="1"/>
  <c r="P260" i="1"/>
  <c r="R260" i="1" s="1"/>
  <c r="T260" i="1" s="1"/>
  <c r="V260" i="1" s="1"/>
  <c r="X260" i="1" s="1"/>
  <c r="Z260" i="1" s="1"/>
  <c r="AB260" i="1" s="1"/>
  <c r="AD260" i="1" s="1"/>
  <c r="AF260" i="1" s="1"/>
  <c r="AH260" i="1" s="1"/>
  <c r="AJ260" i="1" s="1"/>
  <c r="O261" i="1"/>
  <c r="Q261" i="1" s="1"/>
  <c r="S261" i="1" s="1"/>
  <c r="U261" i="1" s="1"/>
  <c r="W261" i="1" s="1"/>
  <c r="Y261" i="1" s="1"/>
  <c r="AA261" i="1" s="1"/>
  <c r="AC261" i="1" s="1"/>
  <c r="AE261" i="1" s="1"/>
  <c r="AG261" i="1" s="1"/>
  <c r="AI261" i="1" s="1"/>
  <c r="P261" i="1"/>
  <c r="R261" i="1" s="1"/>
  <c r="T261" i="1" s="1"/>
  <c r="V261" i="1" s="1"/>
  <c r="X261" i="1" s="1"/>
  <c r="Z261" i="1" s="1"/>
  <c r="AB261" i="1" s="1"/>
  <c r="AD261" i="1" s="1"/>
  <c r="AF261" i="1" s="1"/>
  <c r="AH261" i="1" s="1"/>
  <c r="AJ261" i="1" s="1"/>
  <c r="O262" i="1"/>
  <c r="Q262" i="1" s="1"/>
  <c r="S262" i="1" s="1"/>
  <c r="U262" i="1" s="1"/>
  <c r="W262" i="1" s="1"/>
  <c r="Y262" i="1" s="1"/>
  <c r="AA262" i="1" s="1"/>
  <c r="AC262" i="1" s="1"/>
  <c r="AE262" i="1" s="1"/>
  <c r="AG262" i="1" s="1"/>
  <c r="AI262" i="1" s="1"/>
  <c r="P262" i="1"/>
  <c r="R262" i="1" s="1"/>
  <c r="T262" i="1" s="1"/>
  <c r="V262" i="1" s="1"/>
  <c r="X262" i="1" s="1"/>
  <c r="Z262" i="1" s="1"/>
  <c r="AB262" i="1" s="1"/>
  <c r="AD262" i="1" s="1"/>
  <c r="AF262" i="1" s="1"/>
  <c r="AH262" i="1" s="1"/>
  <c r="AJ262" i="1" s="1"/>
  <c r="O263" i="1"/>
  <c r="Q263" i="1" s="1"/>
  <c r="S263" i="1" s="1"/>
  <c r="U263" i="1" s="1"/>
  <c r="W263" i="1" s="1"/>
  <c r="Y263" i="1" s="1"/>
  <c r="AA263" i="1" s="1"/>
  <c r="AC263" i="1" s="1"/>
  <c r="AE263" i="1" s="1"/>
  <c r="AG263" i="1" s="1"/>
  <c r="AI263" i="1" s="1"/>
  <c r="P263" i="1"/>
  <c r="R263" i="1" s="1"/>
  <c r="T263" i="1" s="1"/>
  <c r="V263" i="1" s="1"/>
  <c r="X263" i="1" s="1"/>
  <c r="Z263" i="1" s="1"/>
  <c r="AB263" i="1" s="1"/>
  <c r="AD263" i="1" s="1"/>
  <c r="AF263" i="1" s="1"/>
  <c r="AH263" i="1" s="1"/>
  <c r="AJ263" i="1" s="1"/>
  <c r="O264" i="1"/>
  <c r="Q264" i="1" s="1"/>
  <c r="S264" i="1" s="1"/>
  <c r="U264" i="1" s="1"/>
  <c r="W264" i="1" s="1"/>
  <c r="Y264" i="1" s="1"/>
  <c r="AA264" i="1" s="1"/>
  <c r="AC264" i="1" s="1"/>
  <c r="AE264" i="1" s="1"/>
  <c r="AG264" i="1" s="1"/>
  <c r="AI264" i="1" s="1"/>
  <c r="P264" i="1"/>
  <c r="R264" i="1" s="1"/>
  <c r="T264" i="1" s="1"/>
  <c r="V264" i="1" s="1"/>
  <c r="X264" i="1" s="1"/>
  <c r="Z264" i="1" s="1"/>
  <c r="AB264" i="1" s="1"/>
  <c r="AD264" i="1" s="1"/>
  <c r="AF264" i="1" s="1"/>
  <c r="AH264" i="1" s="1"/>
  <c r="AJ264" i="1" s="1"/>
  <c r="O265" i="1"/>
  <c r="Q265" i="1" s="1"/>
  <c r="S265" i="1" s="1"/>
  <c r="U265" i="1" s="1"/>
  <c r="W265" i="1" s="1"/>
  <c r="Y265" i="1" s="1"/>
  <c r="AA265" i="1" s="1"/>
  <c r="AC265" i="1" s="1"/>
  <c r="AE265" i="1" s="1"/>
  <c r="AG265" i="1" s="1"/>
  <c r="AI265" i="1" s="1"/>
  <c r="P265" i="1"/>
  <c r="R265" i="1" s="1"/>
  <c r="T265" i="1" s="1"/>
  <c r="V265" i="1" s="1"/>
  <c r="X265" i="1" s="1"/>
  <c r="Z265" i="1" s="1"/>
  <c r="AB265" i="1" s="1"/>
  <c r="AD265" i="1" s="1"/>
  <c r="AF265" i="1" s="1"/>
  <c r="AH265" i="1" s="1"/>
  <c r="AJ265" i="1" s="1"/>
  <c r="O266" i="1"/>
  <c r="Q266" i="1" s="1"/>
  <c r="S266" i="1" s="1"/>
  <c r="U266" i="1" s="1"/>
  <c r="W266" i="1" s="1"/>
  <c r="Y266" i="1" s="1"/>
  <c r="AA266" i="1" s="1"/>
  <c r="AC266" i="1" s="1"/>
  <c r="AE266" i="1" s="1"/>
  <c r="AG266" i="1" s="1"/>
  <c r="AI266" i="1" s="1"/>
  <c r="P266" i="1"/>
  <c r="R266" i="1" s="1"/>
  <c r="T266" i="1" s="1"/>
  <c r="V266" i="1" s="1"/>
  <c r="X266" i="1" s="1"/>
  <c r="Z266" i="1" s="1"/>
  <c r="AB266" i="1" s="1"/>
  <c r="AD266" i="1" s="1"/>
  <c r="AF266" i="1" s="1"/>
  <c r="AH266" i="1" s="1"/>
  <c r="AJ266" i="1" s="1"/>
  <c r="O267" i="1"/>
  <c r="Q267" i="1" s="1"/>
  <c r="S267" i="1" s="1"/>
  <c r="U267" i="1" s="1"/>
  <c r="W267" i="1" s="1"/>
  <c r="Y267" i="1" s="1"/>
  <c r="AA267" i="1" s="1"/>
  <c r="AC267" i="1" s="1"/>
  <c r="AE267" i="1" s="1"/>
  <c r="AG267" i="1" s="1"/>
  <c r="AI267" i="1" s="1"/>
  <c r="P267" i="1"/>
  <c r="R267" i="1" s="1"/>
  <c r="T267" i="1" s="1"/>
  <c r="V267" i="1" s="1"/>
  <c r="X267" i="1" s="1"/>
  <c r="Z267" i="1" s="1"/>
  <c r="AB267" i="1" s="1"/>
  <c r="AD267" i="1" s="1"/>
  <c r="AF267" i="1" s="1"/>
  <c r="AH267" i="1" s="1"/>
  <c r="AJ267" i="1" s="1"/>
  <c r="O268" i="1"/>
  <c r="Q268" i="1" s="1"/>
  <c r="S268" i="1" s="1"/>
  <c r="U268" i="1" s="1"/>
  <c r="W268" i="1" s="1"/>
  <c r="Y268" i="1" s="1"/>
  <c r="AA268" i="1" s="1"/>
  <c r="AC268" i="1" s="1"/>
  <c r="AE268" i="1" s="1"/>
  <c r="AG268" i="1" s="1"/>
  <c r="AI268" i="1" s="1"/>
  <c r="P268" i="1"/>
  <c r="R268" i="1" s="1"/>
  <c r="T268" i="1" s="1"/>
  <c r="V268" i="1" s="1"/>
  <c r="X268" i="1" s="1"/>
  <c r="Z268" i="1" s="1"/>
  <c r="AB268" i="1" s="1"/>
  <c r="AD268" i="1" s="1"/>
  <c r="AF268" i="1" s="1"/>
  <c r="AH268" i="1" s="1"/>
  <c r="AJ268" i="1" s="1"/>
  <c r="O269" i="1"/>
  <c r="Q269" i="1" s="1"/>
  <c r="S269" i="1" s="1"/>
  <c r="U269" i="1" s="1"/>
  <c r="W269" i="1" s="1"/>
  <c r="Y269" i="1" s="1"/>
  <c r="AA269" i="1" s="1"/>
  <c r="AC269" i="1" s="1"/>
  <c r="AE269" i="1" s="1"/>
  <c r="AG269" i="1" s="1"/>
  <c r="AI269" i="1" s="1"/>
  <c r="P269" i="1"/>
  <c r="R269" i="1" s="1"/>
  <c r="T269" i="1" s="1"/>
  <c r="V269" i="1" s="1"/>
  <c r="X269" i="1" s="1"/>
  <c r="Z269" i="1" s="1"/>
  <c r="AB269" i="1" s="1"/>
  <c r="AD269" i="1" s="1"/>
  <c r="AF269" i="1" s="1"/>
  <c r="AH269" i="1" s="1"/>
  <c r="AJ269" i="1" s="1"/>
  <c r="O270" i="1"/>
  <c r="Q270" i="1" s="1"/>
  <c r="S270" i="1" s="1"/>
  <c r="U270" i="1" s="1"/>
  <c r="W270" i="1" s="1"/>
  <c r="Y270" i="1" s="1"/>
  <c r="AA270" i="1" s="1"/>
  <c r="AC270" i="1" s="1"/>
  <c r="AE270" i="1" s="1"/>
  <c r="AG270" i="1" s="1"/>
  <c r="AI270" i="1" s="1"/>
  <c r="P270" i="1"/>
  <c r="R270" i="1" s="1"/>
  <c r="T270" i="1" s="1"/>
  <c r="V270" i="1" s="1"/>
  <c r="X270" i="1" s="1"/>
  <c r="Z270" i="1" s="1"/>
  <c r="AB270" i="1" s="1"/>
  <c r="AD270" i="1" s="1"/>
  <c r="AF270" i="1" s="1"/>
  <c r="AH270" i="1" s="1"/>
  <c r="AJ270" i="1" s="1"/>
  <c r="O271" i="1"/>
  <c r="Q271" i="1" s="1"/>
  <c r="S271" i="1" s="1"/>
  <c r="U271" i="1" s="1"/>
  <c r="W271" i="1" s="1"/>
  <c r="Y271" i="1" s="1"/>
  <c r="AA271" i="1" s="1"/>
  <c r="AC271" i="1" s="1"/>
  <c r="AE271" i="1" s="1"/>
  <c r="AG271" i="1" s="1"/>
  <c r="AI271" i="1" s="1"/>
  <c r="P271" i="1"/>
  <c r="R271" i="1" s="1"/>
  <c r="T271" i="1" s="1"/>
  <c r="V271" i="1" s="1"/>
  <c r="X271" i="1" s="1"/>
  <c r="Z271" i="1" s="1"/>
  <c r="AB271" i="1" s="1"/>
  <c r="AD271" i="1" s="1"/>
  <c r="AF271" i="1" s="1"/>
  <c r="AH271" i="1" s="1"/>
  <c r="AJ271" i="1" s="1"/>
  <c r="O272" i="1"/>
  <c r="Q272" i="1" s="1"/>
  <c r="S272" i="1" s="1"/>
  <c r="U272" i="1" s="1"/>
  <c r="W272" i="1" s="1"/>
  <c r="Y272" i="1" s="1"/>
  <c r="AA272" i="1" s="1"/>
  <c r="AC272" i="1" s="1"/>
  <c r="AE272" i="1" s="1"/>
  <c r="AG272" i="1" s="1"/>
  <c r="AI272" i="1" s="1"/>
  <c r="P272" i="1"/>
  <c r="R272" i="1" s="1"/>
  <c r="T272" i="1" s="1"/>
  <c r="V272" i="1" s="1"/>
  <c r="X272" i="1" s="1"/>
  <c r="Z272" i="1" s="1"/>
  <c r="AB272" i="1" s="1"/>
  <c r="AD272" i="1" s="1"/>
  <c r="AF272" i="1" s="1"/>
  <c r="AH272" i="1" s="1"/>
  <c r="AJ272" i="1" s="1"/>
  <c r="O273" i="1"/>
  <c r="Q273" i="1" s="1"/>
  <c r="S273" i="1" s="1"/>
  <c r="U273" i="1" s="1"/>
  <c r="W273" i="1" s="1"/>
  <c r="Y273" i="1" s="1"/>
  <c r="AA273" i="1" s="1"/>
  <c r="AC273" i="1" s="1"/>
  <c r="AE273" i="1" s="1"/>
  <c r="AG273" i="1" s="1"/>
  <c r="AI273" i="1" s="1"/>
  <c r="P273" i="1"/>
  <c r="R273" i="1" s="1"/>
  <c r="T273" i="1" s="1"/>
  <c r="V273" i="1" s="1"/>
  <c r="X273" i="1" s="1"/>
  <c r="Z273" i="1" s="1"/>
  <c r="AB273" i="1" s="1"/>
  <c r="AD273" i="1" s="1"/>
  <c r="AF273" i="1" s="1"/>
  <c r="AH273" i="1" s="1"/>
  <c r="AJ273" i="1" s="1"/>
  <c r="O274" i="1"/>
  <c r="Q274" i="1" s="1"/>
  <c r="S274" i="1" s="1"/>
  <c r="U274" i="1" s="1"/>
  <c r="W274" i="1" s="1"/>
  <c r="Y274" i="1" s="1"/>
  <c r="AA274" i="1" s="1"/>
  <c r="AC274" i="1" s="1"/>
  <c r="AE274" i="1" s="1"/>
  <c r="AG274" i="1" s="1"/>
  <c r="AI274" i="1" s="1"/>
  <c r="P274" i="1"/>
  <c r="R274" i="1" s="1"/>
  <c r="T274" i="1" s="1"/>
  <c r="V274" i="1" s="1"/>
  <c r="X274" i="1" s="1"/>
  <c r="Z274" i="1" s="1"/>
  <c r="AB274" i="1" s="1"/>
  <c r="AD274" i="1" s="1"/>
  <c r="AF274" i="1" s="1"/>
  <c r="AH274" i="1" s="1"/>
  <c r="AJ274" i="1" s="1"/>
  <c r="O275" i="1"/>
  <c r="Q275" i="1" s="1"/>
  <c r="S275" i="1" s="1"/>
  <c r="U275" i="1" s="1"/>
  <c r="W275" i="1" s="1"/>
  <c r="Y275" i="1" s="1"/>
  <c r="AA275" i="1" s="1"/>
  <c r="AC275" i="1" s="1"/>
  <c r="AE275" i="1" s="1"/>
  <c r="AG275" i="1" s="1"/>
  <c r="AI275" i="1" s="1"/>
  <c r="P275" i="1"/>
  <c r="R275" i="1" s="1"/>
  <c r="T275" i="1" s="1"/>
  <c r="V275" i="1" s="1"/>
  <c r="X275" i="1" s="1"/>
  <c r="Z275" i="1" s="1"/>
  <c r="AB275" i="1" s="1"/>
  <c r="AD275" i="1" s="1"/>
  <c r="AF275" i="1" s="1"/>
  <c r="AH275" i="1" s="1"/>
  <c r="AJ275" i="1" s="1"/>
  <c r="O276" i="1"/>
  <c r="Q276" i="1" s="1"/>
  <c r="S276" i="1" s="1"/>
  <c r="U276" i="1" s="1"/>
  <c r="W276" i="1" s="1"/>
  <c r="Y276" i="1" s="1"/>
  <c r="AA276" i="1" s="1"/>
  <c r="AC276" i="1" s="1"/>
  <c r="AE276" i="1" s="1"/>
  <c r="AG276" i="1" s="1"/>
  <c r="AI276" i="1" s="1"/>
  <c r="P276" i="1"/>
  <c r="R276" i="1" s="1"/>
  <c r="T276" i="1" s="1"/>
  <c r="V276" i="1" s="1"/>
  <c r="X276" i="1" s="1"/>
  <c r="Z276" i="1" s="1"/>
  <c r="AB276" i="1" s="1"/>
  <c r="AD276" i="1" s="1"/>
  <c r="AF276" i="1" s="1"/>
  <c r="AH276" i="1" s="1"/>
  <c r="AJ276" i="1" s="1"/>
  <c r="O277" i="1"/>
  <c r="Q277" i="1" s="1"/>
  <c r="S277" i="1" s="1"/>
  <c r="U277" i="1" s="1"/>
  <c r="W277" i="1" s="1"/>
  <c r="Y277" i="1" s="1"/>
  <c r="AA277" i="1" s="1"/>
  <c r="AC277" i="1" s="1"/>
  <c r="AE277" i="1" s="1"/>
  <c r="AG277" i="1" s="1"/>
  <c r="AI277" i="1" s="1"/>
  <c r="P277" i="1"/>
  <c r="R277" i="1" s="1"/>
  <c r="T277" i="1" s="1"/>
  <c r="V277" i="1" s="1"/>
  <c r="X277" i="1" s="1"/>
  <c r="Z277" i="1" s="1"/>
  <c r="AB277" i="1" s="1"/>
  <c r="AD277" i="1" s="1"/>
  <c r="AF277" i="1" s="1"/>
  <c r="AH277" i="1" s="1"/>
  <c r="AJ277" i="1" s="1"/>
  <c r="O278" i="1"/>
  <c r="Q278" i="1" s="1"/>
  <c r="S278" i="1" s="1"/>
  <c r="U278" i="1" s="1"/>
  <c r="W278" i="1" s="1"/>
  <c r="Y278" i="1" s="1"/>
  <c r="AA278" i="1" s="1"/>
  <c r="AC278" i="1" s="1"/>
  <c r="AE278" i="1" s="1"/>
  <c r="AG278" i="1" s="1"/>
  <c r="AI278" i="1" s="1"/>
  <c r="P278" i="1"/>
  <c r="R278" i="1" s="1"/>
  <c r="T278" i="1" s="1"/>
  <c r="V278" i="1" s="1"/>
  <c r="X278" i="1" s="1"/>
  <c r="Z278" i="1" s="1"/>
  <c r="AB278" i="1" s="1"/>
  <c r="AD278" i="1" s="1"/>
  <c r="AF278" i="1" s="1"/>
  <c r="AH278" i="1" s="1"/>
  <c r="AJ278" i="1" s="1"/>
  <c r="O283" i="1"/>
  <c r="Q283" i="1" s="1"/>
  <c r="S283" i="1" s="1"/>
  <c r="U283" i="1" s="1"/>
  <c r="W283" i="1" s="1"/>
  <c r="Y283" i="1" s="1"/>
  <c r="AA283" i="1" s="1"/>
  <c r="AC283" i="1" s="1"/>
  <c r="AE283" i="1" s="1"/>
  <c r="AG283" i="1" s="1"/>
  <c r="AI283" i="1" s="1"/>
  <c r="P283" i="1"/>
  <c r="R283" i="1" s="1"/>
  <c r="T283" i="1" s="1"/>
  <c r="V283" i="1" s="1"/>
  <c r="X283" i="1" s="1"/>
  <c r="Z283" i="1" s="1"/>
  <c r="AB283" i="1" s="1"/>
  <c r="AD283" i="1" s="1"/>
  <c r="AF283" i="1" s="1"/>
  <c r="AH283" i="1" s="1"/>
  <c r="AJ283" i="1" s="1"/>
  <c r="O284" i="1"/>
  <c r="Q284" i="1" s="1"/>
  <c r="S284" i="1" s="1"/>
  <c r="U284" i="1" s="1"/>
  <c r="W284" i="1" s="1"/>
  <c r="Y284" i="1" s="1"/>
  <c r="AA284" i="1" s="1"/>
  <c r="AC284" i="1" s="1"/>
  <c r="AE284" i="1" s="1"/>
  <c r="AG284" i="1" s="1"/>
  <c r="AI284" i="1" s="1"/>
  <c r="P284" i="1"/>
  <c r="R284" i="1" s="1"/>
  <c r="T284" i="1" s="1"/>
  <c r="V284" i="1" s="1"/>
  <c r="X284" i="1" s="1"/>
  <c r="Z284" i="1" s="1"/>
  <c r="AB284" i="1" s="1"/>
  <c r="AD284" i="1" s="1"/>
  <c r="AF284" i="1" s="1"/>
  <c r="AH284" i="1" s="1"/>
  <c r="AJ284" i="1" s="1"/>
  <c r="O285" i="1"/>
  <c r="Q285" i="1" s="1"/>
  <c r="S285" i="1" s="1"/>
  <c r="U285" i="1" s="1"/>
  <c r="W285" i="1" s="1"/>
  <c r="Y285" i="1" s="1"/>
  <c r="AA285" i="1" s="1"/>
  <c r="AC285" i="1" s="1"/>
  <c r="AE285" i="1" s="1"/>
  <c r="AG285" i="1" s="1"/>
  <c r="AI285" i="1" s="1"/>
  <c r="P285" i="1"/>
  <c r="R285" i="1" s="1"/>
  <c r="T285" i="1" s="1"/>
  <c r="V285" i="1" s="1"/>
  <c r="X285" i="1" s="1"/>
  <c r="Z285" i="1" s="1"/>
  <c r="AB285" i="1" s="1"/>
  <c r="AD285" i="1" s="1"/>
  <c r="AF285" i="1" s="1"/>
  <c r="AH285" i="1" s="1"/>
  <c r="AJ285" i="1" s="1"/>
  <c r="O286" i="1"/>
  <c r="Q286" i="1" s="1"/>
  <c r="S286" i="1" s="1"/>
  <c r="U286" i="1" s="1"/>
  <c r="W286" i="1" s="1"/>
  <c r="Y286" i="1" s="1"/>
  <c r="AA286" i="1" s="1"/>
  <c r="AC286" i="1" s="1"/>
  <c r="AE286" i="1" s="1"/>
  <c r="AG286" i="1" s="1"/>
  <c r="AI286" i="1" s="1"/>
  <c r="P286" i="1"/>
  <c r="R286" i="1" s="1"/>
  <c r="T286" i="1" s="1"/>
  <c r="V286" i="1" s="1"/>
  <c r="X286" i="1" s="1"/>
  <c r="Z286" i="1" s="1"/>
  <c r="AB286" i="1" s="1"/>
  <c r="AD286" i="1" s="1"/>
  <c r="AF286" i="1" s="1"/>
  <c r="AH286" i="1" s="1"/>
  <c r="AJ286" i="1" s="1"/>
  <c r="O287" i="1"/>
  <c r="Q287" i="1" s="1"/>
  <c r="S287" i="1" s="1"/>
  <c r="U287" i="1" s="1"/>
  <c r="W287" i="1" s="1"/>
  <c r="Y287" i="1" s="1"/>
  <c r="AA287" i="1" s="1"/>
  <c r="AC287" i="1" s="1"/>
  <c r="AE287" i="1" s="1"/>
  <c r="AG287" i="1" s="1"/>
  <c r="AI287" i="1" s="1"/>
  <c r="P287" i="1"/>
  <c r="R287" i="1" s="1"/>
  <c r="T287" i="1" s="1"/>
  <c r="V287" i="1" s="1"/>
  <c r="X287" i="1" s="1"/>
  <c r="Z287" i="1" s="1"/>
  <c r="AB287" i="1" s="1"/>
  <c r="AD287" i="1" s="1"/>
  <c r="AF287" i="1" s="1"/>
  <c r="AH287" i="1" s="1"/>
  <c r="AJ287" i="1" s="1"/>
  <c r="O288" i="1"/>
  <c r="Q288" i="1" s="1"/>
  <c r="S288" i="1" s="1"/>
  <c r="U288" i="1" s="1"/>
  <c r="W288" i="1" s="1"/>
  <c r="Y288" i="1" s="1"/>
  <c r="AA288" i="1" s="1"/>
  <c r="AC288" i="1" s="1"/>
  <c r="AE288" i="1" s="1"/>
  <c r="AG288" i="1" s="1"/>
  <c r="AI288" i="1" s="1"/>
  <c r="P288" i="1"/>
  <c r="R288" i="1" s="1"/>
  <c r="T288" i="1" s="1"/>
  <c r="V288" i="1" s="1"/>
  <c r="X288" i="1" s="1"/>
  <c r="Z288" i="1" s="1"/>
  <c r="AB288" i="1" s="1"/>
  <c r="AD288" i="1" s="1"/>
  <c r="AF288" i="1" s="1"/>
  <c r="AH288" i="1" s="1"/>
  <c r="AJ288" i="1" s="1"/>
  <c r="O289" i="1"/>
  <c r="Q289" i="1" s="1"/>
  <c r="S289" i="1" s="1"/>
  <c r="U289" i="1" s="1"/>
  <c r="W289" i="1" s="1"/>
  <c r="Y289" i="1" s="1"/>
  <c r="AA289" i="1" s="1"/>
  <c r="AC289" i="1" s="1"/>
  <c r="AE289" i="1" s="1"/>
  <c r="AG289" i="1" s="1"/>
  <c r="AI289" i="1" s="1"/>
  <c r="P289" i="1"/>
  <c r="R289" i="1" s="1"/>
  <c r="T289" i="1" s="1"/>
  <c r="V289" i="1" s="1"/>
  <c r="X289" i="1" s="1"/>
  <c r="Z289" i="1" s="1"/>
  <c r="AB289" i="1" s="1"/>
  <c r="AD289" i="1" s="1"/>
  <c r="AF289" i="1" s="1"/>
  <c r="AH289" i="1" s="1"/>
  <c r="AJ289" i="1" s="1"/>
  <c r="O290" i="1"/>
  <c r="Q290" i="1" s="1"/>
  <c r="S290" i="1" s="1"/>
  <c r="U290" i="1" s="1"/>
  <c r="W290" i="1" s="1"/>
  <c r="Y290" i="1" s="1"/>
  <c r="AA290" i="1" s="1"/>
  <c r="AC290" i="1" s="1"/>
  <c r="AE290" i="1" s="1"/>
  <c r="AG290" i="1" s="1"/>
  <c r="AI290" i="1" s="1"/>
  <c r="P290" i="1"/>
  <c r="R290" i="1" s="1"/>
  <c r="T290" i="1" s="1"/>
  <c r="V290" i="1" s="1"/>
  <c r="X290" i="1" s="1"/>
  <c r="Z290" i="1" s="1"/>
  <c r="AB290" i="1" s="1"/>
  <c r="AD290" i="1" s="1"/>
  <c r="AF290" i="1" s="1"/>
  <c r="AH290" i="1" s="1"/>
  <c r="AJ290" i="1" s="1"/>
  <c r="O291" i="1"/>
  <c r="Q291" i="1" s="1"/>
  <c r="S291" i="1" s="1"/>
  <c r="U291" i="1" s="1"/>
  <c r="W291" i="1" s="1"/>
  <c r="Y291" i="1" s="1"/>
  <c r="AA291" i="1" s="1"/>
  <c r="AC291" i="1" s="1"/>
  <c r="AE291" i="1" s="1"/>
  <c r="AG291" i="1" s="1"/>
  <c r="AI291" i="1" s="1"/>
  <c r="P291" i="1"/>
  <c r="R291" i="1" s="1"/>
  <c r="T291" i="1" s="1"/>
  <c r="V291" i="1" s="1"/>
  <c r="X291" i="1" s="1"/>
  <c r="Z291" i="1" s="1"/>
  <c r="AB291" i="1" s="1"/>
  <c r="AD291" i="1" s="1"/>
  <c r="AF291" i="1" s="1"/>
  <c r="AH291" i="1" s="1"/>
  <c r="AJ291" i="1" s="1"/>
  <c r="O292" i="1"/>
  <c r="Q292" i="1" s="1"/>
  <c r="S292" i="1" s="1"/>
  <c r="U292" i="1" s="1"/>
  <c r="W292" i="1" s="1"/>
  <c r="Y292" i="1" s="1"/>
  <c r="AA292" i="1" s="1"/>
  <c r="AC292" i="1" s="1"/>
  <c r="AE292" i="1" s="1"/>
  <c r="AG292" i="1" s="1"/>
  <c r="AI292" i="1" s="1"/>
  <c r="P292" i="1"/>
  <c r="R292" i="1" s="1"/>
  <c r="T292" i="1" s="1"/>
  <c r="V292" i="1" s="1"/>
  <c r="X292" i="1" s="1"/>
  <c r="Z292" i="1" s="1"/>
  <c r="AB292" i="1" s="1"/>
  <c r="AD292" i="1" s="1"/>
  <c r="AF292" i="1" s="1"/>
  <c r="AH292" i="1" s="1"/>
  <c r="AJ292" i="1" s="1"/>
  <c r="O293" i="1"/>
  <c r="Q293" i="1" s="1"/>
  <c r="S293" i="1" s="1"/>
  <c r="U293" i="1" s="1"/>
  <c r="W293" i="1" s="1"/>
  <c r="Y293" i="1" s="1"/>
  <c r="AA293" i="1" s="1"/>
  <c r="AC293" i="1" s="1"/>
  <c r="AE293" i="1" s="1"/>
  <c r="AG293" i="1" s="1"/>
  <c r="AI293" i="1" s="1"/>
  <c r="P293" i="1"/>
  <c r="R293" i="1" s="1"/>
  <c r="T293" i="1" s="1"/>
  <c r="V293" i="1" s="1"/>
  <c r="X293" i="1" s="1"/>
  <c r="Z293" i="1" s="1"/>
  <c r="AB293" i="1" s="1"/>
  <c r="AD293" i="1" s="1"/>
  <c r="AF293" i="1" s="1"/>
  <c r="AH293" i="1" s="1"/>
  <c r="AJ293" i="1" s="1"/>
  <c r="O294" i="1"/>
  <c r="Q294" i="1" s="1"/>
  <c r="S294" i="1" s="1"/>
  <c r="U294" i="1" s="1"/>
  <c r="W294" i="1" s="1"/>
  <c r="Y294" i="1" s="1"/>
  <c r="AA294" i="1" s="1"/>
  <c r="AC294" i="1" s="1"/>
  <c r="AE294" i="1" s="1"/>
  <c r="AG294" i="1" s="1"/>
  <c r="AI294" i="1" s="1"/>
  <c r="P294" i="1"/>
  <c r="R294" i="1" s="1"/>
  <c r="T294" i="1" s="1"/>
  <c r="V294" i="1" s="1"/>
  <c r="X294" i="1" s="1"/>
  <c r="Z294" i="1" s="1"/>
  <c r="AB294" i="1" s="1"/>
  <c r="AD294" i="1" s="1"/>
  <c r="AF294" i="1" s="1"/>
  <c r="AH294" i="1" s="1"/>
  <c r="AJ294" i="1" s="1"/>
  <c r="O295" i="1"/>
  <c r="Q295" i="1" s="1"/>
  <c r="S295" i="1" s="1"/>
  <c r="U295" i="1" s="1"/>
  <c r="W295" i="1" s="1"/>
  <c r="Y295" i="1" s="1"/>
  <c r="AA295" i="1" s="1"/>
  <c r="AC295" i="1" s="1"/>
  <c r="AE295" i="1" s="1"/>
  <c r="AG295" i="1" s="1"/>
  <c r="AI295" i="1" s="1"/>
  <c r="P295" i="1"/>
  <c r="R295" i="1" s="1"/>
  <c r="T295" i="1" s="1"/>
  <c r="V295" i="1" s="1"/>
  <c r="X295" i="1" s="1"/>
  <c r="Z295" i="1" s="1"/>
  <c r="AB295" i="1" s="1"/>
  <c r="AD295" i="1" s="1"/>
  <c r="AF295" i="1" s="1"/>
  <c r="AH295" i="1" s="1"/>
  <c r="AJ295" i="1" s="1"/>
  <c r="O296" i="1"/>
  <c r="Q296" i="1" s="1"/>
  <c r="S296" i="1" s="1"/>
  <c r="U296" i="1" s="1"/>
  <c r="W296" i="1" s="1"/>
  <c r="Y296" i="1" s="1"/>
  <c r="AA296" i="1" s="1"/>
  <c r="AC296" i="1" s="1"/>
  <c r="AE296" i="1" s="1"/>
  <c r="AG296" i="1" s="1"/>
  <c r="AI296" i="1" s="1"/>
  <c r="P296" i="1"/>
  <c r="R296" i="1" s="1"/>
  <c r="T296" i="1" s="1"/>
  <c r="V296" i="1" s="1"/>
  <c r="X296" i="1" s="1"/>
  <c r="Z296" i="1" s="1"/>
  <c r="AB296" i="1" s="1"/>
  <c r="AD296" i="1" s="1"/>
  <c r="AF296" i="1" s="1"/>
  <c r="AH296" i="1" s="1"/>
  <c r="AJ296" i="1" s="1"/>
  <c r="O297" i="1"/>
  <c r="Q297" i="1" s="1"/>
  <c r="S297" i="1" s="1"/>
  <c r="U297" i="1" s="1"/>
  <c r="W297" i="1" s="1"/>
  <c r="Y297" i="1" s="1"/>
  <c r="AA297" i="1" s="1"/>
  <c r="AC297" i="1" s="1"/>
  <c r="AE297" i="1" s="1"/>
  <c r="AG297" i="1" s="1"/>
  <c r="AI297" i="1" s="1"/>
  <c r="P297" i="1"/>
  <c r="R297" i="1" s="1"/>
  <c r="T297" i="1" s="1"/>
  <c r="V297" i="1" s="1"/>
  <c r="X297" i="1" s="1"/>
  <c r="Z297" i="1" s="1"/>
  <c r="AB297" i="1" s="1"/>
  <c r="AD297" i="1" s="1"/>
  <c r="AF297" i="1" s="1"/>
  <c r="AH297" i="1" s="1"/>
  <c r="AJ297" i="1" s="1"/>
  <c r="O298" i="1"/>
  <c r="Q298" i="1" s="1"/>
  <c r="S298" i="1" s="1"/>
  <c r="U298" i="1" s="1"/>
  <c r="W298" i="1" s="1"/>
  <c r="Y298" i="1" s="1"/>
  <c r="AA298" i="1" s="1"/>
  <c r="AC298" i="1" s="1"/>
  <c r="AE298" i="1" s="1"/>
  <c r="AG298" i="1" s="1"/>
  <c r="AI298" i="1" s="1"/>
  <c r="P298" i="1"/>
  <c r="R298" i="1" s="1"/>
  <c r="T298" i="1" s="1"/>
  <c r="V298" i="1" s="1"/>
  <c r="X298" i="1" s="1"/>
  <c r="Z298" i="1" s="1"/>
  <c r="AB298" i="1" s="1"/>
  <c r="AD298" i="1" s="1"/>
  <c r="AF298" i="1" s="1"/>
  <c r="AH298" i="1" s="1"/>
  <c r="AJ298" i="1" s="1"/>
  <c r="O299" i="1"/>
  <c r="Q299" i="1" s="1"/>
  <c r="S299" i="1" s="1"/>
  <c r="U299" i="1" s="1"/>
  <c r="W299" i="1" s="1"/>
  <c r="Y299" i="1" s="1"/>
  <c r="AA299" i="1" s="1"/>
  <c r="AC299" i="1" s="1"/>
  <c r="AE299" i="1" s="1"/>
  <c r="AG299" i="1" s="1"/>
  <c r="AI299" i="1" s="1"/>
  <c r="P299" i="1"/>
  <c r="R299" i="1" s="1"/>
  <c r="T299" i="1" s="1"/>
  <c r="V299" i="1" s="1"/>
  <c r="X299" i="1" s="1"/>
  <c r="Z299" i="1" s="1"/>
  <c r="AB299" i="1" s="1"/>
  <c r="AD299" i="1" s="1"/>
  <c r="AF299" i="1" s="1"/>
  <c r="AH299" i="1" s="1"/>
  <c r="AJ299" i="1" s="1"/>
  <c r="O300" i="1"/>
  <c r="Q300" i="1" s="1"/>
  <c r="S300" i="1" s="1"/>
  <c r="U300" i="1" s="1"/>
  <c r="W300" i="1" s="1"/>
  <c r="Y300" i="1" s="1"/>
  <c r="AA300" i="1" s="1"/>
  <c r="AC300" i="1" s="1"/>
  <c r="AE300" i="1" s="1"/>
  <c r="AG300" i="1" s="1"/>
  <c r="AI300" i="1" s="1"/>
  <c r="P300" i="1"/>
  <c r="R300" i="1" s="1"/>
  <c r="T300" i="1" s="1"/>
  <c r="V300" i="1" s="1"/>
  <c r="X300" i="1" s="1"/>
  <c r="Z300" i="1" s="1"/>
  <c r="AB300" i="1" s="1"/>
  <c r="AD300" i="1" s="1"/>
  <c r="AF300" i="1" s="1"/>
  <c r="AH300" i="1" s="1"/>
  <c r="AJ300" i="1" s="1"/>
  <c r="O301" i="1"/>
  <c r="Q301" i="1" s="1"/>
  <c r="S301" i="1" s="1"/>
  <c r="U301" i="1" s="1"/>
  <c r="W301" i="1" s="1"/>
  <c r="Y301" i="1" s="1"/>
  <c r="AA301" i="1" s="1"/>
  <c r="AC301" i="1" s="1"/>
  <c r="AE301" i="1" s="1"/>
  <c r="AG301" i="1" s="1"/>
  <c r="AI301" i="1" s="1"/>
  <c r="P301" i="1"/>
  <c r="R301" i="1" s="1"/>
  <c r="T301" i="1" s="1"/>
  <c r="V301" i="1" s="1"/>
  <c r="X301" i="1" s="1"/>
  <c r="Z301" i="1" s="1"/>
  <c r="AB301" i="1" s="1"/>
  <c r="AD301" i="1" s="1"/>
  <c r="AF301" i="1" s="1"/>
  <c r="AH301" i="1" s="1"/>
  <c r="AJ301" i="1" s="1"/>
  <c r="O302" i="1"/>
  <c r="Q302" i="1" s="1"/>
  <c r="S302" i="1" s="1"/>
  <c r="U302" i="1" s="1"/>
  <c r="W302" i="1" s="1"/>
  <c r="Y302" i="1" s="1"/>
  <c r="AA302" i="1" s="1"/>
  <c r="AC302" i="1" s="1"/>
  <c r="AE302" i="1" s="1"/>
  <c r="AG302" i="1" s="1"/>
  <c r="AI302" i="1" s="1"/>
  <c r="P302" i="1"/>
  <c r="R302" i="1" s="1"/>
  <c r="T302" i="1" s="1"/>
  <c r="V302" i="1" s="1"/>
  <c r="X302" i="1" s="1"/>
  <c r="Z302" i="1" s="1"/>
  <c r="AB302" i="1" s="1"/>
  <c r="AD302" i="1" s="1"/>
  <c r="AF302" i="1" s="1"/>
  <c r="AH302" i="1" s="1"/>
  <c r="AJ302" i="1" s="1"/>
  <c r="O303" i="1"/>
  <c r="Q303" i="1" s="1"/>
  <c r="S303" i="1" s="1"/>
  <c r="U303" i="1" s="1"/>
  <c r="W303" i="1" s="1"/>
  <c r="Y303" i="1" s="1"/>
  <c r="AA303" i="1" s="1"/>
  <c r="AC303" i="1" s="1"/>
  <c r="AE303" i="1" s="1"/>
  <c r="AG303" i="1" s="1"/>
  <c r="AI303" i="1" s="1"/>
  <c r="P303" i="1"/>
  <c r="R303" i="1" s="1"/>
  <c r="T303" i="1" s="1"/>
  <c r="V303" i="1" s="1"/>
  <c r="X303" i="1" s="1"/>
  <c r="Z303" i="1" s="1"/>
  <c r="AB303" i="1" s="1"/>
  <c r="AD303" i="1" s="1"/>
  <c r="AF303" i="1" s="1"/>
  <c r="AH303" i="1" s="1"/>
  <c r="AJ303" i="1" s="1"/>
  <c r="O304" i="1"/>
  <c r="Q304" i="1" s="1"/>
  <c r="S304" i="1" s="1"/>
  <c r="U304" i="1" s="1"/>
  <c r="W304" i="1" s="1"/>
  <c r="Y304" i="1" s="1"/>
  <c r="AA304" i="1" s="1"/>
  <c r="AC304" i="1" s="1"/>
  <c r="AE304" i="1" s="1"/>
  <c r="AG304" i="1" s="1"/>
  <c r="AI304" i="1" s="1"/>
  <c r="P304" i="1"/>
  <c r="R304" i="1" s="1"/>
  <c r="T304" i="1" s="1"/>
  <c r="V304" i="1" s="1"/>
  <c r="X304" i="1" s="1"/>
  <c r="Z304" i="1" s="1"/>
  <c r="AB304" i="1" s="1"/>
  <c r="AD304" i="1" s="1"/>
  <c r="AF304" i="1" s="1"/>
  <c r="AH304" i="1" s="1"/>
  <c r="AJ304" i="1" s="1"/>
  <c r="O305" i="1"/>
  <c r="Q305" i="1" s="1"/>
  <c r="S305" i="1" s="1"/>
  <c r="U305" i="1" s="1"/>
  <c r="W305" i="1" s="1"/>
  <c r="Y305" i="1" s="1"/>
  <c r="AA305" i="1" s="1"/>
  <c r="AC305" i="1" s="1"/>
  <c r="AE305" i="1" s="1"/>
  <c r="AG305" i="1" s="1"/>
  <c r="AI305" i="1" s="1"/>
  <c r="P305" i="1"/>
  <c r="R305" i="1" s="1"/>
  <c r="T305" i="1" s="1"/>
  <c r="V305" i="1" s="1"/>
  <c r="X305" i="1" s="1"/>
  <c r="Z305" i="1" s="1"/>
  <c r="AB305" i="1" s="1"/>
  <c r="AD305" i="1" s="1"/>
  <c r="AF305" i="1" s="1"/>
  <c r="AH305" i="1" s="1"/>
  <c r="AJ305" i="1" s="1"/>
  <c r="O306" i="1"/>
  <c r="Q306" i="1" s="1"/>
  <c r="S306" i="1" s="1"/>
  <c r="U306" i="1" s="1"/>
  <c r="W306" i="1" s="1"/>
  <c r="Y306" i="1" s="1"/>
  <c r="AA306" i="1" s="1"/>
  <c r="AC306" i="1" s="1"/>
  <c r="AE306" i="1" s="1"/>
  <c r="AG306" i="1" s="1"/>
  <c r="AI306" i="1" s="1"/>
  <c r="P306" i="1"/>
  <c r="R306" i="1" s="1"/>
  <c r="T306" i="1" s="1"/>
  <c r="V306" i="1" s="1"/>
  <c r="X306" i="1" s="1"/>
  <c r="Z306" i="1" s="1"/>
  <c r="AB306" i="1" s="1"/>
  <c r="AD306" i="1" s="1"/>
  <c r="AF306" i="1" s="1"/>
  <c r="AH306" i="1" s="1"/>
  <c r="AJ306" i="1" s="1"/>
  <c r="O307" i="1"/>
  <c r="Q307" i="1" s="1"/>
  <c r="S307" i="1" s="1"/>
  <c r="U307" i="1" s="1"/>
  <c r="W307" i="1" s="1"/>
  <c r="Y307" i="1" s="1"/>
  <c r="AA307" i="1" s="1"/>
  <c r="AC307" i="1" s="1"/>
  <c r="AE307" i="1" s="1"/>
  <c r="AG307" i="1" s="1"/>
  <c r="AI307" i="1" s="1"/>
  <c r="P307" i="1"/>
  <c r="R307" i="1" s="1"/>
  <c r="T307" i="1" s="1"/>
  <c r="V307" i="1" s="1"/>
  <c r="X307" i="1" s="1"/>
  <c r="Z307" i="1" s="1"/>
  <c r="AB307" i="1" s="1"/>
  <c r="AD307" i="1" s="1"/>
  <c r="AF307" i="1" s="1"/>
  <c r="AH307" i="1" s="1"/>
  <c r="AJ307" i="1" s="1"/>
  <c r="O308" i="1"/>
  <c r="Q308" i="1" s="1"/>
  <c r="S308" i="1" s="1"/>
  <c r="U308" i="1" s="1"/>
  <c r="W308" i="1" s="1"/>
  <c r="Y308" i="1" s="1"/>
  <c r="AA308" i="1" s="1"/>
  <c r="AC308" i="1" s="1"/>
  <c r="AE308" i="1" s="1"/>
  <c r="AG308" i="1" s="1"/>
  <c r="AI308" i="1" s="1"/>
  <c r="P308" i="1"/>
  <c r="R308" i="1" s="1"/>
  <c r="T308" i="1" s="1"/>
  <c r="V308" i="1" s="1"/>
  <c r="X308" i="1" s="1"/>
  <c r="Z308" i="1" s="1"/>
  <c r="AB308" i="1" s="1"/>
  <c r="AD308" i="1" s="1"/>
  <c r="AF308" i="1" s="1"/>
  <c r="AH308" i="1" s="1"/>
  <c r="AJ308" i="1" s="1"/>
  <c r="O309" i="1"/>
  <c r="Q309" i="1" s="1"/>
  <c r="S309" i="1" s="1"/>
  <c r="U309" i="1" s="1"/>
  <c r="W309" i="1" s="1"/>
  <c r="Y309" i="1" s="1"/>
  <c r="AA309" i="1" s="1"/>
  <c r="AC309" i="1" s="1"/>
  <c r="AE309" i="1" s="1"/>
  <c r="AG309" i="1" s="1"/>
  <c r="AI309" i="1" s="1"/>
  <c r="P309" i="1"/>
  <c r="R309" i="1" s="1"/>
  <c r="T309" i="1" s="1"/>
  <c r="V309" i="1" s="1"/>
  <c r="X309" i="1" s="1"/>
  <c r="Z309" i="1" s="1"/>
  <c r="AB309" i="1" s="1"/>
  <c r="AD309" i="1" s="1"/>
  <c r="AF309" i="1" s="1"/>
  <c r="AH309" i="1" s="1"/>
  <c r="AJ309" i="1" s="1"/>
  <c r="O310" i="1"/>
  <c r="Q310" i="1" s="1"/>
  <c r="S310" i="1" s="1"/>
  <c r="U310" i="1" s="1"/>
  <c r="W310" i="1" s="1"/>
  <c r="Y310" i="1" s="1"/>
  <c r="AA310" i="1" s="1"/>
  <c r="AC310" i="1" s="1"/>
  <c r="AE310" i="1" s="1"/>
  <c r="AG310" i="1" s="1"/>
  <c r="AI310" i="1" s="1"/>
  <c r="P310" i="1"/>
  <c r="R310" i="1" s="1"/>
  <c r="T310" i="1" s="1"/>
  <c r="V310" i="1" s="1"/>
  <c r="X310" i="1" s="1"/>
  <c r="Z310" i="1" s="1"/>
  <c r="AB310" i="1" s="1"/>
  <c r="AD310" i="1" s="1"/>
  <c r="AF310" i="1" s="1"/>
  <c r="AH310" i="1" s="1"/>
  <c r="AJ310" i="1" s="1"/>
  <c r="O311" i="1"/>
  <c r="Q311" i="1" s="1"/>
  <c r="S311" i="1" s="1"/>
  <c r="U311" i="1" s="1"/>
  <c r="W311" i="1" s="1"/>
  <c r="Y311" i="1" s="1"/>
  <c r="AA311" i="1" s="1"/>
  <c r="AC311" i="1" s="1"/>
  <c r="AE311" i="1" s="1"/>
  <c r="AG311" i="1" s="1"/>
  <c r="AI311" i="1" s="1"/>
  <c r="P311" i="1"/>
  <c r="R311" i="1" s="1"/>
  <c r="T311" i="1" s="1"/>
  <c r="V311" i="1" s="1"/>
  <c r="X311" i="1" s="1"/>
  <c r="Z311" i="1" s="1"/>
  <c r="AB311" i="1" s="1"/>
  <c r="AD311" i="1" s="1"/>
  <c r="AF311" i="1" s="1"/>
  <c r="AH311" i="1" s="1"/>
  <c r="AJ311" i="1" s="1"/>
  <c r="O312" i="1"/>
  <c r="Q312" i="1" s="1"/>
  <c r="S312" i="1" s="1"/>
  <c r="U312" i="1" s="1"/>
  <c r="W312" i="1" s="1"/>
  <c r="Y312" i="1" s="1"/>
  <c r="AA312" i="1" s="1"/>
  <c r="AC312" i="1" s="1"/>
  <c r="AE312" i="1" s="1"/>
  <c r="AG312" i="1" s="1"/>
  <c r="AI312" i="1" s="1"/>
  <c r="P312" i="1"/>
  <c r="R312" i="1" s="1"/>
  <c r="T312" i="1" s="1"/>
  <c r="V312" i="1" s="1"/>
  <c r="X312" i="1" s="1"/>
  <c r="Z312" i="1" s="1"/>
  <c r="AB312" i="1" s="1"/>
  <c r="AD312" i="1" s="1"/>
  <c r="AF312" i="1" s="1"/>
  <c r="AH312" i="1" s="1"/>
  <c r="AJ312" i="1" s="1"/>
  <c r="O313" i="1"/>
  <c r="Q313" i="1" s="1"/>
  <c r="S313" i="1" s="1"/>
  <c r="U313" i="1" s="1"/>
  <c r="W313" i="1" s="1"/>
  <c r="Y313" i="1" s="1"/>
  <c r="AA313" i="1" s="1"/>
  <c r="AC313" i="1" s="1"/>
  <c r="AE313" i="1" s="1"/>
  <c r="AG313" i="1" s="1"/>
  <c r="AI313" i="1" s="1"/>
  <c r="P313" i="1"/>
  <c r="R313" i="1" s="1"/>
  <c r="T313" i="1" s="1"/>
  <c r="V313" i="1" s="1"/>
  <c r="X313" i="1" s="1"/>
  <c r="Z313" i="1" s="1"/>
  <c r="AB313" i="1" s="1"/>
  <c r="AD313" i="1" s="1"/>
  <c r="AF313" i="1" s="1"/>
  <c r="AH313" i="1" s="1"/>
  <c r="AJ313" i="1" s="1"/>
  <c r="O314" i="1"/>
  <c r="Q314" i="1" s="1"/>
  <c r="S314" i="1" s="1"/>
  <c r="U314" i="1" s="1"/>
  <c r="W314" i="1" s="1"/>
  <c r="Y314" i="1" s="1"/>
  <c r="AA314" i="1" s="1"/>
  <c r="AC314" i="1" s="1"/>
  <c r="AE314" i="1" s="1"/>
  <c r="AG314" i="1" s="1"/>
  <c r="AI314" i="1" s="1"/>
  <c r="P314" i="1"/>
  <c r="R314" i="1" s="1"/>
  <c r="T314" i="1" s="1"/>
  <c r="V314" i="1" s="1"/>
  <c r="X314" i="1" s="1"/>
  <c r="Z314" i="1" s="1"/>
  <c r="AB314" i="1" s="1"/>
  <c r="AD314" i="1" s="1"/>
  <c r="AF314" i="1" s="1"/>
  <c r="AH314" i="1" s="1"/>
  <c r="AJ314" i="1" s="1"/>
  <c r="O315" i="1"/>
  <c r="Q315" i="1" s="1"/>
  <c r="S315" i="1" s="1"/>
  <c r="U315" i="1" s="1"/>
  <c r="W315" i="1" s="1"/>
  <c r="Y315" i="1" s="1"/>
  <c r="AA315" i="1" s="1"/>
  <c r="AC315" i="1" s="1"/>
  <c r="AE315" i="1" s="1"/>
  <c r="AG315" i="1" s="1"/>
  <c r="AI315" i="1" s="1"/>
  <c r="P315" i="1"/>
  <c r="R315" i="1" s="1"/>
  <c r="T315" i="1" s="1"/>
  <c r="V315" i="1" s="1"/>
  <c r="X315" i="1" s="1"/>
  <c r="Z315" i="1" s="1"/>
  <c r="AB315" i="1" s="1"/>
  <c r="AD315" i="1" s="1"/>
  <c r="AF315" i="1" s="1"/>
  <c r="AH315" i="1" s="1"/>
  <c r="AJ315" i="1" s="1"/>
  <c r="O316" i="1"/>
  <c r="Q316" i="1" s="1"/>
  <c r="S316" i="1" s="1"/>
  <c r="U316" i="1" s="1"/>
  <c r="W316" i="1" s="1"/>
  <c r="Y316" i="1" s="1"/>
  <c r="AA316" i="1" s="1"/>
  <c r="AC316" i="1" s="1"/>
  <c r="AE316" i="1" s="1"/>
  <c r="AG316" i="1" s="1"/>
  <c r="AI316" i="1" s="1"/>
  <c r="P316" i="1"/>
  <c r="R316" i="1" s="1"/>
  <c r="T316" i="1" s="1"/>
  <c r="V316" i="1" s="1"/>
  <c r="X316" i="1" s="1"/>
  <c r="Z316" i="1" s="1"/>
  <c r="AB316" i="1" s="1"/>
  <c r="AD316" i="1" s="1"/>
  <c r="AF316" i="1" s="1"/>
  <c r="AH316" i="1" s="1"/>
  <c r="AJ316" i="1" s="1"/>
  <c r="O317" i="1"/>
  <c r="Q317" i="1" s="1"/>
  <c r="S317" i="1" s="1"/>
  <c r="U317" i="1" s="1"/>
  <c r="W317" i="1" s="1"/>
  <c r="Y317" i="1" s="1"/>
  <c r="AA317" i="1" s="1"/>
  <c r="AC317" i="1" s="1"/>
  <c r="AE317" i="1" s="1"/>
  <c r="AG317" i="1" s="1"/>
  <c r="AI317" i="1" s="1"/>
  <c r="P317" i="1"/>
  <c r="R317" i="1" s="1"/>
  <c r="T317" i="1" s="1"/>
  <c r="V317" i="1" s="1"/>
  <c r="X317" i="1" s="1"/>
  <c r="Z317" i="1" s="1"/>
  <c r="AB317" i="1" s="1"/>
  <c r="AD317" i="1" s="1"/>
  <c r="AF317" i="1" s="1"/>
  <c r="AH317" i="1" s="1"/>
  <c r="AJ317" i="1" s="1"/>
  <c r="O318" i="1"/>
  <c r="Q318" i="1" s="1"/>
  <c r="S318" i="1" s="1"/>
  <c r="U318" i="1" s="1"/>
  <c r="W318" i="1" s="1"/>
  <c r="Y318" i="1" s="1"/>
  <c r="AA318" i="1" s="1"/>
  <c r="AC318" i="1" s="1"/>
  <c r="AE318" i="1" s="1"/>
  <c r="AG318" i="1" s="1"/>
  <c r="AI318" i="1" s="1"/>
  <c r="P318" i="1"/>
  <c r="R318" i="1" s="1"/>
  <c r="T318" i="1" s="1"/>
  <c r="V318" i="1" s="1"/>
  <c r="X318" i="1" s="1"/>
  <c r="Z318" i="1" s="1"/>
  <c r="AB318" i="1" s="1"/>
  <c r="AD318" i="1" s="1"/>
  <c r="AF318" i="1" s="1"/>
  <c r="AH318" i="1" s="1"/>
  <c r="AJ318" i="1" s="1"/>
  <c r="O319" i="1"/>
  <c r="Q319" i="1" s="1"/>
  <c r="S319" i="1" s="1"/>
  <c r="U319" i="1" s="1"/>
  <c r="W319" i="1" s="1"/>
  <c r="Y319" i="1" s="1"/>
  <c r="AA319" i="1" s="1"/>
  <c r="AC319" i="1" s="1"/>
  <c r="AE319" i="1" s="1"/>
  <c r="AG319" i="1" s="1"/>
  <c r="AI319" i="1" s="1"/>
  <c r="P319" i="1"/>
  <c r="R319" i="1" s="1"/>
  <c r="T319" i="1" s="1"/>
  <c r="V319" i="1" s="1"/>
  <c r="X319" i="1" s="1"/>
  <c r="Z319" i="1" s="1"/>
  <c r="AB319" i="1" s="1"/>
  <c r="AD319" i="1" s="1"/>
  <c r="AF319" i="1" s="1"/>
  <c r="AH319" i="1" s="1"/>
  <c r="AJ319" i="1" s="1"/>
  <c r="O320" i="1"/>
  <c r="Q320" i="1" s="1"/>
  <c r="S320" i="1" s="1"/>
  <c r="U320" i="1" s="1"/>
  <c r="W320" i="1" s="1"/>
  <c r="Y320" i="1" s="1"/>
  <c r="AA320" i="1" s="1"/>
  <c r="AC320" i="1" s="1"/>
  <c r="AE320" i="1" s="1"/>
  <c r="AG320" i="1" s="1"/>
  <c r="AI320" i="1" s="1"/>
  <c r="P320" i="1"/>
  <c r="R320" i="1" s="1"/>
  <c r="T320" i="1" s="1"/>
  <c r="V320" i="1" s="1"/>
  <c r="X320" i="1" s="1"/>
  <c r="Z320" i="1" s="1"/>
  <c r="AB320" i="1" s="1"/>
  <c r="AD320" i="1" s="1"/>
  <c r="AF320" i="1" s="1"/>
  <c r="AH320" i="1" s="1"/>
  <c r="AJ320" i="1" s="1"/>
  <c r="O321" i="1"/>
  <c r="Q321" i="1" s="1"/>
  <c r="S321" i="1" s="1"/>
  <c r="U321" i="1" s="1"/>
  <c r="W321" i="1" s="1"/>
  <c r="Y321" i="1" s="1"/>
  <c r="AA321" i="1" s="1"/>
  <c r="AC321" i="1" s="1"/>
  <c r="AE321" i="1" s="1"/>
  <c r="AG321" i="1" s="1"/>
  <c r="AI321" i="1" s="1"/>
  <c r="P321" i="1"/>
  <c r="R321" i="1" s="1"/>
  <c r="T321" i="1" s="1"/>
  <c r="V321" i="1" s="1"/>
  <c r="X321" i="1" s="1"/>
  <c r="Z321" i="1" s="1"/>
  <c r="AB321" i="1" s="1"/>
  <c r="AD321" i="1" s="1"/>
  <c r="AF321" i="1" s="1"/>
  <c r="AH321" i="1" s="1"/>
  <c r="AJ321" i="1" s="1"/>
  <c r="O322" i="1"/>
  <c r="Q322" i="1" s="1"/>
  <c r="S322" i="1" s="1"/>
  <c r="U322" i="1" s="1"/>
  <c r="W322" i="1" s="1"/>
  <c r="Y322" i="1" s="1"/>
  <c r="AA322" i="1" s="1"/>
  <c r="AC322" i="1" s="1"/>
  <c r="AE322" i="1" s="1"/>
  <c r="AG322" i="1" s="1"/>
  <c r="AI322" i="1" s="1"/>
  <c r="P322" i="1"/>
  <c r="R322" i="1" s="1"/>
  <c r="T322" i="1" s="1"/>
  <c r="V322" i="1" s="1"/>
  <c r="X322" i="1" s="1"/>
  <c r="Z322" i="1" s="1"/>
  <c r="AB322" i="1" s="1"/>
  <c r="AD322" i="1" s="1"/>
  <c r="AF322" i="1" s="1"/>
  <c r="AH322" i="1" s="1"/>
  <c r="AJ322" i="1" s="1"/>
  <c r="O323" i="1"/>
  <c r="Q323" i="1" s="1"/>
  <c r="S323" i="1" s="1"/>
  <c r="U323" i="1" s="1"/>
  <c r="W323" i="1" s="1"/>
  <c r="Y323" i="1" s="1"/>
  <c r="AA323" i="1" s="1"/>
  <c r="AC323" i="1" s="1"/>
  <c r="AE323" i="1" s="1"/>
  <c r="AG323" i="1" s="1"/>
  <c r="AI323" i="1" s="1"/>
  <c r="P323" i="1"/>
  <c r="R323" i="1" s="1"/>
  <c r="T323" i="1" s="1"/>
  <c r="V323" i="1" s="1"/>
  <c r="X323" i="1" s="1"/>
  <c r="Z323" i="1" s="1"/>
  <c r="AB323" i="1" s="1"/>
  <c r="AD323" i="1" s="1"/>
  <c r="AF323" i="1" s="1"/>
  <c r="AH323" i="1" s="1"/>
  <c r="AJ323" i="1" s="1"/>
  <c r="O324" i="1"/>
  <c r="Q324" i="1" s="1"/>
  <c r="S324" i="1" s="1"/>
  <c r="U324" i="1" s="1"/>
  <c r="W324" i="1" s="1"/>
  <c r="Y324" i="1" s="1"/>
  <c r="AA324" i="1" s="1"/>
  <c r="AC324" i="1" s="1"/>
  <c r="AE324" i="1" s="1"/>
  <c r="AG324" i="1" s="1"/>
  <c r="AI324" i="1" s="1"/>
  <c r="P324" i="1"/>
  <c r="R324" i="1" s="1"/>
  <c r="T324" i="1" s="1"/>
  <c r="V324" i="1" s="1"/>
  <c r="X324" i="1" s="1"/>
  <c r="Z324" i="1" s="1"/>
  <c r="AB324" i="1" s="1"/>
  <c r="AD324" i="1" s="1"/>
  <c r="AF324" i="1" s="1"/>
  <c r="AH324" i="1" s="1"/>
  <c r="AJ324" i="1" s="1"/>
  <c r="O325" i="1"/>
  <c r="Q325" i="1" s="1"/>
  <c r="S325" i="1" s="1"/>
  <c r="U325" i="1" s="1"/>
  <c r="W325" i="1" s="1"/>
  <c r="Y325" i="1" s="1"/>
  <c r="AA325" i="1" s="1"/>
  <c r="AC325" i="1" s="1"/>
  <c r="AE325" i="1" s="1"/>
  <c r="AG325" i="1" s="1"/>
  <c r="AI325" i="1" s="1"/>
  <c r="P325" i="1"/>
  <c r="R325" i="1" s="1"/>
  <c r="T325" i="1" s="1"/>
  <c r="V325" i="1" s="1"/>
  <c r="X325" i="1" s="1"/>
  <c r="Z325" i="1" s="1"/>
  <c r="AB325" i="1" s="1"/>
  <c r="AD325" i="1" s="1"/>
  <c r="AF325" i="1" s="1"/>
  <c r="AH325" i="1" s="1"/>
  <c r="AJ325" i="1" s="1"/>
  <c r="O326" i="1"/>
  <c r="Q326" i="1" s="1"/>
  <c r="S326" i="1" s="1"/>
  <c r="U326" i="1" s="1"/>
  <c r="W326" i="1" s="1"/>
  <c r="Y326" i="1" s="1"/>
  <c r="AA326" i="1" s="1"/>
  <c r="AC326" i="1" s="1"/>
  <c r="AE326" i="1" s="1"/>
  <c r="AG326" i="1" s="1"/>
  <c r="AI326" i="1" s="1"/>
  <c r="P326" i="1"/>
  <c r="R326" i="1" s="1"/>
  <c r="T326" i="1" s="1"/>
  <c r="V326" i="1" s="1"/>
  <c r="X326" i="1" s="1"/>
  <c r="Z326" i="1" s="1"/>
  <c r="AB326" i="1" s="1"/>
  <c r="AD326" i="1" s="1"/>
  <c r="AF326" i="1" s="1"/>
  <c r="AH326" i="1" s="1"/>
  <c r="AJ326" i="1" s="1"/>
  <c r="O327" i="1"/>
  <c r="Q327" i="1" s="1"/>
  <c r="S327" i="1" s="1"/>
  <c r="U327" i="1" s="1"/>
  <c r="W327" i="1" s="1"/>
  <c r="Y327" i="1" s="1"/>
  <c r="AA327" i="1" s="1"/>
  <c r="AC327" i="1" s="1"/>
  <c r="AE327" i="1" s="1"/>
  <c r="AG327" i="1" s="1"/>
  <c r="AI327" i="1" s="1"/>
  <c r="P327" i="1"/>
  <c r="R327" i="1" s="1"/>
  <c r="T327" i="1" s="1"/>
  <c r="V327" i="1" s="1"/>
  <c r="X327" i="1" s="1"/>
  <c r="Z327" i="1" s="1"/>
  <c r="AB327" i="1" s="1"/>
  <c r="AD327" i="1" s="1"/>
  <c r="AF327" i="1" s="1"/>
  <c r="AH327" i="1" s="1"/>
  <c r="AJ327" i="1" s="1"/>
  <c r="O328" i="1"/>
  <c r="Q328" i="1" s="1"/>
  <c r="S328" i="1" s="1"/>
  <c r="U328" i="1" s="1"/>
  <c r="W328" i="1" s="1"/>
  <c r="Y328" i="1" s="1"/>
  <c r="AA328" i="1" s="1"/>
  <c r="AC328" i="1" s="1"/>
  <c r="AE328" i="1" s="1"/>
  <c r="AG328" i="1" s="1"/>
  <c r="AI328" i="1" s="1"/>
  <c r="P328" i="1"/>
  <c r="R328" i="1" s="1"/>
  <c r="T328" i="1" s="1"/>
  <c r="V328" i="1" s="1"/>
  <c r="X328" i="1" s="1"/>
  <c r="Z328" i="1" s="1"/>
  <c r="AB328" i="1" s="1"/>
  <c r="AD328" i="1" s="1"/>
  <c r="AF328" i="1" s="1"/>
  <c r="AH328" i="1" s="1"/>
  <c r="AJ328" i="1" s="1"/>
  <c r="O329" i="1"/>
  <c r="Q329" i="1" s="1"/>
  <c r="S329" i="1" s="1"/>
  <c r="U329" i="1" s="1"/>
  <c r="W329" i="1" s="1"/>
  <c r="Y329" i="1" s="1"/>
  <c r="AA329" i="1" s="1"/>
  <c r="AC329" i="1" s="1"/>
  <c r="AE329" i="1" s="1"/>
  <c r="AG329" i="1" s="1"/>
  <c r="AI329" i="1" s="1"/>
  <c r="P329" i="1"/>
  <c r="R329" i="1" s="1"/>
  <c r="T329" i="1" s="1"/>
  <c r="V329" i="1" s="1"/>
  <c r="X329" i="1" s="1"/>
  <c r="Z329" i="1" s="1"/>
  <c r="AB329" i="1" s="1"/>
  <c r="AD329" i="1" s="1"/>
  <c r="AF329" i="1" s="1"/>
  <c r="AH329" i="1" s="1"/>
  <c r="AJ329" i="1" s="1"/>
  <c r="O330" i="1"/>
  <c r="Q330" i="1" s="1"/>
  <c r="S330" i="1" s="1"/>
  <c r="U330" i="1" s="1"/>
  <c r="W330" i="1" s="1"/>
  <c r="Y330" i="1" s="1"/>
  <c r="AA330" i="1" s="1"/>
  <c r="AC330" i="1" s="1"/>
  <c r="AE330" i="1" s="1"/>
  <c r="AG330" i="1" s="1"/>
  <c r="AI330" i="1" s="1"/>
  <c r="P330" i="1"/>
  <c r="R330" i="1" s="1"/>
  <c r="T330" i="1" s="1"/>
  <c r="V330" i="1" s="1"/>
  <c r="X330" i="1" s="1"/>
  <c r="Z330" i="1" s="1"/>
  <c r="AB330" i="1" s="1"/>
  <c r="AD330" i="1" s="1"/>
  <c r="AF330" i="1" s="1"/>
  <c r="AH330" i="1" s="1"/>
  <c r="AJ330" i="1" s="1"/>
  <c r="O331" i="1"/>
  <c r="Q331" i="1" s="1"/>
  <c r="S331" i="1" s="1"/>
  <c r="U331" i="1" s="1"/>
  <c r="W331" i="1" s="1"/>
  <c r="Y331" i="1" s="1"/>
  <c r="AA331" i="1" s="1"/>
  <c r="AC331" i="1" s="1"/>
  <c r="AE331" i="1" s="1"/>
  <c r="AG331" i="1" s="1"/>
  <c r="AI331" i="1" s="1"/>
  <c r="P331" i="1"/>
  <c r="R331" i="1" s="1"/>
  <c r="T331" i="1" s="1"/>
  <c r="V331" i="1" s="1"/>
  <c r="X331" i="1" s="1"/>
  <c r="Z331" i="1" s="1"/>
  <c r="AB331" i="1" s="1"/>
  <c r="AD331" i="1" s="1"/>
  <c r="AF331" i="1" s="1"/>
  <c r="AH331" i="1" s="1"/>
  <c r="AJ331" i="1" s="1"/>
  <c r="O332" i="1"/>
  <c r="Q332" i="1" s="1"/>
  <c r="S332" i="1" s="1"/>
  <c r="U332" i="1" s="1"/>
  <c r="W332" i="1" s="1"/>
  <c r="Y332" i="1" s="1"/>
  <c r="AA332" i="1" s="1"/>
  <c r="AC332" i="1" s="1"/>
  <c r="AE332" i="1" s="1"/>
  <c r="AG332" i="1" s="1"/>
  <c r="AI332" i="1" s="1"/>
  <c r="P332" i="1"/>
  <c r="R332" i="1" s="1"/>
  <c r="T332" i="1" s="1"/>
  <c r="V332" i="1" s="1"/>
  <c r="X332" i="1" s="1"/>
  <c r="Z332" i="1" s="1"/>
  <c r="AB332" i="1" s="1"/>
  <c r="AD332" i="1" s="1"/>
  <c r="AF332" i="1" s="1"/>
  <c r="AH332" i="1" s="1"/>
  <c r="AJ332" i="1" s="1"/>
  <c r="O333" i="1"/>
  <c r="Q333" i="1" s="1"/>
  <c r="S333" i="1" s="1"/>
  <c r="U333" i="1" s="1"/>
  <c r="W333" i="1" s="1"/>
  <c r="Y333" i="1" s="1"/>
  <c r="AA333" i="1" s="1"/>
  <c r="AC333" i="1" s="1"/>
  <c r="AE333" i="1" s="1"/>
  <c r="AG333" i="1" s="1"/>
  <c r="AI333" i="1" s="1"/>
  <c r="P333" i="1"/>
  <c r="R333" i="1" s="1"/>
  <c r="T333" i="1" s="1"/>
  <c r="V333" i="1" s="1"/>
  <c r="X333" i="1" s="1"/>
  <c r="Z333" i="1" s="1"/>
  <c r="AB333" i="1" s="1"/>
  <c r="AD333" i="1" s="1"/>
  <c r="AF333" i="1" s="1"/>
  <c r="AH333" i="1" s="1"/>
  <c r="AJ333" i="1" s="1"/>
  <c r="O334" i="1"/>
  <c r="Q334" i="1" s="1"/>
  <c r="S334" i="1" s="1"/>
  <c r="U334" i="1" s="1"/>
  <c r="W334" i="1" s="1"/>
  <c r="Y334" i="1" s="1"/>
  <c r="AA334" i="1" s="1"/>
  <c r="AC334" i="1" s="1"/>
  <c r="AE334" i="1" s="1"/>
  <c r="AG334" i="1" s="1"/>
  <c r="AI334" i="1" s="1"/>
  <c r="P334" i="1"/>
  <c r="R334" i="1" s="1"/>
  <c r="T334" i="1" s="1"/>
  <c r="V334" i="1" s="1"/>
  <c r="X334" i="1" s="1"/>
  <c r="Z334" i="1" s="1"/>
  <c r="AB334" i="1" s="1"/>
  <c r="AD334" i="1" s="1"/>
  <c r="AF334" i="1" s="1"/>
  <c r="AH334" i="1" s="1"/>
  <c r="AJ334" i="1" s="1"/>
  <c r="O335" i="1"/>
  <c r="Q335" i="1" s="1"/>
  <c r="S335" i="1" s="1"/>
  <c r="U335" i="1" s="1"/>
  <c r="W335" i="1" s="1"/>
  <c r="Y335" i="1" s="1"/>
  <c r="AA335" i="1" s="1"/>
  <c r="AC335" i="1" s="1"/>
  <c r="AE335" i="1" s="1"/>
  <c r="AG335" i="1" s="1"/>
  <c r="AI335" i="1" s="1"/>
  <c r="P335" i="1"/>
  <c r="R335" i="1" s="1"/>
  <c r="T335" i="1" s="1"/>
  <c r="V335" i="1" s="1"/>
  <c r="X335" i="1" s="1"/>
  <c r="Z335" i="1" s="1"/>
  <c r="AB335" i="1" s="1"/>
  <c r="AD335" i="1" s="1"/>
  <c r="AF335" i="1" s="1"/>
  <c r="AH335" i="1" s="1"/>
  <c r="AJ335" i="1" s="1"/>
  <c r="O336" i="1"/>
  <c r="Q336" i="1" s="1"/>
  <c r="S336" i="1" s="1"/>
  <c r="U336" i="1" s="1"/>
  <c r="W336" i="1" s="1"/>
  <c r="Y336" i="1" s="1"/>
  <c r="AA336" i="1" s="1"/>
  <c r="AC336" i="1" s="1"/>
  <c r="AE336" i="1" s="1"/>
  <c r="AG336" i="1" s="1"/>
  <c r="AI336" i="1" s="1"/>
  <c r="P336" i="1"/>
  <c r="R336" i="1" s="1"/>
  <c r="T336" i="1" s="1"/>
  <c r="V336" i="1" s="1"/>
  <c r="X336" i="1" s="1"/>
  <c r="Z336" i="1" s="1"/>
  <c r="AB336" i="1" s="1"/>
  <c r="AD336" i="1" s="1"/>
  <c r="AF336" i="1" s="1"/>
  <c r="AH336" i="1" s="1"/>
  <c r="AJ336" i="1" s="1"/>
  <c r="O337" i="1"/>
  <c r="Q337" i="1" s="1"/>
  <c r="S337" i="1" s="1"/>
  <c r="U337" i="1" s="1"/>
  <c r="W337" i="1" s="1"/>
  <c r="Y337" i="1" s="1"/>
  <c r="AA337" i="1" s="1"/>
  <c r="AC337" i="1" s="1"/>
  <c r="AE337" i="1" s="1"/>
  <c r="AG337" i="1" s="1"/>
  <c r="AI337" i="1" s="1"/>
  <c r="P337" i="1"/>
  <c r="R337" i="1" s="1"/>
  <c r="T337" i="1" s="1"/>
  <c r="V337" i="1" s="1"/>
  <c r="X337" i="1" s="1"/>
  <c r="Z337" i="1" s="1"/>
  <c r="AB337" i="1" s="1"/>
  <c r="AD337" i="1" s="1"/>
  <c r="AF337" i="1" s="1"/>
  <c r="AH337" i="1" s="1"/>
  <c r="AJ337" i="1" s="1"/>
  <c r="O338" i="1"/>
  <c r="Q338" i="1" s="1"/>
  <c r="S338" i="1" s="1"/>
  <c r="U338" i="1" s="1"/>
  <c r="W338" i="1" s="1"/>
  <c r="Y338" i="1" s="1"/>
  <c r="AA338" i="1" s="1"/>
  <c r="AC338" i="1" s="1"/>
  <c r="AE338" i="1" s="1"/>
  <c r="AG338" i="1" s="1"/>
  <c r="AI338" i="1" s="1"/>
  <c r="P338" i="1"/>
  <c r="R338" i="1" s="1"/>
  <c r="T338" i="1" s="1"/>
  <c r="V338" i="1" s="1"/>
  <c r="X338" i="1" s="1"/>
  <c r="Z338" i="1" s="1"/>
  <c r="AB338" i="1" s="1"/>
  <c r="AD338" i="1" s="1"/>
  <c r="AF338" i="1" s="1"/>
  <c r="AH338" i="1" s="1"/>
  <c r="AJ338" i="1" s="1"/>
  <c r="O339" i="1"/>
  <c r="Q339" i="1" s="1"/>
  <c r="S339" i="1" s="1"/>
  <c r="U339" i="1" s="1"/>
  <c r="W339" i="1" s="1"/>
  <c r="Y339" i="1" s="1"/>
  <c r="AA339" i="1" s="1"/>
  <c r="AC339" i="1" s="1"/>
  <c r="AE339" i="1" s="1"/>
  <c r="AG339" i="1" s="1"/>
  <c r="AI339" i="1" s="1"/>
  <c r="P339" i="1"/>
  <c r="R339" i="1" s="1"/>
  <c r="T339" i="1" s="1"/>
  <c r="V339" i="1" s="1"/>
  <c r="X339" i="1" s="1"/>
  <c r="Z339" i="1" s="1"/>
  <c r="AB339" i="1" s="1"/>
  <c r="AD339" i="1" s="1"/>
  <c r="AF339" i="1" s="1"/>
  <c r="AH339" i="1" s="1"/>
  <c r="AJ339" i="1" s="1"/>
  <c r="O340" i="1"/>
  <c r="Q340" i="1" s="1"/>
  <c r="S340" i="1" s="1"/>
  <c r="U340" i="1" s="1"/>
  <c r="W340" i="1" s="1"/>
  <c r="Y340" i="1" s="1"/>
  <c r="AA340" i="1" s="1"/>
  <c r="AC340" i="1" s="1"/>
  <c r="AE340" i="1" s="1"/>
  <c r="AG340" i="1" s="1"/>
  <c r="AI340" i="1" s="1"/>
  <c r="P340" i="1"/>
  <c r="R340" i="1" s="1"/>
  <c r="T340" i="1" s="1"/>
  <c r="V340" i="1" s="1"/>
  <c r="X340" i="1" s="1"/>
  <c r="Z340" i="1" s="1"/>
  <c r="AB340" i="1" s="1"/>
  <c r="AD340" i="1" s="1"/>
  <c r="AF340" i="1" s="1"/>
  <c r="AH340" i="1" s="1"/>
  <c r="AJ340" i="1" s="1"/>
  <c r="O341" i="1"/>
  <c r="Q341" i="1" s="1"/>
  <c r="S341" i="1" s="1"/>
  <c r="U341" i="1" s="1"/>
  <c r="W341" i="1" s="1"/>
  <c r="Y341" i="1" s="1"/>
  <c r="AA341" i="1" s="1"/>
  <c r="AC341" i="1" s="1"/>
  <c r="AE341" i="1" s="1"/>
  <c r="AG341" i="1" s="1"/>
  <c r="AI341" i="1" s="1"/>
  <c r="P341" i="1"/>
  <c r="R341" i="1" s="1"/>
  <c r="T341" i="1" s="1"/>
  <c r="V341" i="1" s="1"/>
  <c r="X341" i="1" s="1"/>
  <c r="Z341" i="1" s="1"/>
  <c r="AB341" i="1" s="1"/>
  <c r="AD341" i="1" s="1"/>
  <c r="AF341" i="1" s="1"/>
  <c r="AH341" i="1" s="1"/>
  <c r="AJ341" i="1" s="1"/>
  <c r="O342" i="1"/>
  <c r="Q342" i="1" s="1"/>
  <c r="S342" i="1" s="1"/>
  <c r="U342" i="1" s="1"/>
  <c r="W342" i="1" s="1"/>
  <c r="Y342" i="1" s="1"/>
  <c r="AA342" i="1" s="1"/>
  <c r="AC342" i="1" s="1"/>
  <c r="AE342" i="1" s="1"/>
  <c r="AG342" i="1" s="1"/>
  <c r="AI342" i="1" s="1"/>
  <c r="P342" i="1"/>
  <c r="R342" i="1" s="1"/>
  <c r="T342" i="1" s="1"/>
  <c r="V342" i="1" s="1"/>
  <c r="X342" i="1" s="1"/>
  <c r="Z342" i="1" s="1"/>
  <c r="AB342" i="1" s="1"/>
  <c r="AD342" i="1" s="1"/>
  <c r="AF342" i="1" s="1"/>
  <c r="AH342" i="1" s="1"/>
  <c r="AJ342" i="1" s="1"/>
  <c r="O343" i="1"/>
  <c r="Q343" i="1" s="1"/>
  <c r="S343" i="1" s="1"/>
  <c r="U343" i="1" s="1"/>
  <c r="W343" i="1" s="1"/>
  <c r="Y343" i="1" s="1"/>
  <c r="AA343" i="1" s="1"/>
  <c r="AC343" i="1" s="1"/>
  <c r="AE343" i="1" s="1"/>
  <c r="AG343" i="1" s="1"/>
  <c r="AI343" i="1" s="1"/>
  <c r="P343" i="1"/>
  <c r="R343" i="1" s="1"/>
  <c r="T343" i="1" s="1"/>
  <c r="V343" i="1" s="1"/>
  <c r="X343" i="1" s="1"/>
  <c r="Z343" i="1" s="1"/>
  <c r="AB343" i="1" s="1"/>
  <c r="AD343" i="1" s="1"/>
  <c r="AF343" i="1" s="1"/>
  <c r="AH343" i="1" s="1"/>
  <c r="AJ343" i="1" s="1"/>
  <c r="O344" i="1"/>
  <c r="P344" i="1"/>
  <c r="O345" i="1"/>
  <c r="P345" i="1"/>
  <c r="O346" i="1"/>
  <c r="P346" i="1"/>
  <c r="O347" i="1"/>
  <c r="Q347" i="1" s="1"/>
  <c r="S347" i="1" s="1"/>
  <c r="U347" i="1" s="1"/>
  <c r="W347" i="1" s="1"/>
  <c r="Y347" i="1" s="1"/>
  <c r="AA347" i="1" s="1"/>
  <c r="AC347" i="1" s="1"/>
  <c r="AE347" i="1" s="1"/>
  <c r="AG347" i="1" s="1"/>
  <c r="AI347" i="1" s="1"/>
  <c r="P347" i="1"/>
  <c r="R347" i="1" s="1"/>
  <c r="T347" i="1" s="1"/>
  <c r="V347" i="1" s="1"/>
  <c r="X347" i="1" s="1"/>
  <c r="Z347" i="1" s="1"/>
  <c r="AB347" i="1" s="1"/>
  <c r="AD347" i="1" s="1"/>
  <c r="AF347" i="1" s="1"/>
  <c r="AH347" i="1" s="1"/>
  <c r="AJ347" i="1" s="1"/>
  <c r="O348" i="1"/>
  <c r="Q348" i="1" s="1"/>
  <c r="S348" i="1" s="1"/>
  <c r="U348" i="1" s="1"/>
  <c r="W348" i="1" s="1"/>
  <c r="Y348" i="1" s="1"/>
  <c r="AA348" i="1" s="1"/>
  <c r="AC348" i="1" s="1"/>
  <c r="AE348" i="1" s="1"/>
  <c r="AG348" i="1" s="1"/>
  <c r="AI348" i="1" s="1"/>
  <c r="P348" i="1"/>
  <c r="R348" i="1" s="1"/>
  <c r="T348" i="1" s="1"/>
  <c r="V348" i="1" s="1"/>
  <c r="X348" i="1" s="1"/>
  <c r="Z348" i="1" s="1"/>
  <c r="AB348" i="1" s="1"/>
  <c r="AD348" i="1" s="1"/>
  <c r="AF348" i="1" s="1"/>
  <c r="AH348" i="1" s="1"/>
  <c r="AJ348" i="1" s="1"/>
  <c r="O349" i="1"/>
  <c r="Q349" i="1" s="1"/>
  <c r="S349" i="1" s="1"/>
  <c r="U349" i="1" s="1"/>
  <c r="W349" i="1" s="1"/>
  <c r="Y349" i="1" s="1"/>
  <c r="AA349" i="1" s="1"/>
  <c r="AC349" i="1" s="1"/>
  <c r="AE349" i="1" s="1"/>
  <c r="AG349" i="1" s="1"/>
  <c r="AI349" i="1" s="1"/>
  <c r="P349" i="1"/>
  <c r="R349" i="1" s="1"/>
  <c r="T349" i="1" s="1"/>
  <c r="V349" i="1" s="1"/>
  <c r="X349" i="1" s="1"/>
  <c r="Z349" i="1" s="1"/>
  <c r="AB349" i="1" s="1"/>
  <c r="AD349" i="1" s="1"/>
  <c r="AF349" i="1" s="1"/>
  <c r="AH349" i="1" s="1"/>
  <c r="AJ349" i="1" s="1"/>
  <c r="O350" i="1"/>
  <c r="Q350" i="1" s="1"/>
  <c r="S350" i="1" s="1"/>
  <c r="U350" i="1" s="1"/>
  <c r="W350" i="1" s="1"/>
  <c r="Y350" i="1" s="1"/>
  <c r="AA350" i="1" s="1"/>
  <c r="AC350" i="1" s="1"/>
  <c r="AE350" i="1" s="1"/>
  <c r="AG350" i="1" s="1"/>
  <c r="AI350" i="1" s="1"/>
  <c r="P350" i="1"/>
  <c r="R350" i="1" s="1"/>
  <c r="T350" i="1" s="1"/>
  <c r="V350" i="1" s="1"/>
  <c r="X350" i="1" s="1"/>
  <c r="Z350" i="1" s="1"/>
  <c r="AB350" i="1" s="1"/>
  <c r="AD350" i="1" s="1"/>
  <c r="AF350" i="1" s="1"/>
  <c r="AH350" i="1" s="1"/>
  <c r="AJ350" i="1" s="1"/>
  <c r="O351" i="1"/>
  <c r="Q351" i="1" s="1"/>
  <c r="S351" i="1" s="1"/>
  <c r="U351" i="1" s="1"/>
  <c r="W351" i="1" s="1"/>
  <c r="Y351" i="1" s="1"/>
  <c r="AA351" i="1" s="1"/>
  <c r="AC351" i="1" s="1"/>
  <c r="AE351" i="1" s="1"/>
  <c r="AG351" i="1" s="1"/>
  <c r="AI351" i="1" s="1"/>
  <c r="P351" i="1"/>
  <c r="R351" i="1" s="1"/>
  <c r="T351" i="1" s="1"/>
  <c r="V351" i="1" s="1"/>
  <c r="X351" i="1" s="1"/>
  <c r="Z351" i="1" s="1"/>
  <c r="AB351" i="1" s="1"/>
  <c r="AD351" i="1" s="1"/>
  <c r="AF351" i="1" s="1"/>
  <c r="AH351" i="1" s="1"/>
  <c r="AJ351" i="1" s="1"/>
  <c r="O352" i="1"/>
  <c r="Q352" i="1" s="1"/>
  <c r="S352" i="1" s="1"/>
  <c r="U352" i="1" s="1"/>
  <c r="W352" i="1" s="1"/>
  <c r="Y352" i="1" s="1"/>
  <c r="AA352" i="1" s="1"/>
  <c r="AC352" i="1" s="1"/>
  <c r="AE352" i="1" s="1"/>
  <c r="AG352" i="1" s="1"/>
  <c r="AI352" i="1" s="1"/>
  <c r="P352" i="1"/>
  <c r="R352" i="1" s="1"/>
  <c r="T352" i="1" s="1"/>
  <c r="V352" i="1" s="1"/>
  <c r="X352" i="1" s="1"/>
  <c r="Z352" i="1" s="1"/>
  <c r="AB352" i="1" s="1"/>
  <c r="AD352" i="1" s="1"/>
  <c r="AF352" i="1" s="1"/>
  <c r="AH352" i="1" s="1"/>
  <c r="AJ352" i="1" s="1"/>
  <c r="O353" i="1"/>
  <c r="Q353" i="1" s="1"/>
  <c r="S353" i="1" s="1"/>
  <c r="U353" i="1" s="1"/>
  <c r="W353" i="1" s="1"/>
  <c r="Y353" i="1" s="1"/>
  <c r="AA353" i="1" s="1"/>
  <c r="AC353" i="1" s="1"/>
  <c r="AE353" i="1" s="1"/>
  <c r="AG353" i="1" s="1"/>
  <c r="AI353" i="1" s="1"/>
  <c r="P353" i="1"/>
  <c r="R353" i="1" s="1"/>
  <c r="T353" i="1" s="1"/>
  <c r="V353" i="1" s="1"/>
  <c r="X353" i="1" s="1"/>
  <c r="Z353" i="1" s="1"/>
  <c r="AB353" i="1" s="1"/>
  <c r="AD353" i="1" s="1"/>
  <c r="AF353" i="1" s="1"/>
  <c r="AH353" i="1" s="1"/>
  <c r="AJ353" i="1" s="1"/>
  <c r="O354" i="1"/>
  <c r="Q354" i="1" s="1"/>
  <c r="S354" i="1" s="1"/>
  <c r="U354" i="1" s="1"/>
  <c r="W354" i="1" s="1"/>
  <c r="Y354" i="1" s="1"/>
  <c r="AA354" i="1" s="1"/>
  <c r="AC354" i="1" s="1"/>
  <c r="AE354" i="1" s="1"/>
  <c r="AG354" i="1" s="1"/>
  <c r="AI354" i="1" s="1"/>
  <c r="P354" i="1"/>
  <c r="R354" i="1" s="1"/>
  <c r="T354" i="1" s="1"/>
  <c r="V354" i="1" s="1"/>
  <c r="X354" i="1" s="1"/>
  <c r="Z354" i="1" s="1"/>
  <c r="AB354" i="1" s="1"/>
  <c r="AD354" i="1" s="1"/>
  <c r="AF354" i="1" s="1"/>
  <c r="AH354" i="1" s="1"/>
  <c r="AJ354" i="1" s="1"/>
  <c r="O355" i="1"/>
  <c r="Q355" i="1" s="1"/>
  <c r="S355" i="1" s="1"/>
  <c r="U355" i="1" s="1"/>
  <c r="W355" i="1" s="1"/>
  <c r="Y355" i="1" s="1"/>
  <c r="AA355" i="1" s="1"/>
  <c r="AC355" i="1" s="1"/>
  <c r="AE355" i="1" s="1"/>
  <c r="AG355" i="1" s="1"/>
  <c r="AI355" i="1" s="1"/>
  <c r="P355" i="1"/>
  <c r="R355" i="1" s="1"/>
  <c r="T355" i="1" s="1"/>
  <c r="V355" i="1" s="1"/>
  <c r="X355" i="1" s="1"/>
  <c r="Z355" i="1" s="1"/>
  <c r="AB355" i="1" s="1"/>
  <c r="AD355" i="1" s="1"/>
  <c r="AF355" i="1" s="1"/>
  <c r="AH355" i="1" s="1"/>
  <c r="AJ355" i="1" s="1"/>
  <c r="O356" i="1"/>
  <c r="Q356" i="1" s="1"/>
  <c r="S356" i="1" s="1"/>
  <c r="U356" i="1" s="1"/>
  <c r="W356" i="1" s="1"/>
  <c r="Y356" i="1" s="1"/>
  <c r="AA356" i="1" s="1"/>
  <c r="AC356" i="1" s="1"/>
  <c r="AE356" i="1" s="1"/>
  <c r="AG356" i="1" s="1"/>
  <c r="AI356" i="1" s="1"/>
  <c r="P356" i="1"/>
  <c r="R356" i="1" s="1"/>
  <c r="T356" i="1" s="1"/>
  <c r="V356" i="1" s="1"/>
  <c r="X356" i="1" s="1"/>
  <c r="Z356" i="1" s="1"/>
  <c r="AB356" i="1" s="1"/>
  <c r="AD356" i="1" s="1"/>
  <c r="AF356" i="1" s="1"/>
  <c r="AH356" i="1" s="1"/>
  <c r="AJ356" i="1" s="1"/>
  <c r="O357" i="1"/>
  <c r="Q357" i="1" s="1"/>
  <c r="S357" i="1" s="1"/>
  <c r="U357" i="1" s="1"/>
  <c r="W357" i="1" s="1"/>
  <c r="Y357" i="1" s="1"/>
  <c r="AA357" i="1" s="1"/>
  <c r="AC357" i="1" s="1"/>
  <c r="AE357" i="1" s="1"/>
  <c r="AG357" i="1" s="1"/>
  <c r="AI357" i="1" s="1"/>
  <c r="P357" i="1"/>
  <c r="R357" i="1" s="1"/>
  <c r="T357" i="1" s="1"/>
  <c r="V357" i="1" s="1"/>
  <c r="X357" i="1" s="1"/>
  <c r="Z357" i="1" s="1"/>
  <c r="AB357" i="1" s="1"/>
  <c r="AD357" i="1" s="1"/>
  <c r="AF357" i="1" s="1"/>
  <c r="AH357" i="1" s="1"/>
  <c r="AJ357" i="1" s="1"/>
  <c r="O358" i="1"/>
  <c r="Q358" i="1" s="1"/>
  <c r="S358" i="1" s="1"/>
  <c r="U358" i="1" s="1"/>
  <c r="W358" i="1" s="1"/>
  <c r="Y358" i="1" s="1"/>
  <c r="AA358" i="1" s="1"/>
  <c r="AC358" i="1" s="1"/>
  <c r="AE358" i="1" s="1"/>
  <c r="AG358" i="1" s="1"/>
  <c r="AI358" i="1" s="1"/>
  <c r="P358" i="1"/>
  <c r="R358" i="1" s="1"/>
  <c r="T358" i="1" s="1"/>
  <c r="V358" i="1" s="1"/>
  <c r="X358" i="1" s="1"/>
  <c r="Z358" i="1" s="1"/>
  <c r="AB358" i="1" s="1"/>
  <c r="AD358" i="1" s="1"/>
  <c r="AF358" i="1" s="1"/>
  <c r="AH358" i="1" s="1"/>
  <c r="AJ358" i="1" s="1"/>
  <c r="O359" i="1"/>
  <c r="Q359" i="1" s="1"/>
  <c r="S359" i="1" s="1"/>
  <c r="U359" i="1" s="1"/>
  <c r="W359" i="1" s="1"/>
  <c r="Y359" i="1" s="1"/>
  <c r="AA359" i="1" s="1"/>
  <c r="AC359" i="1" s="1"/>
  <c r="AE359" i="1" s="1"/>
  <c r="AG359" i="1" s="1"/>
  <c r="AI359" i="1" s="1"/>
  <c r="P359" i="1"/>
  <c r="R359" i="1" s="1"/>
  <c r="T359" i="1" s="1"/>
  <c r="V359" i="1" s="1"/>
  <c r="X359" i="1" s="1"/>
  <c r="Z359" i="1" s="1"/>
  <c r="AB359" i="1" s="1"/>
  <c r="AD359" i="1" s="1"/>
  <c r="AF359" i="1" s="1"/>
  <c r="AH359" i="1" s="1"/>
  <c r="AJ359" i="1" s="1"/>
  <c r="O360" i="1"/>
  <c r="Q360" i="1" s="1"/>
  <c r="S360" i="1" s="1"/>
  <c r="U360" i="1" s="1"/>
  <c r="W360" i="1" s="1"/>
  <c r="Y360" i="1" s="1"/>
  <c r="AA360" i="1" s="1"/>
  <c r="AC360" i="1" s="1"/>
  <c r="AE360" i="1" s="1"/>
  <c r="AG360" i="1" s="1"/>
  <c r="AI360" i="1" s="1"/>
  <c r="P360" i="1"/>
  <c r="R360" i="1" s="1"/>
  <c r="T360" i="1" s="1"/>
  <c r="V360" i="1" s="1"/>
  <c r="X360" i="1" s="1"/>
  <c r="Z360" i="1" s="1"/>
  <c r="AB360" i="1" s="1"/>
  <c r="AD360" i="1" s="1"/>
  <c r="AF360" i="1" s="1"/>
  <c r="AH360" i="1" s="1"/>
  <c r="AJ360" i="1" s="1"/>
  <c r="O361" i="1"/>
  <c r="Q361" i="1" s="1"/>
  <c r="S361" i="1" s="1"/>
  <c r="U361" i="1" s="1"/>
  <c r="W361" i="1" s="1"/>
  <c r="Y361" i="1" s="1"/>
  <c r="AA361" i="1" s="1"/>
  <c r="AC361" i="1" s="1"/>
  <c r="AE361" i="1" s="1"/>
  <c r="AG361" i="1" s="1"/>
  <c r="AI361" i="1" s="1"/>
  <c r="P361" i="1"/>
  <c r="R361" i="1" s="1"/>
  <c r="T361" i="1" s="1"/>
  <c r="V361" i="1" s="1"/>
  <c r="X361" i="1" s="1"/>
  <c r="Z361" i="1" s="1"/>
  <c r="AB361" i="1" s="1"/>
  <c r="AD361" i="1" s="1"/>
  <c r="AF361" i="1" s="1"/>
  <c r="AH361" i="1" s="1"/>
  <c r="AJ361" i="1" s="1"/>
  <c r="O362" i="1"/>
  <c r="Q362" i="1" s="1"/>
  <c r="S362" i="1" s="1"/>
  <c r="U362" i="1" s="1"/>
  <c r="W362" i="1" s="1"/>
  <c r="Y362" i="1" s="1"/>
  <c r="AA362" i="1" s="1"/>
  <c r="AC362" i="1" s="1"/>
  <c r="AE362" i="1" s="1"/>
  <c r="AG362" i="1" s="1"/>
  <c r="AI362" i="1" s="1"/>
  <c r="P362" i="1"/>
  <c r="R362" i="1" s="1"/>
  <c r="T362" i="1" s="1"/>
  <c r="V362" i="1" s="1"/>
  <c r="X362" i="1" s="1"/>
  <c r="Z362" i="1" s="1"/>
  <c r="AB362" i="1" s="1"/>
  <c r="AD362" i="1" s="1"/>
  <c r="AF362" i="1" s="1"/>
  <c r="AH362" i="1" s="1"/>
  <c r="AJ362" i="1" s="1"/>
  <c r="O363" i="1"/>
  <c r="Q363" i="1" s="1"/>
  <c r="S363" i="1" s="1"/>
  <c r="U363" i="1" s="1"/>
  <c r="W363" i="1" s="1"/>
  <c r="Y363" i="1" s="1"/>
  <c r="AA363" i="1" s="1"/>
  <c r="AC363" i="1" s="1"/>
  <c r="AE363" i="1" s="1"/>
  <c r="AG363" i="1" s="1"/>
  <c r="AI363" i="1" s="1"/>
  <c r="P363" i="1"/>
  <c r="R363" i="1" s="1"/>
  <c r="T363" i="1" s="1"/>
  <c r="V363" i="1" s="1"/>
  <c r="X363" i="1" s="1"/>
  <c r="Z363" i="1" s="1"/>
  <c r="AB363" i="1" s="1"/>
  <c r="AD363" i="1" s="1"/>
  <c r="AF363" i="1" s="1"/>
  <c r="AH363" i="1" s="1"/>
  <c r="AJ363" i="1" s="1"/>
  <c r="O364" i="1"/>
  <c r="Q364" i="1" s="1"/>
  <c r="S364" i="1" s="1"/>
  <c r="U364" i="1" s="1"/>
  <c r="W364" i="1" s="1"/>
  <c r="Y364" i="1" s="1"/>
  <c r="AA364" i="1" s="1"/>
  <c r="AC364" i="1" s="1"/>
  <c r="AE364" i="1" s="1"/>
  <c r="AG364" i="1" s="1"/>
  <c r="AI364" i="1" s="1"/>
  <c r="P364" i="1"/>
  <c r="R364" i="1" s="1"/>
  <c r="T364" i="1" s="1"/>
  <c r="V364" i="1" s="1"/>
  <c r="X364" i="1" s="1"/>
  <c r="Z364" i="1" s="1"/>
  <c r="AB364" i="1" s="1"/>
  <c r="AD364" i="1" s="1"/>
  <c r="AF364" i="1" s="1"/>
  <c r="AH364" i="1" s="1"/>
  <c r="AJ364" i="1" s="1"/>
  <c r="O365" i="1"/>
  <c r="Q365" i="1" s="1"/>
  <c r="S365" i="1" s="1"/>
  <c r="U365" i="1" s="1"/>
  <c r="W365" i="1" s="1"/>
  <c r="Y365" i="1" s="1"/>
  <c r="AA365" i="1" s="1"/>
  <c r="AC365" i="1" s="1"/>
  <c r="AE365" i="1" s="1"/>
  <c r="AG365" i="1" s="1"/>
  <c r="AI365" i="1" s="1"/>
  <c r="P365" i="1"/>
  <c r="R365" i="1" s="1"/>
  <c r="T365" i="1" s="1"/>
  <c r="V365" i="1" s="1"/>
  <c r="X365" i="1" s="1"/>
  <c r="Z365" i="1" s="1"/>
  <c r="AB365" i="1" s="1"/>
  <c r="AD365" i="1" s="1"/>
  <c r="AF365" i="1" s="1"/>
  <c r="AH365" i="1" s="1"/>
  <c r="AJ365" i="1" s="1"/>
  <c r="O366" i="1"/>
  <c r="Q366" i="1" s="1"/>
  <c r="S366" i="1" s="1"/>
  <c r="U366" i="1" s="1"/>
  <c r="W366" i="1" s="1"/>
  <c r="Y366" i="1" s="1"/>
  <c r="AA366" i="1" s="1"/>
  <c r="AC366" i="1" s="1"/>
  <c r="AE366" i="1" s="1"/>
  <c r="AG366" i="1" s="1"/>
  <c r="AI366" i="1" s="1"/>
  <c r="P366" i="1"/>
  <c r="R366" i="1" s="1"/>
  <c r="T366" i="1" s="1"/>
  <c r="V366" i="1" s="1"/>
  <c r="X366" i="1" s="1"/>
  <c r="Z366" i="1" s="1"/>
  <c r="AB366" i="1" s="1"/>
  <c r="AD366" i="1" s="1"/>
  <c r="AF366" i="1" s="1"/>
  <c r="AH366" i="1" s="1"/>
  <c r="AJ366" i="1" s="1"/>
  <c r="O367" i="1"/>
  <c r="Q367" i="1" s="1"/>
  <c r="S367" i="1" s="1"/>
  <c r="U367" i="1" s="1"/>
  <c r="W367" i="1" s="1"/>
  <c r="Y367" i="1" s="1"/>
  <c r="AA367" i="1" s="1"/>
  <c r="AC367" i="1" s="1"/>
  <c r="AE367" i="1" s="1"/>
  <c r="AG367" i="1" s="1"/>
  <c r="AI367" i="1" s="1"/>
  <c r="P367" i="1"/>
  <c r="R367" i="1" s="1"/>
  <c r="T367" i="1" s="1"/>
  <c r="V367" i="1" s="1"/>
  <c r="X367" i="1" s="1"/>
  <c r="Z367" i="1" s="1"/>
  <c r="AB367" i="1" s="1"/>
  <c r="AD367" i="1" s="1"/>
  <c r="AF367" i="1" s="1"/>
  <c r="AH367" i="1" s="1"/>
  <c r="AJ367" i="1" s="1"/>
  <c r="O368" i="1"/>
  <c r="Q368" i="1" s="1"/>
  <c r="S368" i="1" s="1"/>
  <c r="U368" i="1" s="1"/>
  <c r="W368" i="1" s="1"/>
  <c r="Y368" i="1" s="1"/>
  <c r="AA368" i="1" s="1"/>
  <c r="AC368" i="1" s="1"/>
  <c r="AE368" i="1" s="1"/>
  <c r="AG368" i="1" s="1"/>
  <c r="AI368" i="1" s="1"/>
  <c r="P368" i="1"/>
  <c r="R368" i="1" s="1"/>
  <c r="T368" i="1" s="1"/>
  <c r="V368" i="1" s="1"/>
  <c r="X368" i="1" s="1"/>
  <c r="Z368" i="1" s="1"/>
  <c r="AB368" i="1" s="1"/>
  <c r="AD368" i="1" s="1"/>
  <c r="AF368" i="1" s="1"/>
  <c r="AH368" i="1" s="1"/>
  <c r="AJ368" i="1" s="1"/>
  <c r="O369" i="1"/>
  <c r="Q369" i="1" s="1"/>
  <c r="S369" i="1" s="1"/>
  <c r="U369" i="1" s="1"/>
  <c r="W369" i="1" s="1"/>
  <c r="Y369" i="1" s="1"/>
  <c r="AA369" i="1" s="1"/>
  <c r="AC369" i="1" s="1"/>
  <c r="AE369" i="1" s="1"/>
  <c r="AG369" i="1" s="1"/>
  <c r="AI369" i="1" s="1"/>
  <c r="P369" i="1"/>
  <c r="R369" i="1" s="1"/>
  <c r="T369" i="1" s="1"/>
  <c r="V369" i="1" s="1"/>
  <c r="X369" i="1" s="1"/>
  <c r="Z369" i="1" s="1"/>
  <c r="AB369" i="1" s="1"/>
  <c r="AD369" i="1" s="1"/>
  <c r="AF369" i="1" s="1"/>
  <c r="AH369" i="1" s="1"/>
  <c r="AJ369" i="1" s="1"/>
  <c r="O370" i="1"/>
  <c r="Q370" i="1" s="1"/>
  <c r="S370" i="1" s="1"/>
  <c r="U370" i="1" s="1"/>
  <c r="W370" i="1" s="1"/>
  <c r="Y370" i="1" s="1"/>
  <c r="AA370" i="1" s="1"/>
  <c r="AC370" i="1" s="1"/>
  <c r="AE370" i="1" s="1"/>
  <c r="AG370" i="1" s="1"/>
  <c r="AI370" i="1" s="1"/>
  <c r="P370" i="1"/>
  <c r="R370" i="1" s="1"/>
  <c r="T370" i="1" s="1"/>
  <c r="V370" i="1" s="1"/>
  <c r="X370" i="1" s="1"/>
  <c r="Z370" i="1" s="1"/>
  <c r="AB370" i="1" s="1"/>
  <c r="AD370" i="1" s="1"/>
  <c r="AF370" i="1" s="1"/>
  <c r="AH370" i="1" s="1"/>
  <c r="AJ370" i="1" s="1"/>
  <c r="O371" i="1"/>
  <c r="Q371" i="1" s="1"/>
  <c r="S371" i="1" s="1"/>
  <c r="U371" i="1" s="1"/>
  <c r="W371" i="1" s="1"/>
  <c r="Y371" i="1" s="1"/>
  <c r="AA371" i="1" s="1"/>
  <c r="AC371" i="1" s="1"/>
  <c r="AE371" i="1" s="1"/>
  <c r="AG371" i="1" s="1"/>
  <c r="AI371" i="1" s="1"/>
  <c r="P371" i="1"/>
  <c r="R371" i="1" s="1"/>
  <c r="T371" i="1" s="1"/>
  <c r="V371" i="1" s="1"/>
  <c r="X371" i="1" s="1"/>
  <c r="Z371" i="1" s="1"/>
  <c r="AB371" i="1" s="1"/>
  <c r="AD371" i="1" s="1"/>
  <c r="AF371" i="1" s="1"/>
  <c r="AH371" i="1" s="1"/>
  <c r="AJ371" i="1" s="1"/>
  <c r="O372" i="1"/>
  <c r="Q372" i="1" s="1"/>
  <c r="S372" i="1" s="1"/>
  <c r="U372" i="1" s="1"/>
  <c r="W372" i="1" s="1"/>
  <c r="Y372" i="1" s="1"/>
  <c r="AA372" i="1" s="1"/>
  <c r="AC372" i="1" s="1"/>
  <c r="AE372" i="1" s="1"/>
  <c r="AG372" i="1" s="1"/>
  <c r="AI372" i="1" s="1"/>
  <c r="P372" i="1"/>
  <c r="R372" i="1" s="1"/>
  <c r="T372" i="1" s="1"/>
  <c r="V372" i="1" s="1"/>
  <c r="X372" i="1" s="1"/>
  <c r="Z372" i="1" s="1"/>
  <c r="AB372" i="1" s="1"/>
  <c r="AD372" i="1" s="1"/>
  <c r="AF372" i="1" s="1"/>
  <c r="AH372" i="1" s="1"/>
  <c r="AJ372" i="1" s="1"/>
  <c r="O373" i="1"/>
  <c r="Q373" i="1" s="1"/>
  <c r="S373" i="1" s="1"/>
  <c r="U373" i="1" s="1"/>
  <c r="W373" i="1" s="1"/>
  <c r="Y373" i="1" s="1"/>
  <c r="AA373" i="1" s="1"/>
  <c r="AC373" i="1" s="1"/>
  <c r="AE373" i="1" s="1"/>
  <c r="AG373" i="1" s="1"/>
  <c r="AI373" i="1" s="1"/>
  <c r="P373" i="1"/>
  <c r="R373" i="1" s="1"/>
  <c r="T373" i="1" s="1"/>
  <c r="V373" i="1" s="1"/>
  <c r="X373" i="1" s="1"/>
  <c r="Z373" i="1" s="1"/>
  <c r="AB373" i="1" s="1"/>
  <c r="AD373" i="1" s="1"/>
  <c r="AF373" i="1" s="1"/>
  <c r="AH373" i="1" s="1"/>
  <c r="AJ373" i="1" s="1"/>
  <c r="O374" i="1"/>
  <c r="Q374" i="1" s="1"/>
  <c r="S374" i="1" s="1"/>
  <c r="U374" i="1" s="1"/>
  <c r="W374" i="1" s="1"/>
  <c r="Y374" i="1" s="1"/>
  <c r="AA374" i="1" s="1"/>
  <c r="AC374" i="1" s="1"/>
  <c r="AE374" i="1" s="1"/>
  <c r="AG374" i="1" s="1"/>
  <c r="AI374" i="1" s="1"/>
  <c r="P374" i="1"/>
  <c r="R374" i="1" s="1"/>
  <c r="T374" i="1" s="1"/>
  <c r="V374" i="1" s="1"/>
  <c r="X374" i="1" s="1"/>
  <c r="Z374" i="1" s="1"/>
  <c r="AB374" i="1" s="1"/>
  <c r="AD374" i="1" s="1"/>
  <c r="AF374" i="1" s="1"/>
  <c r="AH374" i="1" s="1"/>
  <c r="AJ374" i="1" s="1"/>
  <c r="O375" i="1"/>
  <c r="Q375" i="1" s="1"/>
  <c r="S375" i="1" s="1"/>
  <c r="U375" i="1" s="1"/>
  <c r="W375" i="1" s="1"/>
  <c r="Y375" i="1" s="1"/>
  <c r="AA375" i="1" s="1"/>
  <c r="AC375" i="1" s="1"/>
  <c r="AE375" i="1" s="1"/>
  <c r="AG375" i="1" s="1"/>
  <c r="AI375" i="1" s="1"/>
  <c r="P375" i="1"/>
  <c r="R375" i="1" s="1"/>
  <c r="T375" i="1" s="1"/>
  <c r="V375" i="1" s="1"/>
  <c r="X375" i="1" s="1"/>
  <c r="Z375" i="1" s="1"/>
  <c r="AB375" i="1" s="1"/>
  <c r="AD375" i="1" s="1"/>
  <c r="AF375" i="1" s="1"/>
  <c r="AH375" i="1" s="1"/>
  <c r="AJ375" i="1" s="1"/>
  <c r="O376" i="1"/>
  <c r="Q376" i="1" s="1"/>
  <c r="S376" i="1" s="1"/>
  <c r="U376" i="1" s="1"/>
  <c r="W376" i="1" s="1"/>
  <c r="Y376" i="1" s="1"/>
  <c r="AA376" i="1" s="1"/>
  <c r="AC376" i="1" s="1"/>
  <c r="AE376" i="1" s="1"/>
  <c r="AG376" i="1" s="1"/>
  <c r="AI376" i="1" s="1"/>
  <c r="P376" i="1"/>
  <c r="R376" i="1" s="1"/>
  <c r="T376" i="1" s="1"/>
  <c r="V376" i="1" s="1"/>
  <c r="X376" i="1" s="1"/>
  <c r="Z376" i="1" s="1"/>
  <c r="AB376" i="1" s="1"/>
  <c r="AD376" i="1" s="1"/>
  <c r="AF376" i="1" s="1"/>
  <c r="AH376" i="1" s="1"/>
  <c r="AJ376" i="1" s="1"/>
  <c r="O377" i="1"/>
  <c r="Q377" i="1" s="1"/>
  <c r="S377" i="1" s="1"/>
  <c r="U377" i="1" s="1"/>
  <c r="W377" i="1" s="1"/>
  <c r="Y377" i="1" s="1"/>
  <c r="AA377" i="1" s="1"/>
  <c r="AC377" i="1" s="1"/>
  <c r="AE377" i="1" s="1"/>
  <c r="AG377" i="1" s="1"/>
  <c r="AI377" i="1" s="1"/>
  <c r="P377" i="1"/>
  <c r="R377" i="1" s="1"/>
  <c r="T377" i="1" s="1"/>
  <c r="V377" i="1" s="1"/>
  <c r="X377" i="1" s="1"/>
  <c r="Z377" i="1" s="1"/>
  <c r="AB377" i="1" s="1"/>
  <c r="AD377" i="1" s="1"/>
  <c r="AF377" i="1" s="1"/>
  <c r="AH377" i="1" s="1"/>
  <c r="AJ377" i="1" s="1"/>
  <c r="O378" i="1"/>
  <c r="Q378" i="1" s="1"/>
  <c r="S378" i="1" s="1"/>
  <c r="U378" i="1" s="1"/>
  <c r="W378" i="1" s="1"/>
  <c r="Y378" i="1" s="1"/>
  <c r="AA378" i="1" s="1"/>
  <c r="AC378" i="1" s="1"/>
  <c r="AE378" i="1" s="1"/>
  <c r="AG378" i="1" s="1"/>
  <c r="AI378" i="1" s="1"/>
  <c r="P378" i="1"/>
  <c r="R378" i="1" s="1"/>
  <c r="T378" i="1" s="1"/>
  <c r="V378" i="1" s="1"/>
  <c r="X378" i="1" s="1"/>
  <c r="Z378" i="1" s="1"/>
  <c r="AB378" i="1" s="1"/>
  <c r="AD378" i="1" s="1"/>
  <c r="AF378" i="1" s="1"/>
  <c r="AH378" i="1" s="1"/>
  <c r="AJ378" i="1" s="1"/>
  <c r="O379" i="1"/>
  <c r="Q379" i="1" s="1"/>
  <c r="S379" i="1" s="1"/>
  <c r="U379" i="1" s="1"/>
  <c r="W379" i="1" s="1"/>
  <c r="Y379" i="1" s="1"/>
  <c r="AA379" i="1" s="1"/>
  <c r="AC379" i="1" s="1"/>
  <c r="AE379" i="1" s="1"/>
  <c r="AG379" i="1" s="1"/>
  <c r="AI379" i="1" s="1"/>
  <c r="P379" i="1"/>
  <c r="R379" i="1" s="1"/>
  <c r="T379" i="1" s="1"/>
  <c r="V379" i="1" s="1"/>
  <c r="X379" i="1" s="1"/>
  <c r="Z379" i="1" s="1"/>
  <c r="AB379" i="1" s="1"/>
  <c r="AD379" i="1" s="1"/>
  <c r="AF379" i="1" s="1"/>
  <c r="AH379" i="1" s="1"/>
  <c r="AJ379" i="1" s="1"/>
  <c r="O380" i="1"/>
  <c r="Q380" i="1" s="1"/>
  <c r="S380" i="1" s="1"/>
  <c r="U380" i="1" s="1"/>
  <c r="W380" i="1" s="1"/>
  <c r="Y380" i="1" s="1"/>
  <c r="AA380" i="1" s="1"/>
  <c r="AC380" i="1" s="1"/>
  <c r="AE380" i="1" s="1"/>
  <c r="AG380" i="1" s="1"/>
  <c r="AI380" i="1" s="1"/>
  <c r="P380" i="1"/>
  <c r="R380" i="1" s="1"/>
  <c r="T380" i="1" s="1"/>
  <c r="V380" i="1" s="1"/>
  <c r="X380" i="1" s="1"/>
  <c r="Z380" i="1" s="1"/>
  <c r="AB380" i="1" s="1"/>
  <c r="AD380" i="1" s="1"/>
  <c r="AF380" i="1" s="1"/>
  <c r="AH380" i="1" s="1"/>
  <c r="AJ380" i="1" s="1"/>
  <c r="O381" i="1"/>
  <c r="Q381" i="1" s="1"/>
  <c r="S381" i="1" s="1"/>
  <c r="U381" i="1" s="1"/>
  <c r="W381" i="1" s="1"/>
  <c r="Y381" i="1" s="1"/>
  <c r="AA381" i="1" s="1"/>
  <c r="AC381" i="1" s="1"/>
  <c r="AE381" i="1" s="1"/>
  <c r="AG381" i="1" s="1"/>
  <c r="AI381" i="1" s="1"/>
  <c r="P381" i="1"/>
  <c r="R381" i="1" s="1"/>
  <c r="T381" i="1" s="1"/>
  <c r="V381" i="1" s="1"/>
  <c r="X381" i="1" s="1"/>
  <c r="Z381" i="1" s="1"/>
  <c r="AB381" i="1" s="1"/>
  <c r="AD381" i="1" s="1"/>
  <c r="AF381" i="1" s="1"/>
  <c r="AH381" i="1" s="1"/>
  <c r="AJ381" i="1" s="1"/>
  <c r="O382" i="1"/>
  <c r="Q382" i="1" s="1"/>
  <c r="S382" i="1" s="1"/>
  <c r="U382" i="1" s="1"/>
  <c r="W382" i="1" s="1"/>
  <c r="Y382" i="1" s="1"/>
  <c r="AA382" i="1" s="1"/>
  <c r="AC382" i="1" s="1"/>
  <c r="AE382" i="1" s="1"/>
  <c r="AG382" i="1" s="1"/>
  <c r="AI382" i="1" s="1"/>
  <c r="P382" i="1"/>
  <c r="R382" i="1" s="1"/>
  <c r="T382" i="1" s="1"/>
  <c r="V382" i="1" s="1"/>
  <c r="X382" i="1" s="1"/>
  <c r="Z382" i="1" s="1"/>
  <c r="AB382" i="1" s="1"/>
  <c r="AD382" i="1" s="1"/>
  <c r="AF382" i="1" s="1"/>
  <c r="AH382" i="1" s="1"/>
  <c r="AJ382" i="1" s="1"/>
  <c r="O383" i="1"/>
  <c r="Q383" i="1" s="1"/>
  <c r="S383" i="1" s="1"/>
  <c r="U383" i="1" s="1"/>
  <c r="W383" i="1" s="1"/>
  <c r="Y383" i="1" s="1"/>
  <c r="AA383" i="1" s="1"/>
  <c r="AC383" i="1" s="1"/>
  <c r="AE383" i="1" s="1"/>
  <c r="AG383" i="1" s="1"/>
  <c r="AI383" i="1" s="1"/>
  <c r="P383" i="1"/>
  <c r="R383" i="1" s="1"/>
  <c r="T383" i="1" s="1"/>
  <c r="V383" i="1" s="1"/>
  <c r="X383" i="1" s="1"/>
  <c r="Z383" i="1" s="1"/>
  <c r="AB383" i="1" s="1"/>
  <c r="AD383" i="1" s="1"/>
  <c r="AF383" i="1" s="1"/>
  <c r="AH383" i="1" s="1"/>
  <c r="AJ383" i="1" s="1"/>
  <c r="O384" i="1"/>
  <c r="Q384" i="1" s="1"/>
  <c r="S384" i="1" s="1"/>
  <c r="U384" i="1" s="1"/>
  <c r="W384" i="1" s="1"/>
  <c r="Y384" i="1" s="1"/>
  <c r="AA384" i="1" s="1"/>
  <c r="AC384" i="1" s="1"/>
  <c r="AE384" i="1" s="1"/>
  <c r="AG384" i="1" s="1"/>
  <c r="AI384" i="1" s="1"/>
  <c r="P384" i="1"/>
  <c r="R384" i="1" s="1"/>
  <c r="T384" i="1" s="1"/>
  <c r="V384" i="1" s="1"/>
  <c r="X384" i="1" s="1"/>
  <c r="Z384" i="1" s="1"/>
  <c r="AB384" i="1" s="1"/>
  <c r="AD384" i="1" s="1"/>
  <c r="AF384" i="1" s="1"/>
  <c r="AH384" i="1" s="1"/>
  <c r="AJ384" i="1" s="1"/>
  <c r="O385" i="1"/>
  <c r="Q385" i="1" s="1"/>
  <c r="S385" i="1" s="1"/>
  <c r="U385" i="1" s="1"/>
  <c r="W385" i="1" s="1"/>
  <c r="Y385" i="1" s="1"/>
  <c r="AA385" i="1" s="1"/>
  <c r="AC385" i="1" s="1"/>
  <c r="AE385" i="1" s="1"/>
  <c r="AG385" i="1" s="1"/>
  <c r="AI385" i="1" s="1"/>
  <c r="P385" i="1"/>
  <c r="R385" i="1" s="1"/>
  <c r="T385" i="1" s="1"/>
  <c r="V385" i="1" s="1"/>
  <c r="X385" i="1" s="1"/>
  <c r="Z385" i="1" s="1"/>
  <c r="AB385" i="1" s="1"/>
  <c r="AD385" i="1" s="1"/>
  <c r="AF385" i="1" s="1"/>
  <c r="AH385" i="1" s="1"/>
  <c r="AJ385" i="1" s="1"/>
  <c r="O386" i="1"/>
  <c r="Q386" i="1" s="1"/>
  <c r="S386" i="1" s="1"/>
  <c r="U386" i="1" s="1"/>
  <c r="W386" i="1" s="1"/>
  <c r="Y386" i="1" s="1"/>
  <c r="AA386" i="1" s="1"/>
  <c r="AC386" i="1" s="1"/>
  <c r="AE386" i="1" s="1"/>
  <c r="AG386" i="1" s="1"/>
  <c r="AI386" i="1" s="1"/>
  <c r="P386" i="1"/>
  <c r="R386" i="1" s="1"/>
  <c r="T386" i="1" s="1"/>
  <c r="V386" i="1" s="1"/>
  <c r="X386" i="1" s="1"/>
  <c r="Z386" i="1" s="1"/>
  <c r="AB386" i="1" s="1"/>
  <c r="AD386" i="1" s="1"/>
  <c r="AF386" i="1" s="1"/>
  <c r="AH386" i="1" s="1"/>
  <c r="AJ386" i="1" s="1"/>
  <c r="O387" i="1"/>
  <c r="Q387" i="1" s="1"/>
  <c r="S387" i="1" s="1"/>
  <c r="U387" i="1" s="1"/>
  <c r="W387" i="1" s="1"/>
  <c r="Y387" i="1" s="1"/>
  <c r="AA387" i="1" s="1"/>
  <c r="AC387" i="1" s="1"/>
  <c r="AE387" i="1" s="1"/>
  <c r="AG387" i="1" s="1"/>
  <c r="AI387" i="1" s="1"/>
  <c r="P387" i="1"/>
  <c r="R387" i="1" s="1"/>
  <c r="T387" i="1" s="1"/>
  <c r="V387" i="1" s="1"/>
  <c r="X387" i="1" s="1"/>
  <c r="Z387" i="1" s="1"/>
  <c r="AB387" i="1" s="1"/>
  <c r="AD387" i="1" s="1"/>
  <c r="AF387" i="1" s="1"/>
  <c r="AH387" i="1" s="1"/>
  <c r="AJ387" i="1" s="1"/>
  <c r="O388" i="1"/>
  <c r="Q388" i="1" s="1"/>
  <c r="S388" i="1" s="1"/>
  <c r="U388" i="1" s="1"/>
  <c r="W388" i="1" s="1"/>
  <c r="Y388" i="1" s="1"/>
  <c r="AA388" i="1" s="1"/>
  <c r="AC388" i="1" s="1"/>
  <c r="AE388" i="1" s="1"/>
  <c r="AG388" i="1" s="1"/>
  <c r="AI388" i="1" s="1"/>
  <c r="P388" i="1"/>
  <c r="R388" i="1" s="1"/>
  <c r="T388" i="1" s="1"/>
  <c r="V388" i="1" s="1"/>
  <c r="X388" i="1" s="1"/>
  <c r="Z388" i="1" s="1"/>
  <c r="AB388" i="1" s="1"/>
  <c r="AD388" i="1" s="1"/>
  <c r="AF388" i="1" s="1"/>
  <c r="AH388" i="1" s="1"/>
  <c r="AJ388" i="1" s="1"/>
  <c r="O389" i="1"/>
  <c r="Q389" i="1" s="1"/>
  <c r="S389" i="1" s="1"/>
  <c r="U389" i="1" s="1"/>
  <c r="W389" i="1" s="1"/>
  <c r="Y389" i="1" s="1"/>
  <c r="AA389" i="1" s="1"/>
  <c r="AC389" i="1" s="1"/>
  <c r="AE389" i="1" s="1"/>
  <c r="AG389" i="1" s="1"/>
  <c r="AI389" i="1" s="1"/>
  <c r="P389" i="1"/>
  <c r="R389" i="1" s="1"/>
  <c r="T389" i="1" s="1"/>
  <c r="V389" i="1" s="1"/>
  <c r="X389" i="1" s="1"/>
  <c r="Z389" i="1" s="1"/>
  <c r="AB389" i="1" s="1"/>
  <c r="AD389" i="1" s="1"/>
  <c r="AF389" i="1" s="1"/>
  <c r="AH389" i="1" s="1"/>
  <c r="AJ389" i="1" s="1"/>
  <c r="O390" i="1"/>
  <c r="Q390" i="1" s="1"/>
  <c r="S390" i="1" s="1"/>
  <c r="U390" i="1" s="1"/>
  <c r="W390" i="1" s="1"/>
  <c r="Y390" i="1" s="1"/>
  <c r="AA390" i="1" s="1"/>
  <c r="AC390" i="1" s="1"/>
  <c r="AE390" i="1" s="1"/>
  <c r="AG390" i="1" s="1"/>
  <c r="AI390" i="1" s="1"/>
  <c r="P390" i="1"/>
  <c r="R390" i="1" s="1"/>
  <c r="T390" i="1" s="1"/>
  <c r="V390" i="1" s="1"/>
  <c r="X390" i="1" s="1"/>
  <c r="Z390" i="1" s="1"/>
  <c r="AB390" i="1" s="1"/>
  <c r="AD390" i="1" s="1"/>
  <c r="AF390" i="1" s="1"/>
  <c r="AH390" i="1" s="1"/>
  <c r="AJ390" i="1" s="1"/>
  <c r="O391" i="1"/>
  <c r="Q391" i="1" s="1"/>
  <c r="S391" i="1" s="1"/>
  <c r="U391" i="1" s="1"/>
  <c r="W391" i="1" s="1"/>
  <c r="Y391" i="1" s="1"/>
  <c r="AA391" i="1" s="1"/>
  <c r="AC391" i="1" s="1"/>
  <c r="AE391" i="1" s="1"/>
  <c r="AG391" i="1" s="1"/>
  <c r="AI391" i="1" s="1"/>
  <c r="P391" i="1"/>
  <c r="R391" i="1" s="1"/>
  <c r="T391" i="1" s="1"/>
  <c r="V391" i="1" s="1"/>
  <c r="X391" i="1" s="1"/>
  <c r="Z391" i="1" s="1"/>
  <c r="AB391" i="1" s="1"/>
  <c r="AD391" i="1" s="1"/>
  <c r="AF391" i="1" s="1"/>
  <c r="AH391" i="1" s="1"/>
  <c r="AJ391" i="1" s="1"/>
  <c r="O392" i="1"/>
  <c r="Q392" i="1" s="1"/>
  <c r="S392" i="1" s="1"/>
  <c r="U392" i="1" s="1"/>
  <c r="W392" i="1" s="1"/>
  <c r="Y392" i="1" s="1"/>
  <c r="AA392" i="1" s="1"/>
  <c r="AC392" i="1" s="1"/>
  <c r="AE392" i="1" s="1"/>
  <c r="AG392" i="1" s="1"/>
  <c r="AI392" i="1" s="1"/>
  <c r="P392" i="1"/>
  <c r="R392" i="1" s="1"/>
  <c r="T392" i="1" s="1"/>
  <c r="V392" i="1" s="1"/>
  <c r="X392" i="1" s="1"/>
  <c r="Z392" i="1" s="1"/>
  <c r="AB392" i="1" s="1"/>
  <c r="AD392" i="1" s="1"/>
  <c r="AF392" i="1" s="1"/>
  <c r="AH392" i="1" s="1"/>
  <c r="AJ392" i="1" s="1"/>
  <c r="O393" i="1"/>
  <c r="Q393" i="1" s="1"/>
  <c r="S393" i="1" s="1"/>
  <c r="U393" i="1" s="1"/>
  <c r="W393" i="1" s="1"/>
  <c r="Y393" i="1" s="1"/>
  <c r="AA393" i="1" s="1"/>
  <c r="AC393" i="1" s="1"/>
  <c r="AE393" i="1" s="1"/>
  <c r="AG393" i="1" s="1"/>
  <c r="AI393" i="1" s="1"/>
  <c r="P393" i="1"/>
  <c r="R393" i="1" s="1"/>
  <c r="T393" i="1" s="1"/>
  <c r="V393" i="1" s="1"/>
  <c r="X393" i="1" s="1"/>
  <c r="Z393" i="1" s="1"/>
  <c r="AB393" i="1" s="1"/>
  <c r="AD393" i="1" s="1"/>
  <c r="AF393" i="1" s="1"/>
  <c r="AH393" i="1" s="1"/>
  <c r="AJ393" i="1" s="1"/>
  <c r="O394" i="1"/>
  <c r="Q394" i="1" s="1"/>
  <c r="S394" i="1" s="1"/>
  <c r="U394" i="1" s="1"/>
  <c r="W394" i="1" s="1"/>
  <c r="Y394" i="1" s="1"/>
  <c r="AA394" i="1" s="1"/>
  <c r="AC394" i="1" s="1"/>
  <c r="AE394" i="1" s="1"/>
  <c r="AG394" i="1" s="1"/>
  <c r="AI394" i="1" s="1"/>
  <c r="P394" i="1"/>
  <c r="R394" i="1" s="1"/>
  <c r="T394" i="1" s="1"/>
  <c r="V394" i="1" s="1"/>
  <c r="X394" i="1" s="1"/>
  <c r="Z394" i="1" s="1"/>
  <c r="AB394" i="1" s="1"/>
  <c r="AD394" i="1" s="1"/>
  <c r="AF394" i="1" s="1"/>
  <c r="AH394" i="1" s="1"/>
  <c r="AJ394" i="1" s="1"/>
  <c r="O395" i="1"/>
  <c r="Q395" i="1" s="1"/>
  <c r="S395" i="1" s="1"/>
  <c r="U395" i="1" s="1"/>
  <c r="W395" i="1" s="1"/>
  <c r="Y395" i="1" s="1"/>
  <c r="AA395" i="1" s="1"/>
  <c r="AC395" i="1" s="1"/>
  <c r="AE395" i="1" s="1"/>
  <c r="AG395" i="1" s="1"/>
  <c r="AI395" i="1" s="1"/>
  <c r="P395" i="1"/>
  <c r="R395" i="1" s="1"/>
  <c r="T395" i="1" s="1"/>
  <c r="V395" i="1" s="1"/>
  <c r="X395" i="1" s="1"/>
  <c r="Z395" i="1" s="1"/>
  <c r="AB395" i="1" s="1"/>
  <c r="AD395" i="1" s="1"/>
  <c r="AF395" i="1" s="1"/>
  <c r="AH395" i="1" s="1"/>
  <c r="AJ395" i="1" s="1"/>
  <c r="O396" i="1"/>
  <c r="Q396" i="1" s="1"/>
  <c r="S396" i="1" s="1"/>
  <c r="U396" i="1" s="1"/>
  <c r="W396" i="1" s="1"/>
  <c r="Y396" i="1" s="1"/>
  <c r="AA396" i="1" s="1"/>
  <c r="AC396" i="1" s="1"/>
  <c r="AE396" i="1" s="1"/>
  <c r="AG396" i="1" s="1"/>
  <c r="AI396" i="1" s="1"/>
  <c r="P396" i="1"/>
  <c r="R396" i="1" s="1"/>
  <c r="T396" i="1" s="1"/>
  <c r="V396" i="1" s="1"/>
  <c r="X396" i="1" s="1"/>
  <c r="Z396" i="1" s="1"/>
  <c r="AB396" i="1" s="1"/>
  <c r="AD396" i="1" s="1"/>
  <c r="AF396" i="1" s="1"/>
  <c r="AH396" i="1" s="1"/>
  <c r="AJ396" i="1" s="1"/>
  <c r="O397" i="1"/>
  <c r="Q397" i="1" s="1"/>
  <c r="S397" i="1" s="1"/>
  <c r="U397" i="1" s="1"/>
  <c r="W397" i="1" s="1"/>
  <c r="Y397" i="1" s="1"/>
  <c r="AA397" i="1" s="1"/>
  <c r="AC397" i="1" s="1"/>
  <c r="AE397" i="1" s="1"/>
  <c r="AG397" i="1" s="1"/>
  <c r="AI397" i="1" s="1"/>
  <c r="P397" i="1"/>
  <c r="R397" i="1" s="1"/>
  <c r="T397" i="1" s="1"/>
  <c r="V397" i="1" s="1"/>
  <c r="X397" i="1" s="1"/>
  <c r="Z397" i="1" s="1"/>
  <c r="AB397" i="1" s="1"/>
  <c r="AD397" i="1" s="1"/>
  <c r="AF397" i="1" s="1"/>
  <c r="AH397" i="1" s="1"/>
  <c r="AJ397" i="1" s="1"/>
  <c r="O398" i="1"/>
  <c r="Q398" i="1" s="1"/>
  <c r="S398" i="1" s="1"/>
  <c r="U398" i="1" s="1"/>
  <c r="W398" i="1" s="1"/>
  <c r="Y398" i="1" s="1"/>
  <c r="AA398" i="1" s="1"/>
  <c r="AC398" i="1" s="1"/>
  <c r="AE398" i="1" s="1"/>
  <c r="AG398" i="1" s="1"/>
  <c r="AI398" i="1" s="1"/>
  <c r="P398" i="1"/>
  <c r="R398" i="1" s="1"/>
  <c r="T398" i="1" s="1"/>
  <c r="V398" i="1" s="1"/>
  <c r="X398" i="1" s="1"/>
  <c r="Z398" i="1" s="1"/>
  <c r="AB398" i="1" s="1"/>
  <c r="AD398" i="1" s="1"/>
  <c r="AF398" i="1" s="1"/>
  <c r="AH398" i="1" s="1"/>
  <c r="AJ398" i="1" s="1"/>
  <c r="O399" i="1"/>
  <c r="Q399" i="1" s="1"/>
  <c r="S399" i="1" s="1"/>
  <c r="U399" i="1" s="1"/>
  <c r="W399" i="1" s="1"/>
  <c r="Y399" i="1" s="1"/>
  <c r="AA399" i="1" s="1"/>
  <c r="AC399" i="1" s="1"/>
  <c r="AE399" i="1" s="1"/>
  <c r="AG399" i="1" s="1"/>
  <c r="AI399" i="1" s="1"/>
  <c r="P399" i="1"/>
  <c r="R399" i="1" s="1"/>
  <c r="T399" i="1" s="1"/>
  <c r="V399" i="1" s="1"/>
  <c r="X399" i="1" s="1"/>
  <c r="Z399" i="1" s="1"/>
  <c r="AB399" i="1" s="1"/>
  <c r="AD399" i="1" s="1"/>
  <c r="AF399" i="1" s="1"/>
  <c r="AH399" i="1" s="1"/>
  <c r="AJ399" i="1" s="1"/>
  <c r="O400" i="1"/>
  <c r="Q400" i="1" s="1"/>
  <c r="S400" i="1" s="1"/>
  <c r="U400" i="1" s="1"/>
  <c r="W400" i="1" s="1"/>
  <c r="Y400" i="1" s="1"/>
  <c r="AA400" i="1" s="1"/>
  <c r="AC400" i="1" s="1"/>
  <c r="AE400" i="1" s="1"/>
  <c r="AG400" i="1" s="1"/>
  <c r="AI400" i="1" s="1"/>
  <c r="P400" i="1"/>
  <c r="R400" i="1" s="1"/>
  <c r="T400" i="1" s="1"/>
  <c r="V400" i="1" s="1"/>
  <c r="X400" i="1" s="1"/>
  <c r="Z400" i="1" s="1"/>
  <c r="AB400" i="1" s="1"/>
  <c r="AD400" i="1" s="1"/>
  <c r="AF400" i="1" s="1"/>
  <c r="AH400" i="1" s="1"/>
  <c r="AJ400" i="1" s="1"/>
  <c r="O401" i="1"/>
  <c r="Q401" i="1" s="1"/>
  <c r="S401" i="1" s="1"/>
  <c r="U401" i="1" s="1"/>
  <c r="W401" i="1" s="1"/>
  <c r="Y401" i="1" s="1"/>
  <c r="AA401" i="1" s="1"/>
  <c r="AC401" i="1" s="1"/>
  <c r="AE401" i="1" s="1"/>
  <c r="AG401" i="1" s="1"/>
  <c r="AI401" i="1" s="1"/>
  <c r="P401" i="1"/>
  <c r="R401" i="1" s="1"/>
  <c r="T401" i="1" s="1"/>
  <c r="V401" i="1" s="1"/>
  <c r="X401" i="1" s="1"/>
  <c r="Z401" i="1" s="1"/>
  <c r="AB401" i="1" s="1"/>
  <c r="AD401" i="1" s="1"/>
  <c r="AF401" i="1" s="1"/>
  <c r="AH401" i="1" s="1"/>
  <c r="AJ401" i="1" s="1"/>
  <c r="O402" i="1"/>
  <c r="Q402" i="1" s="1"/>
  <c r="S402" i="1" s="1"/>
  <c r="U402" i="1" s="1"/>
  <c r="W402" i="1" s="1"/>
  <c r="Y402" i="1" s="1"/>
  <c r="AA402" i="1" s="1"/>
  <c r="AC402" i="1" s="1"/>
  <c r="AE402" i="1" s="1"/>
  <c r="AG402" i="1" s="1"/>
  <c r="AI402" i="1" s="1"/>
  <c r="P402" i="1"/>
  <c r="R402" i="1" s="1"/>
  <c r="T402" i="1" s="1"/>
  <c r="V402" i="1" s="1"/>
  <c r="X402" i="1" s="1"/>
  <c r="Z402" i="1" s="1"/>
  <c r="AB402" i="1" s="1"/>
  <c r="AD402" i="1" s="1"/>
  <c r="AF402" i="1" s="1"/>
  <c r="AH402" i="1" s="1"/>
  <c r="AJ402" i="1" s="1"/>
  <c r="O403" i="1"/>
  <c r="Q403" i="1" s="1"/>
  <c r="S403" i="1" s="1"/>
  <c r="U403" i="1" s="1"/>
  <c r="W403" i="1" s="1"/>
  <c r="Y403" i="1" s="1"/>
  <c r="AA403" i="1" s="1"/>
  <c r="AC403" i="1" s="1"/>
  <c r="AE403" i="1" s="1"/>
  <c r="AG403" i="1" s="1"/>
  <c r="AI403" i="1" s="1"/>
  <c r="P403" i="1"/>
  <c r="R403" i="1" s="1"/>
  <c r="T403" i="1" s="1"/>
  <c r="V403" i="1" s="1"/>
  <c r="X403" i="1" s="1"/>
  <c r="Z403" i="1" s="1"/>
  <c r="AB403" i="1" s="1"/>
  <c r="AD403" i="1" s="1"/>
  <c r="AF403" i="1" s="1"/>
  <c r="AH403" i="1" s="1"/>
  <c r="AJ403" i="1" s="1"/>
  <c r="O404" i="1"/>
  <c r="Q404" i="1" s="1"/>
  <c r="S404" i="1" s="1"/>
  <c r="U404" i="1" s="1"/>
  <c r="W404" i="1" s="1"/>
  <c r="Y404" i="1" s="1"/>
  <c r="AA404" i="1" s="1"/>
  <c r="AC404" i="1" s="1"/>
  <c r="AE404" i="1" s="1"/>
  <c r="AG404" i="1" s="1"/>
  <c r="AI404" i="1" s="1"/>
  <c r="P404" i="1"/>
  <c r="R404" i="1" s="1"/>
  <c r="T404" i="1" s="1"/>
  <c r="V404" i="1" s="1"/>
  <c r="X404" i="1" s="1"/>
  <c r="Z404" i="1" s="1"/>
  <c r="AB404" i="1" s="1"/>
  <c r="AD404" i="1" s="1"/>
  <c r="AF404" i="1" s="1"/>
  <c r="AH404" i="1" s="1"/>
  <c r="AJ404" i="1" s="1"/>
  <c r="O405" i="1"/>
  <c r="Q405" i="1" s="1"/>
  <c r="S405" i="1" s="1"/>
  <c r="U405" i="1" s="1"/>
  <c r="W405" i="1" s="1"/>
  <c r="Y405" i="1" s="1"/>
  <c r="AA405" i="1" s="1"/>
  <c r="AC405" i="1" s="1"/>
  <c r="AE405" i="1" s="1"/>
  <c r="AG405" i="1" s="1"/>
  <c r="AI405" i="1" s="1"/>
  <c r="P405" i="1"/>
  <c r="R405" i="1" s="1"/>
  <c r="T405" i="1" s="1"/>
  <c r="V405" i="1" s="1"/>
  <c r="X405" i="1" s="1"/>
  <c r="Z405" i="1" s="1"/>
  <c r="AB405" i="1" s="1"/>
  <c r="AD405" i="1" s="1"/>
  <c r="AF405" i="1" s="1"/>
  <c r="AH405" i="1" s="1"/>
  <c r="AJ405" i="1" s="1"/>
  <c r="O406" i="1"/>
  <c r="Q406" i="1" s="1"/>
  <c r="S406" i="1" s="1"/>
  <c r="U406" i="1" s="1"/>
  <c r="W406" i="1" s="1"/>
  <c r="Y406" i="1" s="1"/>
  <c r="AA406" i="1" s="1"/>
  <c r="AC406" i="1" s="1"/>
  <c r="AE406" i="1" s="1"/>
  <c r="AG406" i="1" s="1"/>
  <c r="AI406" i="1" s="1"/>
  <c r="P406" i="1"/>
  <c r="R406" i="1" s="1"/>
  <c r="T406" i="1" s="1"/>
  <c r="V406" i="1" s="1"/>
  <c r="X406" i="1" s="1"/>
  <c r="Z406" i="1" s="1"/>
  <c r="AB406" i="1" s="1"/>
  <c r="AD406" i="1" s="1"/>
  <c r="AF406" i="1" s="1"/>
  <c r="AH406" i="1" s="1"/>
  <c r="AJ406" i="1" s="1"/>
  <c r="O407" i="1"/>
  <c r="Q407" i="1" s="1"/>
  <c r="S407" i="1" s="1"/>
  <c r="U407" i="1" s="1"/>
  <c r="W407" i="1" s="1"/>
  <c r="Y407" i="1" s="1"/>
  <c r="AA407" i="1" s="1"/>
  <c r="AC407" i="1" s="1"/>
  <c r="AE407" i="1" s="1"/>
  <c r="AG407" i="1" s="1"/>
  <c r="AI407" i="1" s="1"/>
  <c r="P407" i="1"/>
  <c r="R407" i="1" s="1"/>
  <c r="T407" i="1" s="1"/>
  <c r="V407" i="1" s="1"/>
  <c r="X407" i="1" s="1"/>
  <c r="Z407" i="1" s="1"/>
  <c r="AB407" i="1" s="1"/>
  <c r="AD407" i="1" s="1"/>
  <c r="AF407" i="1" s="1"/>
  <c r="AH407" i="1" s="1"/>
  <c r="AJ407" i="1" s="1"/>
  <c r="O408" i="1"/>
  <c r="Q408" i="1" s="1"/>
  <c r="S408" i="1" s="1"/>
  <c r="U408" i="1" s="1"/>
  <c r="W408" i="1" s="1"/>
  <c r="Y408" i="1" s="1"/>
  <c r="AA408" i="1" s="1"/>
  <c r="AC408" i="1" s="1"/>
  <c r="AE408" i="1" s="1"/>
  <c r="AG408" i="1" s="1"/>
  <c r="AI408" i="1" s="1"/>
  <c r="P408" i="1"/>
  <c r="R408" i="1" s="1"/>
  <c r="T408" i="1" s="1"/>
  <c r="V408" i="1" s="1"/>
  <c r="X408" i="1" s="1"/>
  <c r="Z408" i="1" s="1"/>
  <c r="AB408" i="1" s="1"/>
  <c r="AD408" i="1" s="1"/>
  <c r="AF408" i="1" s="1"/>
  <c r="AH408" i="1" s="1"/>
  <c r="AJ408" i="1" s="1"/>
  <c r="O409" i="1"/>
  <c r="Q409" i="1" s="1"/>
  <c r="S409" i="1" s="1"/>
  <c r="U409" i="1" s="1"/>
  <c r="W409" i="1" s="1"/>
  <c r="Y409" i="1" s="1"/>
  <c r="AA409" i="1" s="1"/>
  <c r="AC409" i="1" s="1"/>
  <c r="AE409" i="1" s="1"/>
  <c r="AG409" i="1" s="1"/>
  <c r="AI409" i="1" s="1"/>
  <c r="P409" i="1"/>
  <c r="R409" i="1" s="1"/>
  <c r="T409" i="1" s="1"/>
  <c r="V409" i="1" s="1"/>
  <c r="X409" i="1" s="1"/>
  <c r="Z409" i="1" s="1"/>
  <c r="AB409" i="1" s="1"/>
  <c r="AD409" i="1" s="1"/>
  <c r="AF409" i="1" s="1"/>
  <c r="AH409" i="1" s="1"/>
  <c r="AJ409" i="1" s="1"/>
  <c r="O410" i="1"/>
  <c r="Q410" i="1" s="1"/>
  <c r="S410" i="1" s="1"/>
  <c r="U410" i="1" s="1"/>
  <c r="W410" i="1" s="1"/>
  <c r="Y410" i="1" s="1"/>
  <c r="AA410" i="1" s="1"/>
  <c r="AC410" i="1" s="1"/>
  <c r="AE410" i="1" s="1"/>
  <c r="AG410" i="1" s="1"/>
  <c r="AI410" i="1" s="1"/>
  <c r="P410" i="1"/>
  <c r="R410" i="1" s="1"/>
  <c r="T410" i="1" s="1"/>
  <c r="V410" i="1" s="1"/>
  <c r="X410" i="1" s="1"/>
  <c r="Z410" i="1" s="1"/>
  <c r="AB410" i="1" s="1"/>
  <c r="AD410" i="1" s="1"/>
  <c r="AF410" i="1" s="1"/>
  <c r="AH410" i="1" s="1"/>
  <c r="AJ410" i="1" s="1"/>
  <c r="O411" i="1"/>
  <c r="Q411" i="1" s="1"/>
  <c r="S411" i="1" s="1"/>
  <c r="U411" i="1" s="1"/>
  <c r="W411" i="1" s="1"/>
  <c r="Y411" i="1" s="1"/>
  <c r="AA411" i="1" s="1"/>
  <c r="AC411" i="1" s="1"/>
  <c r="AE411" i="1" s="1"/>
  <c r="AG411" i="1" s="1"/>
  <c r="AI411" i="1" s="1"/>
  <c r="P411" i="1"/>
  <c r="R411" i="1" s="1"/>
  <c r="T411" i="1" s="1"/>
  <c r="V411" i="1" s="1"/>
  <c r="X411" i="1" s="1"/>
  <c r="Z411" i="1" s="1"/>
  <c r="AB411" i="1" s="1"/>
  <c r="AD411" i="1" s="1"/>
  <c r="AF411" i="1" s="1"/>
  <c r="AH411" i="1" s="1"/>
  <c r="AJ411" i="1" s="1"/>
  <c r="O412" i="1"/>
  <c r="Q412" i="1" s="1"/>
  <c r="S412" i="1" s="1"/>
  <c r="U412" i="1" s="1"/>
  <c r="W412" i="1" s="1"/>
  <c r="Y412" i="1" s="1"/>
  <c r="AA412" i="1" s="1"/>
  <c r="AC412" i="1" s="1"/>
  <c r="AE412" i="1" s="1"/>
  <c r="AG412" i="1" s="1"/>
  <c r="AI412" i="1" s="1"/>
  <c r="P412" i="1"/>
  <c r="R412" i="1" s="1"/>
  <c r="T412" i="1" s="1"/>
  <c r="V412" i="1" s="1"/>
  <c r="X412" i="1" s="1"/>
  <c r="Z412" i="1" s="1"/>
  <c r="AB412" i="1" s="1"/>
  <c r="AD412" i="1" s="1"/>
  <c r="AF412" i="1" s="1"/>
  <c r="AH412" i="1" s="1"/>
  <c r="AJ412" i="1" s="1"/>
  <c r="O413" i="1"/>
  <c r="Q413" i="1" s="1"/>
  <c r="S413" i="1" s="1"/>
  <c r="U413" i="1" s="1"/>
  <c r="W413" i="1" s="1"/>
  <c r="Y413" i="1" s="1"/>
  <c r="AA413" i="1" s="1"/>
  <c r="AC413" i="1" s="1"/>
  <c r="AE413" i="1" s="1"/>
  <c r="AG413" i="1" s="1"/>
  <c r="AI413" i="1" s="1"/>
  <c r="P413" i="1"/>
  <c r="R413" i="1" s="1"/>
  <c r="T413" i="1" s="1"/>
  <c r="V413" i="1" s="1"/>
  <c r="X413" i="1" s="1"/>
  <c r="Z413" i="1" s="1"/>
  <c r="AB413" i="1" s="1"/>
  <c r="AD413" i="1" s="1"/>
  <c r="AF413" i="1" s="1"/>
  <c r="AH413" i="1" s="1"/>
  <c r="AJ413" i="1" s="1"/>
  <c r="O414" i="1"/>
  <c r="Q414" i="1" s="1"/>
  <c r="S414" i="1" s="1"/>
  <c r="U414" i="1" s="1"/>
  <c r="W414" i="1" s="1"/>
  <c r="Y414" i="1" s="1"/>
  <c r="AA414" i="1" s="1"/>
  <c r="AC414" i="1" s="1"/>
  <c r="AE414" i="1" s="1"/>
  <c r="AG414" i="1" s="1"/>
  <c r="AI414" i="1" s="1"/>
  <c r="P414" i="1"/>
  <c r="R414" i="1" s="1"/>
  <c r="T414" i="1" s="1"/>
  <c r="V414" i="1" s="1"/>
  <c r="X414" i="1" s="1"/>
  <c r="Z414" i="1" s="1"/>
  <c r="AB414" i="1" s="1"/>
  <c r="AD414" i="1" s="1"/>
  <c r="AF414" i="1" s="1"/>
  <c r="AH414" i="1" s="1"/>
  <c r="AJ414" i="1" s="1"/>
  <c r="O416" i="1"/>
  <c r="Q416" i="1" s="1"/>
  <c r="S416" i="1" s="1"/>
  <c r="U416" i="1" s="1"/>
  <c r="W416" i="1" s="1"/>
  <c r="Y416" i="1" s="1"/>
  <c r="AA416" i="1" s="1"/>
  <c r="AC416" i="1" s="1"/>
  <c r="AE416" i="1" s="1"/>
  <c r="AG416" i="1" s="1"/>
  <c r="AI416" i="1" s="1"/>
  <c r="P416" i="1"/>
  <c r="R416" i="1" s="1"/>
  <c r="T416" i="1" s="1"/>
  <c r="V416" i="1" s="1"/>
  <c r="X416" i="1" s="1"/>
  <c r="Z416" i="1" s="1"/>
  <c r="AB416" i="1" s="1"/>
  <c r="AD416" i="1" s="1"/>
  <c r="AF416" i="1" s="1"/>
  <c r="AH416" i="1" s="1"/>
  <c r="AJ416" i="1" s="1"/>
  <c r="O417" i="1"/>
  <c r="Q417" i="1" s="1"/>
  <c r="S417" i="1" s="1"/>
  <c r="U417" i="1" s="1"/>
  <c r="W417" i="1" s="1"/>
  <c r="Y417" i="1" s="1"/>
  <c r="AA417" i="1" s="1"/>
  <c r="AC417" i="1" s="1"/>
  <c r="AE417" i="1" s="1"/>
  <c r="AG417" i="1" s="1"/>
  <c r="AI417" i="1" s="1"/>
  <c r="P417" i="1"/>
  <c r="R417" i="1" s="1"/>
  <c r="T417" i="1" s="1"/>
  <c r="V417" i="1" s="1"/>
  <c r="X417" i="1" s="1"/>
  <c r="Z417" i="1" s="1"/>
  <c r="AB417" i="1" s="1"/>
  <c r="AD417" i="1" s="1"/>
  <c r="AF417" i="1" s="1"/>
  <c r="AH417" i="1" s="1"/>
  <c r="AJ417" i="1" s="1"/>
  <c r="O418" i="1"/>
  <c r="Q418" i="1" s="1"/>
  <c r="S418" i="1" s="1"/>
  <c r="U418" i="1" s="1"/>
  <c r="W418" i="1" s="1"/>
  <c r="Y418" i="1" s="1"/>
  <c r="AA418" i="1" s="1"/>
  <c r="AC418" i="1" s="1"/>
  <c r="AE418" i="1" s="1"/>
  <c r="AG418" i="1" s="1"/>
  <c r="AI418" i="1" s="1"/>
  <c r="P418" i="1"/>
  <c r="R418" i="1" s="1"/>
  <c r="T418" i="1" s="1"/>
  <c r="V418" i="1" s="1"/>
  <c r="X418" i="1" s="1"/>
  <c r="Z418" i="1" s="1"/>
  <c r="AB418" i="1" s="1"/>
  <c r="AD418" i="1" s="1"/>
  <c r="AF418" i="1" s="1"/>
  <c r="AH418" i="1" s="1"/>
  <c r="AJ418" i="1" s="1"/>
  <c r="O421" i="1"/>
  <c r="Q421" i="1" s="1"/>
  <c r="S421" i="1" s="1"/>
  <c r="U421" i="1" s="1"/>
  <c r="W421" i="1" s="1"/>
  <c r="Y421" i="1" s="1"/>
  <c r="AA421" i="1" s="1"/>
  <c r="AC421" i="1" s="1"/>
  <c r="AE421" i="1" s="1"/>
  <c r="AG421" i="1" s="1"/>
  <c r="AI421" i="1" s="1"/>
  <c r="P421" i="1"/>
  <c r="R421" i="1" s="1"/>
  <c r="T421" i="1" s="1"/>
  <c r="V421" i="1" s="1"/>
  <c r="X421" i="1" s="1"/>
  <c r="Z421" i="1" s="1"/>
  <c r="AB421" i="1" s="1"/>
  <c r="AD421" i="1" s="1"/>
  <c r="AF421" i="1" s="1"/>
  <c r="AH421" i="1" s="1"/>
  <c r="AJ421" i="1" s="1"/>
  <c r="O422" i="1"/>
  <c r="Q422" i="1" s="1"/>
  <c r="S422" i="1" s="1"/>
  <c r="U422" i="1" s="1"/>
  <c r="W422" i="1" s="1"/>
  <c r="Y422" i="1" s="1"/>
  <c r="AA422" i="1" s="1"/>
  <c r="AC422" i="1" s="1"/>
  <c r="AE422" i="1" s="1"/>
  <c r="AG422" i="1" s="1"/>
  <c r="AI422" i="1" s="1"/>
  <c r="P422" i="1"/>
  <c r="R422" i="1" s="1"/>
  <c r="T422" i="1" s="1"/>
  <c r="V422" i="1" s="1"/>
  <c r="X422" i="1" s="1"/>
  <c r="Z422" i="1" s="1"/>
  <c r="AB422" i="1" s="1"/>
  <c r="AD422" i="1" s="1"/>
  <c r="AF422" i="1" s="1"/>
  <c r="AH422" i="1" s="1"/>
  <c r="AJ422" i="1" s="1"/>
  <c r="O423" i="1"/>
  <c r="Q423" i="1" s="1"/>
  <c r="S423" i="1" s="1"/>
  <c r="U423" i="1" s="1"/>
  <c r="W423" i="1" s="1"/>
  <c r="Y423" i="1" s="1"/>
  <c r="AA423" i="1" s="1"/>
  <c r="AC423" i="1" s="1"/>
  <c r="AE423" i="1" s="1"/>
  <c r="AG423" i="1" s="1"/>
  <c r="AI423" i="1" s="1"/>
  <c r="P423" i="1"/>
  <c r="R423" i="1" s="1"/>
  <c r="T423" i="1" s="1"/>
  <c r="V423" i="1" s="1"/>
  <c r="X423" i="1" s="1"/>
  <c r="Z423" i="1" s="1"/>
  <c r="AB423" i="1" s="1"/>
  <c r="AD423" i="1" s="1"/>
  <c r="AF423" i="1" s="1"/>
  <c r="AH423" i="1" s="1"/>
  <c r="AJ423" i="1" s="1"/>
  <c r="O432" i="1"/>
  <c r="Q432" i="1" s="1"/>
  <c r="S432" i="1" s="1"/>
  <c r="U432" i="1" s="1"/>
  <c r="W432" i="1" s="1"/>
  <c r="Y432" i="1" s="1"/>
  <c r="AA432" i="1" s="1"/>
  <c r="AC432" i="1" s="1"/>
  <c r="AE432" i="1" s="1"/>
  <c r="AG432" i="1" s="1"/>
  <c r="AI432" i="1" s="1"/>
  <c r="P432" i="1"/>
  <c r="R432" i="1" s="1"/>
  <c r="T432" i="1" s="1"/>
  <c r="V432" i="1" s="1"/>
  <c r="X432" i="1" s="1"/>
  <c r="Z432" i="1" s="1"/>
  <c r="AB432" i="1" s="1"/>
  <c r="AD432" i="1" s="1"/>
  <c r="AF432" i="1" s="1"/>
  <c r="AH432" i="1" s="1"/>
  <c r="AJ432" i="1" s="1"/>
  <c r="O434" i="1"/>
  <c r="Q434" i="1" s="1"/>
  <c r="S434" i="1" s="1"/>
  <c r="U434" i="1" s="1"/>
  <c r="W434" i="1" s="1"/>
  <c r="Y434" i="1" s="1"/>
  <c r="AA434" i="1" s="1"/>
  <c r="AC434" i="1" s="1"/>
  <c r="AE434" i="1" s="1"/>
  <c r="AG434" i="1" s="1"/>
  <c r="AI434" i="1" s="1"/>
  <c r="P434" i="1"/>
  <c r="R434" i="1" s="1"/>
  <c r="T434" i="1" s="1"/>
  <c r="V434" i="1" s="1"/>
  <c r="X434" i="1" s="1"/>
  <c r="Z434" i="1" s="1"/>
  <c r="AB434" i="1" s="1"/>
  <c r="AD434" i="1" s="1"/>
  <c r="AF434" i="1" s="1"/>
  <c r="AH434" i="1" s="1"/>
  <c r="AJ434" i="1" s="1"/>
  <c r="O435" i="1"/>
  <c r="Q435" i="1" s="1"/>
  <c r="S435" i="1" s="1"/>
  <c r="U435" i="1" s="1"/>
  <c r="W435" i="1" s="1"/>
  <c r="Y435" i="1" s="1"/>
  <c r="AA435" i="1" s="1"/>
  <c r="AC435" i="1" s="1"/>
  <c r="AE435" i="1" s="1"/>
  <c r="AG435" i="1" s="1"/>
  <c r="AI435" i="1" s="1"/>
  <c r="P435" i="1"/>
  <c r="R435" i="1" s="1"/>
  <c r="T435" i="1" s="1"/>
  <c r="V435" i="1" s="1"/>
  <c r="X435" i="1" s="1"/>
  <c r="Z435" i="1" s="1"/>
  <c r="AB435" i="1" s="1"/>
  <c r="AD435" i="1" s="1"/>
  <c r="AF435" i="1" s="1"/>
  <c r="AH435" i="1" s="1"/>
  <c r="AJ435" i="1" s="1"/>
  <c r="O436" i="1"/>
  <c r="Q436" i="1" s="1"/>
  <c r="S436" i="1" s="1"/>
  <c r="U436" i="1" s="1"/>
  <c r="W436" i="1" s="1"/>
  <c r="Y436" i="1" s="1"/>
  <c r="AA436" i="1" s="1"/>
  <c r="AC436" i="1" s="1"/>
  <c r="AE436" i="1" s="1"/>
  <c r="AG436" i="1" s="1"/>
  <c r="AI436" i="1" s="1"/>
  <c r="P436" i="1"/>
  <c r="R436" i="1" s="1"/>
  <c r="T436" i="1" s="1"/>
  <c r="V436" i="1" s="1"/>
  <c r="X436" i="1" s="1"/>
  <c r="Z436" i="1" s="1"/>
  <c r="AB436" i="1" s="1"/>
  <c r="AD436" i="1" s="1"/>
  <c r="AF436" i="1" s="1"/>
  <c r="AH436" i="1" s="1"/>
  <c r="AJ436" i="1" s="1"/>
  <c r="O437" i="1"/>
  <c r="Q437" i="1" s="1"/>
  <c r="S437" i="1" s="1"/>
  <c r="U437" i="1" s="1"/>
  <c r="W437" i="1" s="1"/>
  <c r="Y437" i="1" s="1"/>
  <c r="AA437" i="1" s="1"/>
  <c r="AC437" i="1" s="1"/>
  <c r="AE437" i="1" s="1"/>
  <c r="AG437" i="1" s="1"/>
  <c r="AI437" i="1" s="1"/>
  <c r="P437" i="1"/>
  <c r="R437" i="1" s="1"/>
  <c r="T437" i="1" s="1"/>
  <c r="V437" i="1" s="1"/>
  <c r="X437" i="1" s="1"/>
  <c r="Z437" i="1" s="1"/>
  <c r="AB437" i="1" s="1"/>
  <c r="AD437" i="1" s="1"/>
  <c r="AF437" i="1" s="1"/>
  <c r="AH437" i="1" s="1"/>
  <c r="AJ437" i="1" s="1"/>
  <c r="O438" i="1"/>
  <c r="Q438" i="1" s="1"/>
  <c r="S438" i="1" s="1"/>
  <c r="U438" i="1" s="1"/>
  <c r="W438" i="1" s="1"/>
  <c r="Y438" i="1" s="1"/>
  <c r="AA438" i="1" s="1"/>
  <c r="AC438" i="1" s="1"/>
  <c r="AE438" i="1" s="1"/>
  <c r="AG438" i="1" s="1"/>
  <c r="AI438" i="1" s="1"/>
  <c r="P438" i="1"/>
  <c r="R438" i="1" s="1"/>
  <c r="T438" i="1" s="1"/>
  <c r="V438" i="1" s="1"/>
  <c r="X438" i="1" s="1"/>
  <c r="Z438" i="1" s="1"/>
  <c r="AB438" i="1" s="1"/>
  <c r="AD438" i="1" s="1"/>
  <c r="AF438" i="1" s="1"/>
  <c r="AH438" i="1" s="1"/>
  <c r="AJ438" i="1" s="1"/>
  <c r="O439" i="1"/>
  <c r="Q439" i="1" s="1"/>
  <c r="S439" i="1" s="1"/>
  <c r="U439" i="1" s="1"/>
  <c r="W439" i="1" s="1"/>
  <c r="Y439" i="1" s="1"/>
  <c r="AA439" i="1" s="1"/>
  <c r="AC439" i="1" s="1"/>
  <c r="AE439" i="1" s="1"/>
  <c r="AG439" i="1" s="1"/>
  <c r="AI439" i="1" s="1"/>
  <c r="P439" i="1"/>
  <c r="R439" i="1" s="1"/>
  <c r="T439" i="1" s="1"/>
  <c r="V439" i="1" s="1"/>
  <c r="X439" i="1" s="1"/>
  <c r="Z439" i="1" s="1"/>
  <c r="AB439" i="1" s="1"/>
  <c r="AD439" i="1" s="1"/>
  <c r="AF439" i="1" s="1"/>
  <c r="AH439" i="1" s="1"/>
  <c r="AJ439" i="1" s="1"/>
  <c r="O449" i="1"/>
  <c r="Q449" i="1" s="1"/>
  <c r="S449" i="1" s="1"/>
  <c r="U449" i="1" s="1"/>
  <c r="W449" i="1" s="1"/>
  <c r="Y449" i="1" s="1"/>
  <c r="AA449" i="1" s="1"/>
  <c r="AC449" i="1" s="1"/>
  <c r="AE449" i="1" s="1"/>
  <c r="AG449" i="1" s="1"/>
  <c r="AI449" i="1" s="1"/>
  <c r="P449" i="1"/>
  <c r="R449" i="1" s="1"/>
  <c r="T449" i="1" s="1"/>
  <c r="V449" i="1" s="1"/>
  <c r="X449" i="1" s="1"/>
  <c r="Z449" i="1" s="1"/>
  <c r="AB449" i="1" s="1"/>
  <c r="AD449" i="1" s="1"/>
  <c r="AF449" i="1" s="1"/>
  <c r="AH449" i="1" s="1"/>
  <c r="AJ449" i="1" s="1"/>
  <c r="O450" i="1"/>
  <c r="P450" i="1"/>
  <c r="O451" i="1"/>
  <c r="Q451" i="1" s="1"/>
  <c r="S451" i="1" s="1"/>
  <c r="U451" i="1" s="1"/>
  <c r="W451" i="1" s="1"/>
  <c r="Y451" i="1" s="1"/>
  <c r="AA451" i="1" s="1"/>
  <c r="AC451" i="1" s="1"/>
  <c r="AE451" i="1" s="1"/>
  <c r="AG451" i="1" s="1"/>
  <c r="AI451" i="1" s="1"/>
  <c r="P451" i="1"/>
  <c r="R451" i="1" s="1"/>
  <c r="T451" i="1" s="1"/>
  <c r="V451" i="1" s="1"/>
  <c r="X451" i="1" s="1"/>
  <c r="Z451" i="1" s="1"/>
  <c r="AB451" i="1" s="1"/>
  <c r="AD451" i="1" s="1"/>
  <c r="AF451" i="1" s="1"/>
  <c r="AH451" i="1" s="1"/>
  <c r="AJ451" i="1" s="1"/>
  <c r="O452" i="1"/>
  <c r="Q452" i="1" s="1"/>
  <c r="S452" i="1" s="1"/>
  <c r="U452" i="1" s="1"/>
  <c r="W452" i="1" s="1"/>
  <c r="Y452" i="1" s="1"/>
  <c r="AA452" i="1" s="1"/>
  <c r="AC452" i="1" s="1"/>
  <c r="AE452" i="1" s="1"/>
  <c r="AG452" i="1" s="1"/>
  <c r="AI452" i="1" s="1"/>
  <c r="P452" i="1"/>
  <c r="R452" i="1" s="1"/>
  <c r="T452" i="1" s="1"/>
  <c r="V452" i="1" s="1"/>
  <c r="X452" i="1" s="1"/>
  <c r="Z452" i="1" s="1"/>
  <c r="AB452" i="1" s="1"/>
  <c r="AD452" i="1" s="1"/>
  <c r="AF452" i="1" s="1"/>
  <c r="AH452" i="1" s="1"/>
  <c r="AJ452" i="1" s="1"/>
  <c r="O453" i="1"/>
  <c r="Q453" i="1" s="1"/>
  <c r="S453" i="1" s="1"/>
  <c r="U453" i="1" s="1"/>
  <c r="W453" i="1" s="1"/>
  <c r="Y453" i="1" s="1"/>
  <c r="AA453" i="1" s="1"/>
  <c r="AC453" i="1" s="1"/>
  <c r="AE453" i="1" s="1"/>
  <c r="AG453" i="1" s="1"/>
  <c r="AI453" i="1" s="1"/>
  <c r="P453" i="1"/>
  <c r="R453" i="1" s="1"/>
  <c r="T453" i="1" s="1"/>
  <c r="V453" i="1" s="1"/>
  <c r="X453" i="1" s="1"/>
  <c r="Z453" i="1" s="1"/>
  <c r="AB453" i="1" s="1"/>
  <c r="AD453" i="1" s="1"/>
  <c r="AF453" i="1" s="1"/>
  <c r="AH453" i="1" s="1"/>
  <c r="AJ453" i="1" s="1"/>
  <c r="O456" i="1"/>
  <c r="Q456" i="1" s="1"/>
  <c r="S456" i="1" s="1"/>
  <c r="U456" i="1" s="1"/>
  <c r="W456" i="1" s="1"/>
  <c r="Y456" i="1" s="1"/>
  <c r="AA456" i="1" s="1"/>
  <c r="AC456" i="1" s="1"/>
  <c r="AE456" i="1" s="1"/>
  <c r="AG456" i="1" s="1"/>
  <c r="AI456" i="1" s="1"/>
  <c r="P456" i="1"/>
  <c r="R456" i="1" s="1"/>
  <c r="T456" i="1" s="1"/>
  <c r="V456" i="1" s="1"/>
  <c r="X456" i="1" s="1"/>
  <c r="Z456" i="1" s="1"/>
  <c r="AB456" i="1" s="1"/>
  <c r="AD456" i="1" s="1"/>
  <c r="AF456" i="1" s="1"/>
  <c r="AH456" i="1" s="1"/>
  <c r="AJ456" i="1" s="1"/>
  <c r="O457" i="1"/>
  <c r="Q457" i="1" s="1"/>
  <c r="S457" i="1" s="1"/>
  <c r="U457" i="1" s="1"/>
  <c r="W457" i="1" s="1"/>
  <c r="Y457" i="1" s="1"/>
  <c r="AA457" i="1" s="1"/>
  <c r="AC457" i="1" s="1"/>
  <c r="AE457" i="1" s="1"/>
  <c r="AG457" i="1" s="1"/>
  <c r="AI457" i="1" s="1"/>
  <c r="P457" i="1"/>
  <c r="R457" i="1" s="1"/>
  <c r="T457" i="1" s="1"/>
  <c r="V457" i="1" s="1"/>
  <c r="X457" i="1" s="1"/>
  <c r="Z457" i="1" s="1"/>
  <c r="AB457" i="1" s="1"/>
  <c r="AD457" i="1" s="1"/>
  <c r="AF457" i="1" s="1"/>
  <c r="AH457" i="1" s="1"/>
  <c r="AJ457" i="1" s="1"/>
  <c r="O459" i="1"/>
  <c r="Q459" i="1" s="1"/>
  <c r="S459" i="1" s="1"/>
  <c r="U459" i="1" s="1"/>
  <c r="W459" i="1" s="1"/>
  <c r="Y459" i="1" s="1"/>
  <c r="AA459" i="1" s="1"/>
  <c r="AC459" i="1" s="1"/>
  <c r="AE459" i="1" s="1"/>
  <c r="AG459" i="1" s="1"/>
  <c r="AI459" i="1" s="1"/>
  <c r="P459" i="1"/>
  <c r="R459" i="1" s="1"/>
  <c r="T459" i="1" s="1"/>
  <c r="V459" i="1" s="1"/>
  <c r="X459" i="1" s="1"/>
  <c r="Z459" i="1" s="1"/>
  <c r="AB459" i="1" s="1"/>
  <c r="AD459" i="1" s="1"/>
  <c r="AF459" i="1" s="1"/>
  <c r="AH459" i="1" s="1"/>
  <c r="AJ459" i="1" s="1"/>
  <c r="O460" i="1"/>
  <c r="Q460" i="1" s="1"/>
  <c r="S460" i="1" s="1"/>
  <c r="U460" i="1" s="1"/>
  <c r="W460" i="1" s="1"/>
  <c r="Y460" i="1" s="1"/>
  <c r="AA460" i="1" s="1"/>
  <c r="AC460" i="1" s="1"/>
  <c r="AE460" i="1" s="1"/>
  <c r="AG460" i="1" s="1"/>
  <c r="AI460" i="1" s="1"/>
  <c r="P460" i="1"/>
  <c r="R460" i="1" s="1"/>
  <c r="T460" i="1" s="1"/>
  <c r="V460" i="1" s="1"/>
  <c r="X460" i="1" s="1"/>
  <c r="Z460" i="1" s="1"/>
  <c r="AB460" i="1" s="1"/>
  <c r="AD460" i="1" s="1"/>
  <c r="AF460" i="1" s="1"/>
  <c r="AH460" i="1" s="1"/>
  <c r="AJ460" i="1" s="1"/>
  <c r="O461" i="1"/>
  <c r="Q461" i="1" s="1"/>
  <c r="S461" i="1" s="1"/>
  <c r="U461" i="1" s="1"/>
  <c r="W461" i="1" s="1"/>
  <c r="Y461" i="1" s="1"/>
  <c r="AA461" i="1" s="1"/>
  <c r="AC461" i="1" s="1"/>
  <c r="AE461" i="1" s="1"/>
  <c r="AG461" i="1" s="1"/>
  <c r="AI461" i="1" s="1"/>
  <c r="P461" i="1"/>
  <c r="R461" i="1" s="1"/>
  <c r="T461" i="1" s="1"/>
  <c r="V461" i="1" s="1"/>
  <c r="X461" i="1" s="1"/>
  <c r="Z461" i="1" s="1"/>
  <c r="AB461" i="1" s="1"/>
  <c r="AD461" i="1" s="1"/>
  <c r="AF461" i="1" s="1"/>
  <c r="AH461" i="1" s="1"/>
  <c r="AJ461" i="1" s="1"/>
  <c r="O462" i="1"/>
  <c r="Q462" i="1" s="1"/>
  <c r="S462" i="1" s="1"/>
  <c r="U462" i="1" s="1"/>
  <c r="W462" i="1" s="1"/>
  <c r="Y462" i="1" s="1"/>
  <c r="AA462" i="1" s="1"/>
  <c r="AC462" i="1" s="1"/>
  <c r="AE462" i="1" s="1"/>
  <c r="AG462" i="1" s="1"/>
  <c r="AI462" i="1" s="1"/>
  <c r="P462" i="1"/>
  <c r="R462" i="1" s="1"/>
  <c r="T462" i="1" s="1"/>
  <c r="V462" i="1" s="1"/>
  <c r="X462" i="1" s="1"/>
  <c r="Z462" i="1" s="1"/>
  <c r="AB462" i="1" s="1"/>
  <c r="AD462" i="1" s="1"/>
  <c r="AF462" i="1" s="1"/>
  <c r="AH462" i="1" s="1"/>
  <c r="AJ462" i="1" s="1"/>
  <c r="O463" i="1"/>
  <c r="Q463" i="1" s="1"/>
  <c r="S463" i="1" s="1"/>
  <c r="U463" i="1" s="1"/>
  <c r="W463" i="1" s="1"/>
  <c r="Y463" i="1" s="1"/>
  <c r="AA463" i="1" s="1"/>
  <c r="AC463" i="1" s="1"/>
  <c r="AE463" i="1" s="1"/>
  <c r="AG463" i="1" s="1"/>
  <c r="AI463" i="1" s="1"/>
  <c r="P463" i="1"/>
  <c r="R463" i="1" s="1"/>
  <c r="T463" i="1" s="1"/>
  <c r="V463" i="1" s="1"/>
  <c r="X463" i="1" s="1"/>
  <c r="Z463" i="1" s="1"/>
  <c r="AB463" i="1" s="1"/>
  <c r="AD463" i="1" s="1"/>
  <c r="AF463" i="1" s="1"/>
  <c r="AH463" i="1" s="1"/>
  <c r="AJ463" i="1" s="1"/>
  <c r="O491" i="1"/>
  <c r="Q491" i="1" s="1"/>
  <c r="S491" i="1" s="1"/>
  <c r="U491" i="1" s="1"/>
  <c r="W491" i="1" s="1"/>
  <c r="Y491" i="1" s="1"/>
  <c r="AA491" i="1" s="1"/>
  <c r="AC491" i="1" s="1"/>
  <c r="AE491" i="1" s="1"/>
  <c r="AG491" i="1" s="1"/>
  <c r="AI491" i="1" s="1"/>
  <c r="P491" i="1"/>
  <c r="R491" i="1" s="1"/>
  <c r="T491" i="1" s="1"/>
  <c r="V491" i="1" s="1"/>
  <c r="X491" i="1" s="1"/>
  <c r="Z491" i="1" s="1"/>
  <c r="AB491" i="1" s="1"/>
  <c r="AD491" i="1" s="1"/>
  <c r="AF491" i="1" s="1"/>
  <c r="AH491" i="1" s="1"/>
  <c r="AJ491" i="1" s="1"/>
  <c r="O493" i="1"/>
  <c r="Q493" i="1" s="1"/>
  <c r="S493" i="1" s="1"/>
  <c r="U493" i="1" s="1"/>
  <c r="W493" i="1" s="1"/>
  <c r="Y493" i="1" s="1"/>
  <c r="AA493" i="1" s="1"/>
  <c r="AC493" i="1" s="1"/>
  <c r="AE493" i="1" s="1"/>
  <c r="AG493" i="1" s="1"/>
  <c r="AI493" i="1" s="1"/>
  <c r="P493" i="1"/>
  <c r="R493" i="1" s="1"/>
  <c r="T493" i="1" s="1"/>
  <c r="V493" i="1" s="1"/>
  <c r="X493" i="1" s="1"/>
  <c r="Z493" i="1" s="1"/>
  <c r="AB493" i="1" s="1"/>
  <c r="AD493" i="1" s="1"/>
  <c r="AF493" i="1" s="1"/>
  <c r="AH493" i="1" s="1"/>
  <c r="AJ493" i="1" s="1"/>
  <c r="O494" i="1"/>
  <c r="Q494" i="1" s="1"/>
  <c r="S494" i="1" s="1"/>
  <c r="U494" i="1" s="1"/>
  <c r="W494" i="1" s="1"/>
  <c r="Y494" i="1" s="1"/>
  <c r="AA494" i="1" s="1"/>
  <c r="AC494" i="1" s="1"/>
  <c r="AE494" i="1" s="1"/>
  <c r="AG494" i="1" s="1"/>
  <c r="AI494" i="1" s="1"/>
  <c r="P494" i="1"/>
  <c r="R494" i="1" s="1"/>
  <c r="T494" i="1" s="1"/>
  <c r="V494" i="1" s="1"/>
  <c r="X494" i="1" s="1"/>
  <c r="Z494" i="1" s="1"/>
  <c r="AB494" i="1" s="1"/>
  <c r="AD494" i="1" s="1"/>
  <c r="AF494" i="1" s="1"/>
  <c r="AH494" i="1" s="1"/>
  <c r="AJ494" i="1" s="1"/>
  <c r="O496" i="1"/>
  <c r="Q496" i="1" s="1"/>
  <c r="S496" i="1" s="1"/>
  <c r="U496" i="1" s="1"/>
  <c r="W496" i="1" s="1"/>
  <c r="Y496" i="1" s="1"/>
  <c r="AA496" i="1" s="1"/>
  <c r="AC496" i="1" s="1"/>
  <c r="AE496" i="1" s="1"/>
  <c r="AG496" i="1" s="1"/>
  <c r="AI496" i="1" s="1"/>
  <c r="P496" i="1"/>
  <c r="R496" i="1" s="1"/>
  <c r="T496" i="1" s="1"/>
  <c r="V496" i="1" s="1"/>
  <c r="X496" i="1" s="1"/>
  <c r="Z496" i="1" s="1"/>
  <c r="AB496" i="1" s="1"/>
  <c r="AD496" i="1" s="1"/>
  <c r="AF496" i="1" s="1"/>
  <c r="AH496" i="1" s="1"/>
  <c r="AJ496" i="1" s="1"/>
  <c r="O497" i="1"/>
  <c r="Q497" i="1" s="1"/>
  <c r="S497" i="1" s="1"/>
  <c r="U497" i="1" s="1"/>
  <c r="W497" i="1" s="1"/>
  <c r="Y497" i="1" s="1"/>
  <c r="AA497" i="1" s="1"/>
  <c r="AC497" i="1" s="1"/>
  <c r="AE497" i="1" s="1"/>
  <c r="AG497" i="1" s="1"/>
  <c r="AI497" i="1" s="1"/>
  <c r="P497" i="1"/>
  <c r="R497" i="1" s="1"/>
  <c r="T497" i="1" s="1"/>
  <c r="V497" i="1" s="1"/>
  <c r="X497" i="1" s="1"/>
  <c r="Z497" i="1" s="1"/>
  <c r="AB497" i="1" s="1"/>
  <c r="AD497" i="1" s="1"/>
  <c r="AF497" i="1" s="1"/>
  <c r="AH497" i="1" s="1"/>
  <c r="AJ497" i="1" s="1"/>
  <c r="O498" i="1"/>
  <c r="Q498" i="1" s="1"/>
  <c r="S498" i="1" s="1"/>
  <c r="U498" i="1" s="1"/>
  <c r="W498" i="1" s="1"/>
  <c r="Y498" i="1" s="1"/>
  <c r="AA498" i="1" s="1"/>
  <c r="AC498" i="1" s="1"/>
  <c r="AE498" i="1" s="1"/>
  <c r="AG498" i="1" s="1"/>
  <c r="P498" i="1"/>
  <c r="R498" i="1" s="1"/>
  <c r="T498" i="1" s="1"/>
  <c r="V498" i="1" s="1"/>
  <c r="X498" i="1" s="1"/>
  <c r="Z498" i="1" s="1"/>
  <c r="AB498" i="1" s="1"/>
  <c r="AD498" i="1" s="1"/>
  <c r="AF498" i="1" s="1"/>
  <c r="AH498" i="1" s="1"/>
  <c r="AJ498" i="1" s="1"/>
  <c r="O499" i="1"/>
  <c r="Q499" i="1" s="1"/>
  <c r="S499" i="1" s="1"/>
  <c r="U499" i="1" s="1"/>
  <c r="W499" i="1" s="1"/>
  <c r="Y499" i="1" s="1"/>
  <c r="AA499" i="1" s="1"/>
  <c r="AC499" i="1" s="1"/>
  <c r="AE499" i="1" s="1"/>
  <c r="AG499" i="1" s="1"/>
  <c r="AI499" i="1" s="1"/>
  <c r="P499" i="1"/>
  <c r="R499" i="1" s="1"/>
  <c r="T499" i="1" s="1"/>
  <c r="V499" i="1" s="1"/>
  <c r="X499" i="1" s="1"/>
  <c r="Z499" i="1" s="1"/>
  <c r="AB499" i="1" s="1"/>
  <c r="AD499" i="1" s="1"/>
  <c r="AF499" i="1" s="1"/>
  <c r="AH499" i="1" s="1"/>
  <c r="AJ499" i="1" s="1"/>
  <c r="O500" i="1"/>
  <c r="Q500" i="1" s="1"/>
  <c r="S500" i="1" s="1"/>
  <c r="U500" i="1" s="1"/>
  <c r="W500" i="1" s="1"/>
  <c r="Y500" i="1" s="1"/>
  <c r="AA500" i="1" s="1"/>
  <c r="AC500" i="1" s="1"/>
  <c r="AE500" i="1" s="1"/>
  <c r="AG500" i="1" s="1"/>
  <c r="AI500" i="1" s="1"/>
  <c r="P500" i="1"/>
  <c r="R500" i="1" s="1"/>
  <c r="T500" i="1" s="1"/>
  <c r="V500" i="1" s="1"/>
  <c r="X500" i="1" s="1"/>
  <c r="Z500" i="1" s="1"/>
  <c r="AB500" i="1" s="1"/>
  <c r="AD500" i="1" s="1"/>
  <c r="AF500" i="1" s="1"/>
  <c r="AH500" i="1" s="1"/>
  <c r="AJ500" i="1" s="1"/>
  <c r="O501" i="1"/>
  <c r="Q501" i="1" s="1"/>
  <c r="S501" i="1" s="1"/>
  <c r="U501" i="1" s="1"/>
  <c r="W501" i="1" s="1"/>
  <c r="Y501" i="1" s="1"/>
  <c r="AA501" i="1" s="1"/>
  <c r="AC501" i="1" s="1"/>
  <c r="AE501" i="1" s="1"/>
  <c r="AG501" i="1" s="1"/>
  <c r="AI501" i="1" s="1"/>
  <c r="P501" i="1"/>
  <c r="R501" i="1" s="1"/>
  <c r="T501" i="1" s="1"/>
  <c r="V501" i="1" s="1"/>
  <c r="X501" i="1" s="1"/>
  <c r="Z501" i="1" s="1"/>
  <c r="AB501" i="1" s="1"/>
  <c r="AD501" i="1" s="1"/>
  <c r="AF501" i="1" s="1"/>
  <c r="AH501" i="1" s="1"/>
  <c r="AJ501" i="1" s="1"/>
  <c r="O502" i="1"/>
  <c r="Q502" i="1" s="1"/>
  <c r="S502" i="1" s="1"/>
  <c r="U502" i="1" s="1"/>
  <c r="W502" i="1" s="1"/>
  <c r="Y502" i="1" s="1"/>
  <c r="AA502" i="1" s="1"/>
  <c r="AC502" i="1" s="1"/>
  <c r="AE502" i="1" s="1"/>
  <c r="AG502" i="1" s="1"/>
  <c r="AI502" i="1" s="1"/>
  <c r="P502" i="1"/>
  <c r="R502" i="1" s="1"/>
  <c r="T502" i="1" s="1"/>
  <c r="V502" i="1" s="1"/>
  <c r="X502" i="1" s="1"/>
  <c r="Z502" i="1" s="1"/>
  <c r="AB502" i="1" s="1"/>
  <c r="AD502" i="1" s="1"/>
  <c r="AF502" i="1" s="1"/>
  <c r="AH502" i="1" s="1"/>
  <c r="AJ502" i="1" s="1"/>
  <c r="O503" i="1"/>
  <c r="Q503" i="1" s="1"/>
  <c r="S503" i="1" s="1"/>
  <c r="U503" i="1" s="1"/>
  <c r="W503" i="1" s="1"/>
  <c r="Y503" i="1" s="1"/>
  <c r="AA503" i="1" s="1"/>
  <c r="AC503" i="1" s="1"/>
  <c r="AE503" i="1" s="1"/>
  <c r="AG503" i="1" s="1"/>
  <c r="AI503" i="1" s="1"/>
  <c r="P503" i="1"/>
  <c r="R503" i="1" s="1"/>
  <c r="T503" i="1" s="1"/>
  <c r="V503" i="1" s="1"/>
  <c r="X503" i="1" s="1"/>
  <c r="Z503" i="1" s="1"/>
  <c r="AB503" i="1" s="1"/>
  <c r="AD503" i="1" s="1"/>
  <c r="AF503" i="1" s="1"/>
  <c r="AH503" i="1" s="1"/>
  <c r="AJ503" i="1" s="1"/>
  <c r="O504" i="1"/>
  <c r="Q504" i="1" s="1"/>
  <c r="S504" i="1" s="1"/>
  <c r="U504" i="1" s="1"/>
  <c r="W504" i="1" s="1"/>
  <c r="Y504" i="1" s="1"/>
  <c r="AA504" i="1" s="1"/>
  <c r="AC504" i="1" s="1"/>
  <c r="AE504" i="1" s="1"/>
  <c r="AG504" i="1" s="1"/>
  <c r="AI504" i="1" s="1"/>
  <c r="P504" i="1"/>
  <c r="R504" i="1" s="1"/>
  <c r="T504" i="1" s="1"/>
  <c r="V504" i="1" s="1"/>
  <c r="X504" i="1" s="1"/>
  <c r="Z504" i="1" s="1"/>
  <c r="AB504" i="1" s="1"/>
  <c r="AD504" i="1" s="1"/>
  <c r="AF504" i="1" s="1"/>
  <c r="AH504" i="1" s="1"/>
  <c r="AJ504" i="1" s="1"/>
  <c r="O505" i="1"/>
  <c r="Q505" i="1" s="1"/>
  <c r="S505" i="1" s="1"/>
  <c r="U505" i="1" s="1"/>
  <c r="W505" i="1" s="1"/>
  <c r="Y505" i="1" s="1"/>
  <c r="AA505" i="1" s="1"/>
  <c r="AC505" i="1" s="1"/>
  <c r="AE505" i="1" s="1"/>
  <c r="AG505" i="1" s="1"/>
  <c r="AI505" i="1" s="1"/>
  <c r="P505" i="1"/>
  <c r="R505" i="1" s="1"/>
  <c r="T505" i="1" s="1"/>
  <c r="V505" i="1" s="1"/>
  <c r="X505" i="1" s="1"/>
  <c r="Z505" i="1" s="1"/>
  <c r="AB505" i="1" s="1"/>
  <c r="AD505" i="1" s="1"/>
  <c r="AF505" i="1" s="1"/>
  <c r="AH505" i="1" s="1"/>
  <c r="AJ505" i="1" s="1"/>
  <c r="O506" i="1"/>
  <c r="Q506" i="1" s="1"/>
  <c r="S506" i="1" s="1"/>
  <c r="U506" i="1" s="1"/>
  <c r="W506" i="1" s="1"/>
  <c r="Y506" i="1" s="1"/>
  <c r="AA506" i="1" s="1"/>
  <c r="AC506" i="1" s="1"/>
  <c r="AE506" i="1" s="1"/>
  <c r="AG506" i="1" s="1"/>
  <c r="AI506" i="1" s="1"/>
  <c r="P506" i="1"/>
  <c r="R506" i="1" s="1"/>
  <c r="T506" i="1" s="1"/>
  <c r="V506" i="1" s="1"/>
  <c r="X506" i="1" s="1"/>
  <c r="Z506" i="1" s="1"/>
  <c r="AB506" i="1" s="1"/>
  <c r="AD506" i="1" s="1"/>
  <c r="AF506" i="1" s="1"/>
  <c r="AH506" i="1" s="1"/>
  <c r="AJ506" i="1" s="1"/>
  <c r="O509" i="1"/>
  <c r="Q509" i="1" s="1"/>
  <c r="S509" i="1" s="1"/>
  <c r="U509" i="1" s="1"/>
  <c r="W509" i="1" s="1"/>
  <c r="Y509" i="1" s="1"/>
  <c r="AA509" i="1" s="1"/>
  <c r="AC509" i="1" s="1"/>
  <c r="AE509" i="1" s="1"/>
  <c r="AG509" i="1" s="1"/>
  <c r="AI509" i="1" s="1"/>
  <c r="P509" i="1"/>
  <c r="R509" i="1" s="1"/>
  <c r="T509" i="1" s="1"/>
  <c r="V509" i="1" s="1"/>
  <c r="X509" i="1" s="1"/>
  <c r="Z509" i="1" s="1"/>
  <c r="AB509" i="1" s="1"/>
  <c r="AD509" i="1" s="1"/>
  <c r="AF509" i="1" s="1"/>
  <c r="AH509" i="1" s="1"/>
  <c r="AJ509" i="1" s="1"/>
  <c r="O511" i="1"/>
  <c r="Q511" i="1" s="1"/>
  <c r="S511" i="1" s="1"/>
  <c r="U511" i="1" s="1"/>
  <c r="W511" i="1" s="1"/>
  <c r="Y511" i="1" s="1"/>
  <c r="AA511" i="1" s="1"/>
  <c r="AC511" i="1" s="1"/>
  <c r="AE511" i="1" s="1"/>
  <c r="AG511" i="1" s="1"/>
  <c r="AI511" i="1" s="1"/>
  <c r="P511" i="1"/>
  <c r="R511" i="1" s="1"/>
  <c r="T511" i="1" s="1"/>
  <c r="V511" i="1" s="1"/>
  <c r="X511" i="1" s="1"/>
  <c r="Z511" i="1" s="1"/>
  <c r="AB511" i="1" s="1"/>
  <c r="AD511" i="1" s="1"/>
  <c r="AF511" i="1" s="1"/>
  <c r="AH511" i="1" s="1"/>
  <c r="AJ511" i="1" s="1"/>
  <c r="O512" i="1"/>
  <c r="Q512" i="1" s="1"/>
  <c r="S512" i="1" s="1"/>
  <c r="U512" i="1" s="1"/>
  <c r="W512" i="1" s="1"/>
  <c r="Y512" i="1" s="1"/>
  <c r="AA512" i="1" s="1"/>
  <c r="AC512" i="1" s="1"/>
  <c r="AE512" i="1" s="1"/>
  <c r="AG512" i="1" s="1"/>
  <c r="AI512" i="1" s="1"/>
  <c r="P512" i="1"/>
  <c r="R512" i="1" s="1"/>
  <c r="T512" i="1" s="1"/>
  <c r="V512" i="1" s="1"/>
  <c r="X512" i="1" s="1"/>
  <c r="Z512" i="1" s="1"/>
  <c r="AB512" i="1" s="1"/>
  <c r="AD512" i="1" s="1"/>
  <c r="AF512" i="1" s="1"/>
  <c r="AH512" i="1" s="1"/>
  <c r="AJ512" i="1" s="1"/>
  <c r="O515" i="1"/>
  <c r="Q515" i="1" s="1"/>
  <c r="S515" i="1" s="1"/>
  <c r="U515" i="1" s="1"/>
  <c r="W515" i="1" s="1"/>
  <c r="Y515" i="1" s="1"/>
  <c r="AA515" i="1" s="1"/>
  <c r="AC515" i="1" s="1"/>
  <c r="AE515" i="1" s="1"/>
  <c r="AG515" i="1" s="1"/>
  <c r="AI515" i="1" s="1"/>
  <c r="P515" i="1"/>
  <c r="R515" i="1" s="1"/>
  <c r="T515" i="1" s="1"/>
  <c r="V515" i="1" s="1"/>
  <c r="X515" i="1" s="1"/>
  <c r="Z515" i="1" s="1"/>
  <c r="AB515" i="1" s="1"/>
  <c r="AD515" i="1" s="1"/>
  <c r="AF515" i="1" s="1"/>
  <c r="AH515" i="1" s="1"/>
  <c r="AJ515" i="1" s="1"/>
  <c r="O516" i="1"/>
  <c r="Q516" i="1" s="1"/>
  <c r="S516" i="1" s="1"/>
  <c r="U516" i="1" s="1"/>
  <c r="W516" i="1" s="1"/>
  <c r="Y516" i="1" s="1"/>
  <c r="AA516" i="1" s="1"/>
  <c r="AC516" i="1" s="1"/>
  <c r="AE516" i="1" s="1"/>
  <c r="AG516" i="1" s="1"/>
  <c r="AI516" i="1" s="1"/>
  <c r="P516" i="1"/>
  <c r="R516" i="1" s="1"/>
  <c r="T516" i="1" s="1"/>
  <c r="V516" i="1" s="1"/>
  <c r="X516" i="1" s="1"/>
  <c r="Z516" i="1" s="1"/>
  <c r="AB516" i="1" s="1"/>
  <c r="AD516" i="1" s="1"/>
  <c r="AF516" i="1" s="1"/>
  <c r="AH516" i="1" s="1"/>
  <c r="AJ516" i="1" s="1"/>
  <c r="O518" i="1"/>
  <c r="Q518" i="1" s="1"/>
  <c r="S518" i="1" s="1"/>
  <c r="U518" i="1" s="1"/>
  <c r="W518" i="1" s="1"/>
  <c r="Y518" i="1" s="1"/>
  <c r="AA518" i="1" s="1"/>
  <c r="AC518" i="1" s="1"/>
  <c r="AE518" i="1" s="1"/>
  <c r="AG518" i="1" s="1"/>
  <c r="AI518" i="1" s="1"/>
  <c r="P518" i="1"/>
  <c r="R518" i="1" s="1"/>
  <c r="T518" i="1" s="1"/>
  <c r="V518" i="1" s="1"/>
  <c r="X518" i="1" s="1"/>
  <c r="Z518" i="1" s="1"/>
  <c r="AB518" i="1" s="1"/>
  <c r="AD518" i="1" s="1"/>
  <c r="AF518" i="1" s="1"/>
  <c r="AH518" i="1" s="1"/>
  <c r="AJ518" i="1" s="1"/>
  <c r="O519" i="1"/>
  <c r="Q519" i="1" s="1"/>
  <c r="S519" i="1" s="1"/>
  <c r="U519" i="1" s="1"/>
  <c r="W519" i="1" s="1"/>
  <c r="Y519" i="1" s="1"/>
  <c r="AA519" i="1" s="1"/>
  <c r="AC519" i="1" s="1"/>
  <c r="AE519" i="1" s="1"/>
  <c r="AG519" i="1" s="1"/>
  <c r="AI519" i="1" s="1"/>
  <c r="P519" i="1"/>
  <c r="R519" i="1" s="1"/>
  <c r="T519" i="1" s="1"/>
  <c r="V519" i="1" s="1"/>
  <c r="X519" i="1" s="1"/>
  <c r="Z519" i="1" s="1"/>
  <c r="AB519" i="1" s="1"/>
  <c r="AD519" i="1" s="1"/>
  <c r="AF519" i="1" s="1"/>
  <c r="AH519" i="1" s="1"/>
  <c r="AJ519" i="1" s="1"/>
  <c r="O520" i="1"/>
  <c r="Q520" i="1" s="1"/>
  <c r="S520" i="1" s="1"/>
  <c r="U520" i="1" s="1"/>
  <c r="W520" i="1" s="1"/>
  <c r="Y520" i="1" s="1"/>
  <c r="AA520" i="1" s="1"/>
  <c r="AC520" i="1" s="1"/>
  <c r="AE520" i="1" s="1"/>
  <c r="AG520" i="1" s="1"/>
  <c r="AI520" i="1" s="1"/>
  <c r="P520" i="1"/>
  <c r="R520" i="1" s="1"/>
  <c r="T520" i="1" s="1"/>
  <c r="V520" i="1" s="1"/>
  <c r="X520" i="1" s="1"/>
  <c r="Z520" i="1" s="1"/>
  <c r="AB520" i="1" s="1"/>
  <c r="AD520" i="1" s="1"/>
  <c r="AF520" i="1" s="1"/>
  <c r="AH520" i="1" s="1"/>
  <c r="AJ520" i="1" s="1"/>
  <c r="O521" i="1"/>
  <c r="Q521" i="1" s="1"/>
  <c r="S521" i="1" s="1"/>
  <c r="U521" i="1" s="1"/>
  <c r="W521" i="1" s="1"/>
  <c r="Y521" i="1" s="1"/>
  <c r="AA521" i="1" s="1"/>
  <c r="AC521" i="1" s="1"/>
  <c r="AE521" i="1" s="1"/>
  <c r="AG521" i="1" s="1"/>
  <c r="AI521" i="1" s="1"/>
  <c r="P521" i="1"/>
  <c r="R521" i="1" s="1"/>
  <c r="T521" i="1" s="1"/>
  <c r="V521" i="1" s="1"/>
  <c r="X521" i="1" s="1"/>
  <c r="Z521" i="1" s="1"/>
  <c r="AB521" i="1" s="1"/>
  <c r="AD521" i="1" s="1"/>
  <c r="AF521" i="1" s="1"/>
  <c r="AH521" i="1" s="1"/>
  <c r="AJ521" i="1" s="1"/>
  <c r="O522" i="1"/>
  <c r="Q522" i="1" s="1"/>
  <c r="S522" i="1" s="1"/>
  <c r="U522" i="1" s="1"/>
  <c r="W522" i="1" s="1"/>
  <c r="Y522" i="1" s="1"/>
  <c r="AA522" i="1" s="1"/>
  <c r="AC522" i="1" s="1"/>
  <c r="AE522" i="1" s="1"/>
  <c r="AG522" i="1" s="1"/>
  <c r="AI522" i="1" s="1"/>
  <c r="P522" i="1"/>
  <c r="R522" i="1" s="1"/>
  <c r="T522" i="1" s="1"/>
  <c r="V522" i="1" s="1"/>
  <c r="X522" i="1" s="1"/>
  <c r="Z522" i="1" s="1"/>
  <c r="AB522" i="1" s="1"/>
  <c r="AD522" i="1" s="1"/>
  <c r="AF522" i="1" s="1"/>
  <c r="AH522" i="1" s="1"/>
  <c r="AJ522" i="1" s="1"/>
  <c r="O524" i="1"/>
  <c r="Q524" i="1" s="1"/>
  <c r="S524" i="1" s="1"/>
  <c r="U524" i="1" s="1"/>
  <c r="W524" i="1" s="1"/>
  <c r="Y524" i="1" s="1"/>
  <c r="AA524" i="1" s="1"/>
  <c r="AC524" i="1" s="1"/>
  <c r="AE524" i="1" s="1"/>
  <c r="AG524" i="1" s="1"/>
  <c r="AI524" i="1" s="1"/>
  <c r="P524" i="1"/>
  <c r="R524" i="1" s="1"/>
  <c r="T524" i="1" s="1"/>
  <c r="V524" i="1" s="1"/>
  <c r="X524" i="1" s="1"/>
  <c r="Z524" i="1" s="1"/>
  <c r="AB524" i="1" s="1"/>
  <c r="AD524" i="1" s="1"/>
  <c r="AF524" i="1" s="1"/>
  <c r="AH524" i="1" s="1"/>
  <c r="AJ524" i="1" s="1"/>
  <c r="O528" i="1"/>
  <c r="Q528" i="1" s="1"/>
  <c r="S528" i="1" s="1"/>
  <c r="U528" i="1" s="1"/>
  <c r="W528" i="1" s="1"/>
  <c r="Y528" i="1" s="1"/>
  <c r="AA528" i="1" s="1"/>
  <c r="AC528" i="1" s="1"/>
  <c r="AE528" i="1" s="1"/>
  <c r="AG528" i="1" s="1"/>
  <c r="AI528" i="1" s="1"/>
  <c r="P528" i="1"/>
  <c r="R528" i="1" s="1"/>
  <c r="T528" i="1" s="1"/>
  <c r="V528" i="1" s="1"/>
  <c r="X528" i="1" s="1"/>
  <c r="Z528" i="1" s="1"/>
  <c r="AB528" i="1" s="1"/>
  <c r="AD528" i="1" s="1"/>
  <c r="AF528" i="1" s="1"/>
  <c r="AH528" i="1" s="1"/>
  <c r="AJ528" i="1" s="1"/>
  <c r="O529" i="1"/>
  <c r="Q529" i="1" s="1"/>
  <c r="S529" i="1" s="1"/>
  <c r="U529" i="1" s="1"/>
  <c r="W529" i="1" s="1"/>
  <c r="Y529" i="1" s="1"/>
  <c r="AA529" i="1" s="1"/>
  <c r="AC529" i="1" s="1"/>
  <c r="AE529" i="1" s="1"/>
  <c r="AG529" i="1" s="1"/>
  <c r="AI529" i="1" s="1"/>
  <c r="P529" i="1"/>
  <c r="R529" i="1" s="1"/>
  <c r="T529" i="1" s="1"/>
  <c r="V529" i="1" s="1"/>
  <c r="X529" i="1" s="1"/>
  <c r="Z529" i="1" s="1"/>
  <c r="AB529" i="1" s="1"/>
  <c r="AD529" i="1" s="1"/>
  <c r="AF529" i="1" s="1"/>
  <c r="AH529" i="1" s="1"/>
  <c r="AJ529" i="1" s="1"/>
  <c r="O532" i="1"/>
  <c r="Q532" i="1" s="1"/>
  <c r="S532" i="1" s="1"/>
  <c r="U532" i="1" s="1"/>
  <c r="W532" i="1" s="1"/>
  <c r="Y532" i="1" s="1"/>
  <c r="AA532" i="1" s="1"/>
  <c r="AC532" i="1" s="1"/>
  <c r="AE532" i="1" s="1"/>
  <c r="AG532" i="1" s="1"/>
  <c r="AI532" i="1" s="1"/>
  <c r="P532" i="1"/>
  <c r="R532" i="1" s="1"/>
  <c r="T532" i="1" s="1"/>
  <c r="V532" i="1" s="1"/>
  <c r="X532" i="1" s="1"/>
  <c r="Z532" i="1" s="1"/>
  <c r="AB532" i="1" s="1"/>
  <c r="AD532" i="1" s="1"/>
  <c r="AF532" i="1" s="1"/>
  <c r="AH532" i="1" s="1"/>
  <c r="AJ532" i="1" s="1"/>
  <c r="O533" i="1"/>
  <c r="Q533" i="1" s="1"/>
  <c r="S533" i="1" s="1"/>
  <c r="U533" i="1" s="1"/>
  <c r="W533" i="1" s="1"/>
  <c r="Y533" i="1" s="1"/>
  <c r="AA533" i="1" s="1"/>
  <c r="AC533" i="1" s="1"/>
  <c r="AE533" i="1" s="1"/>
  <c r="AG533" i="1" s="1"/>
  <c r="AI533" i="1" s="1"/>
  <c r="P533" i="1"/>
  <c r="R533" i="1" s="1"/>
  <c r="T533" i="1" s="1"/>
  <c r="V533" i="1" s="1"/>
  <c r="X533" i="1" s="1"/>
  <c r="Z533" i="1" s="1"/>
  <c r="AB533" i="1" s="1"/>
  <c r="AD533" i="1" s="1"/>
  <c r="AF533" i="1" s="1"/>
  <c r="AH533" i="1" s="1"/>
  <c r="AJ533" i="1" s="1"/>
  <c r="O534" i="1"/>
  <c r="Q534" i="1" s="1"/>
  <c r="S534" i="1" s="1"/>
  <c r="U534" i="1" s="1"/>
  <c r="W534" i="1" s="1"/>
  <c r="Y534" i="1" s="1"/>
  <c r="AA534" i="1" s="1"/>
  <c r="AC534" i="1" s="1"/>
  <c r="AE534" i="1" s="1"/>
  <c r="AG534" i="1" s="1"/>
  <c r="AI534" i="1" s="1"/>
  <c r="P534" i="1"/>
  <c r="R534" i="1" s="1"/>
  <c r="T534" i="1" s="1"/>
  <c r="V534" i="1" s="1"/>
  <c r="X534" i="1" s="1"/>
  <c r="Z534" i="1" s="1"/>
  <c r="AB534" i="1" s="1"/>
  <c r="AD534" i="1" s="1"/>
  <c r="AF534" i="1" s="1"/>
  <c r="AH534" i="1" s="1"/>
  <c r="AJ534" i="1" s="1"/>
  <c r="O535" i="1"/>
  <c r="Q535" i="1" s="1"/>
  <c r="S535" i="1" s="1"/>
  <c r="U535" i="1" s="1"/>
  <c r="W535" i="1" s="1"/>
  <c r="Y535" i="1" s="1"/>
  <c r="AA535" i="1" s="1"/>
  <c r="AC535" i="1" s="1"/>
  <c r="AE535" i="1" s="1"/>
  <c r="AG535" i="1" s="1"/>
  <c r="AI535" i="1" s="1"/>
  <c r="P535" i="1"/>
  <c r="R535" i="1" s="1"/>
  <c r="T535" i="1" s="1"/>
  <c r="V535" i="1" s="1"/>
  <c r="X535" i="1" s="1"/>
  <c r="Z535" i="1" s="1"/>
  <c r="AB535" i="1" s="1"/>
  <c r="AD535" i="1" s="1"/>
  <c r="AF535" i="1" s="1"/>
  <c r="AH535" i="1" s="1"/>
  <c r="AJ535" i="1" s="1"/>
  <c r="O536" i="1"/>
  <c r="Q536" i="1" s="1"/>
  <c r="S536" i="1" s="1"/>
  <c r="U536" i="1" s="1"/>
  <c r="W536" i="1" s="1"/>
  <c r="Y536" i="1" s="1"/>
  <c r="AA536" i="1" s="1"/>
  <c r="AC536" i="1" s="1"/>
  <c r="AE536" i="1" s="1"/>
  <c r="AG536" i="1" s="1"/>
  <c r="AI536" i="1" s="1"/>
  <c r="P536" i="1"/>
  <c r="R536" i="1" s="1"/>
  <c r="T536" i="1" s="1"/>
  <c r="V536" i="1" s="1"/>
  <c r="X536" i="1" s="1"/>
  <c r="Z536" i="1" s="1"/>
  <c r="AB536" i="1" s="1"/>
  <c r="AD536" i="1" s="1"/>
  <c r="AF536" i="1" s="1"/>
  <c r="AH536" i="1" s="1"/>
  <c r="AJ536" i="1" s="1"/>
  <c r="O538" i="1"/>
  <c r="Q538" i="1" s="1"/>
  <c r="S538" i="1" s="1"/>
  <c r="U538" i="1" s="1"/>
  <c r="W538" i="1" s="1"/>
  <c r="Y538" i="1" s="1"/>
  <c r="AA538" i="1" s="1"/>
  <c r="AC538" i="1" s="1"/>
  <c r="AE538" i="1" s="1"/>
  <c r="AG538" i="1" s="1"/>
  <c r="AI538" i="1" s="1"/>
  <c r="P538" i="1"/>
  <c r="R538" i="1" s="1"/>
  <c r="T538" i="1" s="1"/>
  <c r="V538" i="1" s="1"/>
  <c r="X538" i="1" s="1"/>
  <c r="Z538" i="1" s="1"/>
  <c r="AB538" i="1" s="1"/>
  <c r="AD538" i="1" s="1"/>
  <c r="AF538" i="1" s="1"/>
  <c r="AH538" i="1" s="1"/>
  <c r="AJ538" i="1" s="1"/>
  <c r="O539" i="1"/>
  <c r="Q539" i="1" s="1"/>
  <c r="S539" i="1" s="1"/>
  <c r="U539" i="1" s="1"/>
  <c r="W539" i="1" s="1"/>
  <c r="Y539" i="1" s="1"/>
  <c r="AA539" i="1" s="1"/>
  <c r="AC539" i="1" s="1"/>
  <c r="AE539" i="1" s="1"/>
  <c r="AG539" i="1" s="1"/>
  <c r="AI539" i="1" s="1"/>
  <c r="P539" i="1"/>
  <c r="R539" i="1" s="1"/>
  <c r="T539" i="1" s="1"/>
  <c r="V539" i="1" s="1"/>
  <c r="X539" i="1" s="1"/>
  <c r="Z539" i="1" s="1"/>
  <c r="AB539" i="1" s="1"/>
  <c r="AD539" i="1" s="1"/>
  <c r="AF539" i="1" s="1"/>
  <c r="AH539" i="1" s="1"/>
  <c r="AJ539" i="1" s="1"/>
  <c r="O540" i="1"/>
  <c r="Q540" i="1" s="1"/>
  <c r="S540" i="1" s="1"/>
  <c r="U540" i="1" s="1"/>
  <c r="W540" i="1" s="1"/>
  <c r="Y540" i="1" s="1"/>
  <c r="AA540" i="1" s="1"/>
  <c r="AC540" i="1" s="1"/>
  <c r="AE540" i="1" s="1"/>
  <c r="AG540" i="1" s="1"/>
  <c r="AI540" i="1" s="1"/>
  <c r="P540" i="1"/>
  <c r="R540" i="1" s="1"/>
  <c r="T540" i="1" s="1"/>
  <c r="V540" i="1" s="1"/>
  <c r="X540" i="1" s="1"/>
  <c r="Z540" i="1" s="1"/>
  <c r="AB540" i="1" s="1"/>
  <c r="AD540" i="1" s="1"/>
  <c r="AF540" i="1" s="1"/>
  <c r="AH540" i="1" s="1"/>
  <c r="AJ540" i="1" s="1"/>
  <c r="O542" i="1"/>
  <c r="P542" i="1"/>
  <c r="R542" i="1" s="1"/>
  <c r="T542" i="1" s="1"/>
  <c r="V542" i="1" s="1"/>
  <c r="X542" i="1" s="1"/>
  <c r="Z542" i="1" s="1"/>
  <c r="AB542" i="1" s="1"/>
  <c r="AD542" i="1" s="1"/>
  <c r="AF542" i="1" s="1"/>
  <c r="AH542" i="1" s="1"/>
  <c r="AJ542" i="1" s="1"/>
  <c r="P543" i="1"/>
  <c r="R543" i="1" s="1"/>
  <c r="T543" i="1" s="1"/>
  <c r="V543" i="1" s="1"/>
  <c r="X543" i="1" s="1"/>
  <c r="Z543" i="1" s="1"/>
  <c r="AB543" i="1" s="1"/>
  <c r="AD543" i="1" s="1"/>
  <c r="AF543" i="1" s="1"/>
  <c r="AH543" i="1" s="1"/>
  <c r="AJ543" i="1" s="1"/>
  <c r="O544" i="1"/>
  <c r="P544" i="1"/>
  <c r="R544" i="1" s="1"/>
  <c r="T544" i="1" s="1"/>
  <c r="V544" i="1" s="1"/>
  <c r="X544" i="1" s="1"/>
  <c r="Z544" i="1" s="1"/>
  <c r="AB544" i="1" s="1"/>
  <c r="AD544" i="1" s="1"/>
  <c r="AF544" i="1" s="1"/>
  <c r="AH544" i="1" s="1"/>
  <c r="AJ544" i="1" s="1"/>
  <c r="O545" i="1"/>
  <c r="P545" i="1"/>
  <c r="R545" i="1" s="1"/>
  <c r="T545" i="1" s="1"/>
  <c r="V545" i="1" s="1"/>
  <c r="X545" i="1" s="1"/>
  <c r="Z545" i="1" s="1"/>
  <c r="AB545" i="1" s="1"/>
  <c r="AD545" i="1" s="1"/>
  <c r="AF545" i="1" s="1"/>
  <c r="AH545" i="1" s="1"/>
  <c r="AJ545" i="1" s="1"/>
  <c r="O543" i="1" l="1"/>
  <c r="P444" i="1"/>
  <c r="R450" i="1"/>
  <c r="T450" i="1" s="1"/>
  <c r="V450" i="1" s="1"/>
  <c r="X450" i="1" s="1"/>
  <c r="Z450" i="1" s="1"/>
  <c r="AB450" i="1" s="1"/>
  <c r="AD450" i="1" s="1"/>
  <c r="AF450" i="1" s="1"/>
  <c r="AH450" i="1" s="1"/>
  <c r="AJ450" i="1" s="1"/>
  <c r="O444" i="1"/>
  <c r="Q450" i="1"/>
  <c r="S450" i="1" s="1"/>
  <c r="U450" i="1" s="1"/>
  <c r="W450" i="1" s="1"/>
  <c r="Y450" i="1" s="1"/>
  <c r="AA450" i="1" s="1"/>
  <c r="AC450" i="1" s="1"/>
  <c r="AE450" i="1" s="1"/>
  <c r="AG450" i="1" s="1"/>
  <c r="AI450" i="1" s="1"/>
</calcChain>
</file>

<file path=xl/sharedStrings.xml><?xml version="1.0" encoding="utf-8"?>
<sst xmlns="http://schemas.openxmlformats.org/spreadsheetml/2006/main" count="4077" uniqueCount="652">
  <si>
    <t>adultos</t>
  </si>
  <si>
    <t>pediátricos</t>
  </si>
  <si>
    <t>CÓDIGO</t>
  </si>
  <si>
    <t>Para prestaciones Nomencladas cuyo valor  se encuentre especificado en el presente tarifario</t>
  </si>
  <si>
    <t xml:space="preserve">
 Santa Clara Zarate
Santa Clara Campana
Centro Medico Talar
Sanatorio Sarmiento
Sagrado Corazon (DACARI)
Santa Clara Avellaneda
Santa Clara Quilmes
Santa Clara Florencio Varela
Santa Clara eva peron de Ramos Mejia 
Sanatorio San Martin 
</t>
  </si>
  <si>
    <t>MEDICAMENTOS (*)</t>
  </si>
  <si>
    <t>KAIROS -10%</t>
  </si>
  <si>
    <t>DESCARTABLES DENTRO DE LAS INCLUSIONES</t>
  </si>
  <si>
    <t>DENTRO DE LAS INCLUSIONES</t>
  </si>
  <si>
    <t>TRASLADOS HASTA 50 KM</t>
  </si>
  <si>
    <t>MODULOS DE  INTERNACIÓN ADULTOS Y PEDIATRIA</t>
  </si>
  <si>
    <t>MÓDULO DÍA CAMA CLÍNICO- PISO</t>
  </si>
  <si>
    <t xml:space="preserve">MÓDULO OBSERVACIÓN EN GUARDIA HASTA 6 HS </t>
  </si>
  <si>
    <t>MÓDULO OBSERVACIÓN EN GUARDIA O PISO HASTA 12 HS.</t>
  </si>
  <si>
    <t xml:space="preserve">MÓDULO DIA CAMA QUIRÚRGICO </t>
  </si>
  <si>
    <t>MÓDULO DIA CAMA QUIRÚRGICO SUBSIGUIENTE</t>
  </si>
  <si>
    <t>MÓDULO UTI/ UCO X DIA- SIN ARM</t>
  </si>
  <si>
    <t>MÓDULO UTI/ UCO X DIA- CON ARM</t>
  </si>
  <si>
    <t>DÍA CAMA ACOMPAÑANTE</t>
  </si>
  <si>
    <t>85 % DIA CAMA</t>
  </si>
  <si>
    <t>90 % DIA CAMA</t>
  </si>
  <si>
    <t>ADICIONAL AISLAMIENTO</t>
  </si>
  <si>
    <t xml:space="preserve">ADICIONAL HABITACIÓN INDIVIDUAL </t>
  </si>
  <si>
    <t>NO CONTRATADA</t>
  </si>
  <si>
    <t xml:space="preserve">CONSULTAS   </t>
  </si>
  <si>
    <t>CONSULTAS MÉDICAS</t>
  </si>
  <si>
    <t xml:space="preserve">CONSULTA GUARDIA PEDIATRICA    </t>
  </si>
  <si>
    <t>INTERCONSULTA  ESPECIALISTA DE URGENCIA</t>
  </si>
  <si>
    <t>INTERCONSULTA  ESPECIALISTA DE URGENCIA PEDIATRICA</t>
  </si>
  <si>
    <t>CONSULTA ESPECIALISTA AMBULATORIA</t>
  </si>
  <si>
    <t>CONSULTA ESPECIALISTA REUMATOLOGIA</t>
  </si>
  <si>
    <t>CONSULTA ESPECIALISTA ENDOCRINOLOGIA</t>
  </si>
  <si>
    <t>CONSULTA ESPECIALISTA HEMATOLOGIA</t>
  </si>
  <si>
    <t>CONSULTA ESPECIALISTA NEUMONOLOGIA</t>
  </si>
  <si>
    <t>CONSULTA ESPECIALISTA INFECTOLOGIA</t>
  </si>
  <si>
    <t>CONSULTA ESPECIALISTA PEDIÁTRICA AMBULATORIA</t>
  </si>
  <si>
    <t xml:space="preserve">CONSULTA ESPECIALISTA EN INTERNACIÓN ADULTO </t>
  </si>
  <si>
    <t xml:space="preserve">CONSULTA ESPECIALISTA EN INTERNACIÓN PEDIÁTRICA </t>
  </si>
  <si>
    <t>NUTRICION</t>
  </si>
  <si>
    <t>CONSULTA LIC. EN NUTRICIÓN</t>
  </si>
  <si>
    <t>SALUD MENTAL</t>
  </si>
  <si>
    <t>CONSULTA PSIQUIATRÍA 1° VEZ</t>
  </si>
  <si>
    <t>CONSULTA PSIQUIATRÍA SUBSIGUIENTE (NARCOTERAPIA-ADICCIONES, ETC.)</t>
  </si>
  <si>
    <t>CONSULTA PSICOLOGÍA 1° VEZ</t>
  </si>
  <si>
    <t>PSICOTERAPIA INDIVIDUAL, POR SESIÓN.</t>
  </si>
  <si>
    <t>PSICOTERAPIA GRUPAL, POR SESIÓN</t>
  </si>
  <si>
    <t>PSICOTERAPIA DE PAREJA O FAMILIAR, POR SESIÓN</t>
  </si>
  <si>
    <t>CONSULTA PSICOPEDAGOGÍA 1° VEZ</t>
  </si>
  <si>
    <t>PSICOPEDAGOGÍA, POR SESIÓN.</t>
  </si>
  <si>
    <t>PRÁCTICAS POR ESPECIALIDAD</t>
  </si>
  <si>
    <t>ALERGIA</t>
  </si>
  <si>
    <t>TEST DE ALERGIA</t>
  </si>
  <si>
    <t xml:space="preserve">TEST DE ALERGIA CON MEDICACIÓN </t>
  </si>
  <si>
    <t>ANATOMIA PATÓLOGICA</t>
  </si>
  <si>
    <t>NN</t>
  </si>
  <si>
    <t>ANATOMIA PATOLÓGICA NOMENCLADA                                        NN  x  403.20   PROPUESTA NN x 340</t>
  </si>
  <si>
    <t>DETECCIÓN ANATOMO PATOLÓGICA DEL HELICOBACTER PYLORI EN MATERIAL DE BP .</t>
  </si>
  <si>
    <t>DETECCION SIBO (COLON) X ASPIRACION</t>
  </si>
  <si>
    <t>CARDIOLOGÍA</t>
  </si>
  <si>
    <t>CONTROL Y/O REPROGRAMACION DE MARCAPASO, CARDIODESFIBRILADOR, RESINCRONIZADOR</t>
  </si>
  <si>
    <t>ELECTROCARDIOGRAMA</t>
  </si>
  <si>
    <t>ERGOMETRÍA</t>
  </si>
  <si>
    <t>HOLTER 24 HS. 3 CANALES</t>
  </si>
  <si>
    <t>MONITOREO  AMBULATORIO  DE  TENSIÓN  ARTERIAL  (PRESUROMETRÍA)</t>
  </si>
  <si>
    <t>TILT TEST</t>
  </si>
  <si>
    <t>ECOGRAFÍA - ECODOPPLER</t>
  </si>
  <si>
    <t>ECOGRAFÍA OBSTÉTRICA CON SCAN FETAL</t>
  </si>
  <si>
    <t>ECOGRAFÍA TRANSNUCAL</t>
  </si>
  <si>
    <t>ECOCARDIOGRAMA TRANSESOFÁGICO</t>
  </si>
  <si>
    <t xml:space="preserve">ECOCARDIOGRAMA DE STRESS FÍSICO Y/O FARMACOLÓGICO </t>
  </si>
  <si>
    <t>ECODOPPLER COLOR CARDÍACO</t>
  </si>
  <si>
    <t>ECODOPPLER CARDIACO TRANSESOFÁGICO</t>
  </si>
  <si>
    <t>ECODOPPLER COLOR PERIFÉRICO - MMSS / MMII</t>
  </si>
  <si>
    <t>ECODOPPLER COLOR OBSTÉTRICO</t>
  </si>
  <si>
    <t>ECODOPPLER DE VASOS DE CUELLO</t>
  </si>
  <si>
    <t>ECODOPPLER  - OTRAS REGIONES</t>
  </si>
  <si>
    <t>ENFERMERÍA - ATENCIÓN AMBULATORIA (*)</t>
  </si>
  <si>
    <t>INYECCIONES  (INC. MAT.DESC.  Y EXCLUYE MEDICACIÓN VALOR KAIROS)</t>
  </si>
  <si>
    <t>INYECCIONES (APLICACIÓN SIN MEDICACIÓN)</t>
  </si>
  <si>
    <t xml:space="preserve">TOMA DE PRESIÓN ARTERIAL </t>
  </si>
  <si>
    <t>HEMOGLUCOTEST O DOSAJE DE GLUCEMIA</t>
  </si>
  <si>
    <t xml:space="preserve">CURACIONES </t>
  </si>
  <si>
    <t>CURACIONES DEL QUEMADO</t>
  </si>
  <si>
    <t>NEBULIZACIÓN -INCLUIDO OXÍGENO (No incluye medicación. Esta va por Kairos)-</t>
  </si>
  <si>
    <t>ENEMA EVACUANTE</t>
  </si>
  <si>
    <t>SONDAJE VESICAL (No incluye material descartable. Va por valores de mercado)</t>
  </si>
  <si>
    <t>COLOCACIÓN DE SONDA K 108 (No incluye material descartable ni contraste. Valores de mercado)</t>
  </si>
  <si>
    <t>SUTURAS DE HERIDAS  (HASTA 5 PUNTOS), NO INCLUYE CONSULTA</t>
  </si>
  <si>
    <t>SUTURAS DE HERIDAS  (MAS DE 5 PUNTOS), NO INCLUYE CONSULTA</t>
  </si>
  <si>
    <t xml:space="preserve">FLEBOLOGIA </t>
  </si>
  <si>
    <t>TRATAMIENTO ESCLEROSANTE DE VÁRICES EN MMII- POR SESIÓN</t>
  </si>
  <si>
    <t>GASTROENTEROLOGÍA - MÓDULOS </t>
  </si>
  <si>
    <t>VIDEOENDOSCOPÍA ALTA DIAGNÓSTICA</t>
  </si>
  <si>
    <t>VIDEOENDOSCOPÍA ALTA TERAPÉUTICA</t>
  </si>
  <si>
    <t>VIDEOCOLONOSCOPÍA DIAGNÓSTICA</t>
  </si>
  <si>
    <t>VIDEOCOLONOSCOPÍA TERAPÉUTICA</t>
  </si>
  <si>
    <t>MUCOSECTOMÍA ENDOSCÓPICA</t>
  </si>
  <si>
    <t>Por presupuesto</t>
  </si>
  <si>
    <t>COLANGIOPANCREATOGRAFÍA RETRÓGRADA ENDOSCÓPICA (CPRE)  DIAGNÓSTICA CON MATERIALES</t>
  </si>
  <si>
    <t>COLANGIOPANCREATOGRAFÍA RETRÓGRADA ENDOSCÓPICA (CPRE) TERAPÉUTICA CON MATERIALES</t>
  </si>
  <si>
    <t xml:space="preserve">GASTROSTOMÍA PERCUTÁNEA </t>
  </si>
  <si>
    <t>Ver Modulo Qurúrgico</t>
  </si>
  <si>
    <t xml:space="preserve">COLOCACIÓN Y/O RECAMBIO DE BOTON GÁSTRICO </t>
  </si>
  <si>
    <t>BANDING DE VÁRICES ESOFÁGICAS SIN MATERIAL DESCARTABLE</t>
  </si>
  <si>
    <t xml:space="preserve">DILATACIÓN ENDOSCÓPICA DE ESÓFAGO </t>
  </si>
  <si>
    <t>GINECOLOGÍA Y OBSTETRICIA</t>
  </si>
  <si>
    <t>COLPOSCOPÍA</t>
  </si>
  <si>
    <t>PAP (toma de muestra + anatomia patologica)</t>
  </si>
  <si>
    <t>COLOCACIÓN DE DIU (EXCLUYE DISPOSITIVO)</t>
  </si>
  <si>
    <t>EXTRACCIÓN DE DIU</t>
  </si>
  <si>
    <t>CEPILLADO VAGINAL Y CERVICAL</t>
  </si>
  <si>
    <t>MONITOREO FETAL</t>
  </si>
  <si>
    <t>PSICOPROFILAXIS DEL PARTO, POR CLASE</t>
  </si>
  <si>
    <t>HEMOTERAPIA - MÓDULOS</t>
  </si>
  <si>
    <t>MÓDULO DE TRANSFUSIÓN DE SANGRE Y HEMODERIVADOS, POR UNIDAD</t>
  </si>
  <si>
    <t>IRRADIACIÓN</t>
  </si>
  <si>
    <t>COMPATIBILIZACIONES, POR UNIDAD</t>
  </si>
  <si>
    <t>SANGRÍA O EXTRACCIÓN TERAPÉUTICA</t>
  </si>
  <si>
    <t>MODULO AFERESIS</t>
  </si>
  <si>
    <t>TRANSFUSIONES IRRADIADAS Y FILTRADAS, POR UNIDAD</t>
  </si>
  <si>
    <t>LABORATORIO</t>
  </si>
  <si>
    <t>LABORATORIO  NBU</t>
  </si>
  <si>
    <t>ACTO PROFESIONAL BIOQUÍMICO (por orden)VALOR RESOL.</t>
  </si>
  <si>
    <t>VALOR RESOLUCIÓN</t>
  </si>
  <si>
    <t>S/ RES.</t>
  </si>
  <si>
    <t>NEUMONOLOGIA</t>
  </si>
  <si>
    <t xml:space="preserve">ESPIROMETRIA ANTES Y DESPUES DE BRONCODILATADORES </t>
  </si>
  <si>
    <t>NO REALIZAN</t>
  </si>
  <si>
    <t>ESPIROMETRIA CON CURVA DE FLUJO</t>
  </si>
  <si>
    <t>VIDEOBRONCOFIBROSCOPIA DIAG O TERAP. CON O SIN LAVADO</t>
  </si>
  <si>
    <t>ESPIROMETRÍA DE EJERCICIO O ERGOESPIROMETRÍA  - PRUEBA DE ESFUERZO</t>
  </si>
  <si>
    <t xml:space="preserve">TEST DE LA MARCHA </t>
  </si>
  <si>
    <t>NEUROLOGÍA</t>
  </si>
  <si>
    <t>NEUR.01</t>
  </si>
  <si>
    <t>Electroencefalograma de sueño, diurno, hasta 1 hora</t>
  </si>
  <si>
    <t>NEUR.02</t>
  </si>
  <si>
    <t>Electroencefalograma de vigilia simple</t>
  </si>
  <si>
    <t>NEUR.03</t>
  </si>
  <si>
    <t>Electroencefalograma prolongado de sueño, vespertino</t>
  </si>
  <si>
    <t>NEUR.04</t>
  </si>
  <si>
    <t>Electromiografía con estimulación repetitiva</t>
  </si>
  <si>
    <t>NEUR.05</t>
  </si>
  <si>
    <t>Electromiografía con velocidad de conducción de cuatro miembros</t>
  </si>
  <si>
    <t>NEUR.06</t>
  </si>
  <si>
    <t>Electromiografía con velocidad de conducción de dos miembros</t>
  </si>
  <si>
    <t>NEUR.09</t>
  </si>
  <si>
    <t>Evaluación de funciones mentales superiores</t>
  </si>
  <si>
    <t>NEUR.10</t>
  </si>
  <si>
    <t>Mapeo cerebral</t>
  </si>
  <si>
    <t>NEUR.11</t>
  </si>
  <si>
    <t>Monitoreo de presión intracraneana</t>
  </si>
  <si>
    <t>NEUR.12</t>
  </si>
  <si>
    <t>Polisomnografía diurna o nocturna (lactante, pediátrico o adulto)</t>
  </si>
  <si>
    <t>NEUR.13</t>
  </si>
  <si>
    <t>Polisomnografía diurna o nocturna con oximetría (lactante, pediátrico o adulto) o poligrafía (pediátrico o adulto)</t>
  </si>
  <si>
    <t>NEUROCIRUGIA</t>
  </si>
  <si>
    <t>NCIR.01</t>
  </si>
  <si>
    <t>Bloqueo cervical, dorsal o lumbar facetario, radicular, epidural o de nervios periféricos guiado por ecografía.</t>
  </si>
  <si>
    <t>NCIR.02</t>
  </si>
  <si>
    <t>Bloqueo cervical, dorsal o lumbar facetario, radicular, epidural o de nervios periféricos guiado por TAC</t>
  </si>
  <si>
    <t>NCIR.03</t>
  </si>
  <si>
    <t>Colocación de catéteres epi ó subdurales con reservorio para la instilación de fármacos</t>
  </si>
  <si>
    <t>NCIR.04</t>
  </si>
  <si>
    <t>Colocación y monitoreo de la PIC</t>
  </si>
  <si>
    <t>NCIR.05</t>
  </si>
  <si>
    <t>Drenaje externo continuo de LCR a sistemas cerrados</t>
  </si>
  <si>
    <t>NCIR.06</t>
  </si>
  <si>
    <t>Tracción cefálica, compás y/o colocación de halo chaleco</t>
  </si>
  <si>
    <t>NCIR.07</t>
  </si>
  <si>
    <t>Radiofrecuencia de nervio periférico</t>
  </si>
  <si>
    <t>NCIR.08</t>
  </si>
  <si>
    <t>Craneoplastía (excepto órbitas)</t>
  </si>
  <si>
    <t>NCIR.09</t>
  </si>
  <si>
    <t>Desplaquetamiento descompresivo</t>
  </si>
  <si>
    <t>NCIR.10</t>
  </si>
  <si>
    <t>Extracción de prótesis vertebrales</t>
  </si>
  <si>
    <t>NCIR.11</t>
  </si>
  <si>
    <t>Fenestración endoscópica o ventriculostomia</t>
  </si>
  <si>
    <t>NCIR.12</t>
  </si>
  <si>
    <t>Neurólisis por vía transoval para neuralgia del trigémino</t>
  </si>
  <si>
    <t>NCIR.13</t>
  </si>
  <si>
    <t>Neurorrafia, injerto, escisión de lesión tumoral del nervio radial, mediano u otros</t>
  </si>
  <si>
    <t>NCIR.15</t>
  </si>
  <si>
    <t>Recambio de estimulador vagal</t>
  </si>
  <si>
    <t>NCIR.16</t>
  </si>
  <si>
    <t>Resección de tumor óseo de la calota</t>
  </si>
  <si>
    <t>NCIR.17</t>
  </si>
  <si>
    <t>Toilette de heridas quirúrgicas encefálicas o raquimedulares</t>
  </si>
  <si>
    <t>NCIR.18</t>
  </si>
  <si>
    <t>Cirugía de colecciones o hematomas extradurales o subdurales</t>
  </si>
  <si>
    <t>NCIR.19</t>
  </si>
  <si>
    <t>Cirugía de la 3a. y 4a. porción del nervio facial</t>
  </si>
  <si>
    <t>NCIR.21</t>
  </si>
  <si>
    <t>Colocación de estimulador vagal. Colocación de estimuladores cerebrales</t>
  </si>
  <si>
    <t>NCIR.24</t>
  </si>
  <si>
    <t>Laminoplastía o laminectomía, abordaje posterior de la columna</t>
  </si>
  <si>
    <t>NCIR.26</t>
  </si>
  <si>
    <t>Resección de tumores epidurales del raquis</t>
  </si>
  <si>
    <t>NCIR.27</t>
  </si>
  <si>
    <t>Resección de tumores óseos de órbita y senos con craneoplastía</t>
  </si>
  <si>
    <t>NCIR.28</t>
  </si>
  <si>
    <t>Vertebroplastia o cifoplastia, percutánea o convencional</t>
  </si>
  <si>
    <t>NCIR.29</t>
  </si>
  <si>
    <t>Cirugía de hernia discal</t>
  </si>
  <si>
    <t>NCIR.30</t>
  </si>
  <si>
    <t>Cirugía del neuroblastoma cervical y tumores paraespinales cervicales</t>
  </si>
  <si>
    <t>NCIR.31</t>
  </si>
  <si>
    <t>Ablación por radiofrecuencia de columna</t>
  </si>
  <si>
    <t>NCIR.32</t>
  </si>
  <si>
    <t>Anastomosis de nervios craneales</t>
  </si>
  <si>
    <t>NCIR.33</t>
  </si>
  <si>
    <t>Biopsia estereotáctica</t>
  </si>
  <si>
    <t>NCIR.34</t>
  </si>
  <si>
    <t>Cierre de fístulas arteriovenosas durales</t>
  </si>
  <si>
    <t>NCIR.35</t>
  </si>
  <si>
    <t>Cirugía de craneostenosis</t>
  </si>
  <si>
    <t>NCIR.40</t>
  </si>
  <si>
    <t>Evacuación de colecciones intracerebrales</t>
  </si>
  <si>
    <t>NCIR.41</t>
  </si>
  <si>
    <t>Resección de tumores de origen metastásicos</t>
  </si>
  <si>
    <t>NCIR.42</t>
  </si>
  <si>
    <t>Resección de tumores intradurales extramedulares del raquis</t>
  </si>
  <si>
    <t>NCIR.43</t>
  </si>
  <si>
    <t>Resección de tumores orbitarios por vía endocraneana</t>
  </si>
  <si>
    <t>NCIR.44</t>
  </si>
  <si>
    <t>Abordajes anteriores a la columna cervical, dorsal o lumbar</t>
  </si>
  <si>
    <t>NCIR.45</t>
  </si>
  <si>
    <t>By-pass de alto flujo</t>
  </si>
  <si>
    <t>NCIR.46</t>
  </si>
  <si>
    <t>Cirugía de la epilepsia</t>
  </si>
  <si>
    <t>NCIR.53</t>
  </si>
  <si>
    <t>Cirugía del Parkinson</t>
  </si>
  <si>
    <t>NCIR.54</t>
  </si>
  <si>
    <t>Cirugía de tumores de hipófisis o región periselar por vía transcraneana</t>
  </si>
  <si>
    <t>NCIR.55</t>
  </si>
  <si>
    <t>Cirugía de tumores de la base de cráneo</t>
  </si>
  <si>
    <t>NCIR.56</t>
  </si>
  <si>
    <t>Cirugía de tumores del tronco cerebral por vía transoral</t>
  </si>
  <si>
    <t>NCIR.57</t>
  </si>
  <si>
    <t>Cirugía del aneurisma cerebral de cualquier tipo y localización, clipado</t>
  </si>
  <si>
    <t>NCIR.58</t>
  </si>
  <si>
    <t>Cirugía del aneurisma cerebral de cualquier tipo y localización, por vía endovascular</t>
  </si>
  <si>
    <t>OFTALMOLOGÍA</t>
  </si>
  <si>
    <t>OFT.01</t>
  </si>
  <si>
    <t>Angiografia digital oftalmológica</t>
  </si>
  <si>
    <t>OFT.02</t>
  </si>
  <si>
    <t>Biometría ocular</t>
  </si>
  <si>
    <t>OFT.03</t>
  </si>
  <si>
    <t>Biomicroscopía</t>
  </si>
  <si>
    <t>OFT.04</t>
  </si>
  <si>
    <t>Campo visual computarizado</t>
  </si>
  <si>
    <t>OFT.05</t>
  </si>
  <si>
    <t>Curva diaria de presión ocular</t>
  </si>
  <si>
    <t>OFT.06</t>
  </si>
  <si>
    <t>Dacriocistografía</t>
  </si>
  <si>
    <t>OFT.07</t>
  </si>
  <si>
    <t>Ecometría</t>
  </si>
  <si>
    <t>OFT.09</t>
  </si>
  <si>
    <t>Videonistagmografía</t>
  </si>
  <si>
    <t>OFT.10</t>
  </si>
  <si>
    <t>Electrooculograma</t>
  </si>
  <si>
    <t>OFT.11</t>
  </si>
  <si>
    <t>Electroretinograma</t>
  </si>
  <si>
    <t>OFT.13</t>
  </si>
  <si>
    <t>Evaluaciones oftalmológicas generales (fondo de ojo, tonometría y prescripción de lentes)</t>
  </si>
  <si>
    <t>OFT.14</t>
  </si>
  <si>
    <t>Examen sensorial del estrabismo</t>
  </si>
  <si>
    <t>OFT.15</t>
  </si>
  <si>
    <t>Exámenes de estrabismo</t>
  </si>
  <si>
    <t>OFT.16</t>
  </si>
  <si>
    <t>Gonioscopía</t>
  </si>
  <si>
    <t>OFT.18</t>
  </si>
  <si>
    <t>Oftalmoscopía binocular indirecta</t>
  </si>
  <si>
    <t>OFT.19</t>
  </si>
  <si>
    <t>Paquimetría</t>
  </si>
  <si>
    <t>OFT.20</t>
  </si>
  <si>
    <t>Paracentesis</t>
  </si>
  <si>
    <t>OFT.21</t>
  </si>
  <si>
    <t>Prueba de ojo seco</t>
  </si>
  <si>
    <t>OFT.22</t>
  </si>
  <si>
    <t>Prueba de vías lagrimales</t>
  </si>
  <si>
    <t>OFT.25</t>
  </si>
  <si>
    <t>Retinofluoresceinografía</t>
  </si>
  <si>
    <t>OFT.26</t>
  </si>
  <si>
    <t>Retinografía</t>
  </si>
  <si>
    <t>OFT.27</t>
  </si>
  <si>
    <t>Test de colores</t>
  </si>
  <si>
    <t>OFT.28</t>
  </si>
  <si>
    <t>Test de Hess Lancaster</t>
  </si>
  <si>
    <t>OFT.29</t>
  </si>
  <si>
    <t>Test de Lotmar</t>
  </si>
  <si>
    <t>OFT.30</t>
  </si>
  <si>
    <t>Tomografía de coherencia óptica (OCT)</t>
  </si>
  <si>
    <t>OFT.31</t>
  </si>
  <si>
    <t>Tomografía retinal de Heidelberg (HRT)</t>
  </si>
  <si>
    <t>OFT.32</t>
  </si>
  <si>
    <t>Tonografía</t>
  </si>
  <si>
    <t>OFT.33</t>
  </si>
  <si>
    <t>Topografía corneal</t>
  </si>
  <si>
    <t>OFT.34</t>
  </si>
  <si>
    <t>Ultrabiomicroscopía unilateral del segmento anterior</t>
  </si>
  <si>
    <t>OTORRINOLARINGOLOGÍA</t>
  </si>
  <si>
    <t>AUDIOMETRÍA</t>
  </si>
  <si>
    <t>LOGOAUDIOMETRÍA</t>
  </si>
  <si>
    <t>IMPEDANCIOMETRÍA</t>
  </si>
  <si>
    <t>TIMPANOMETRÍA</t>
  </si>
  <si>
    <t>ACUFENOMETRÍA</t>
  </si>
  <si>
    <t>OTOEMISIONES ACÚSTICAS</t>
  </si>
  <si>
    <t>SELECCIÓN DE OTOAMPLÍFONOS</t>
  </si>
  <si>
    <t xml:space="preserve">EXTRACCION DE CUERPO EXTRAÑO EN OÍDO- EXTRACCIÓN DE TAPÓN DE CERUMEN </t>
  </si>
  <si>
    <t xml:space="preserve">Ver módulos quirúrgicos </t>
  </si>
  <si>
    <t>TIMPANOCENTESIS</t>
  </si>
  <si>
    <t>TAPONAJE NASAL ANTERIOR</t>
  </si>
  <si>
    <t>TAPONAJE NASAL ANTEROPOSTERIOR</t>
  </si>
  <si>
    <t>EXTRACCIÓN DE CUERPO EXTRAÑO EN NARIZ</t>
  </si>
  <si>
    <t>EXTRACCIÓN DE CUERPO EXTRAÑO EN LARINGE</t>
  </si>
  <si>
    <t>CAUTERIZACIÓN DE NARIZ</t>
  </si>
  <si>
    <t>RINOSINUSOFIBROSCOPÍA</t>
  </si>
  <si>
    <t>FARINGOLARINGOFIBROSCOPÍA</t>
  </si>
  <si>
    <t>LAVAJE DE SENO PARANASAL UNI O BILATERAL</t>
  </si>
  <si>
    <t>RADIOLOGÍA</t>
  </si>
  <si>
    <t>RADIOSCOPIA C/INTENSIFICADOR DE IMAGEN</t>
  </si>
  <si>
    <t>CRANEO FRENTE, RX DEL</t>
  </si>
  <si>
    <t>MENTONASOPLACA - RX DE SENOS PARANASALES</t>
  </si>
  <si>
    <t>FRONTONASOPLACA, RX DE SENOS PARANASALES</t>
  </si>
  <si>
    <t>CAVUM, RX DE - 1ra EXPOSICION</t>
  </si>
  <si>
    <t>MAXILAR FRENTE, RX DE</t>
  </si>
  <si>
    <t>POR CADA EXPOSICION SUBSIGUIENTE</t>
  </si>
  <si>
    <t>HUESO TEMPORAL, RX DE</t>
  </si>
  <si>
    <t>SILLA TURCA, RX DE</t>
  </si>
  <si>
    <t>ARTICULACION TEMPOROMANDIBULAR,RX DE (3pl COM</t>
  </si>
  <si>
    <t>CRANEO, RX PANORAMICA DEL - 1ra EXPOSICION</t>
  </si>
  <si>
    <t>CARA, RX PANORAMICA DE LA - 1ra EXPOSICION</t>
  </si>
  <si>
    <t>ESPINOGRAMA</t>
  </si>
  <si>
    <t>COLUMNA CERVICAL FRENTE, RX DE</t>
  </si>
  <si>
    <t>COLUMNA DORSAL FRENTE, RX DE</t>
  </si>
  <si>
    <t>COLUMNA LUMBAR FRENTE, RX DE</t>
  </si>
  <si>
    <t>HOMBRO FRENTE, RX DE</t>
  </si>
  <si>
    <t>HUMERO FRENTE, RX DE</t>
  </si>
  <si>
    <t>PELVIS FRENTE, RX DE</t>
  </si>
  <si>
    <t>CADERA FRENTE, RX DE</t>
  </si>
  <si>
    <t>FEMUR FRENTE, RX DE</t>
  </si>
  <si>
    <t>HUESOS LARGOS, RX DE</t>
  </si>
  <si>
    <t>TOBILLO, RX DE - (2 EXPOSICIONES x PLACA)</t>
  </si>
  <si>
    <t>PIE, RX DE - (2 EXPOSICIONES x PLACA)</t>
  </si>
  <si>
    <t>CODO, RX DE - (2 EXPOSICIONES x PLACA)</t>
  </si>
  <si>
    <t>ANTEBRAZO, RX DE - (2 EXPOSICIONES x PLACA)</t>
  </si>
  <si>
    <t>MUÑECA, RX DE - (2 EXPOSICIONES X PLACA)</t>
  </si>
  <si>
    <t>MANO, RX DE (2 EXPOSICIONES x PLACA)</t>
  </si>
  <si>
    <t>DEDOS, RX DE - (2 EXPOSICIONES x PLACA)</t>
  </si>
  <si>
    <t>RODILLA, RX DE - (2 EXPOSICIONES x PLACA)</t>
  </si>
  <si>
    <t>PIERNA, RX DE - (2 EXPOSICIONES x PLACA)</t>
  </si>
  <si>
    <t>MEDICION COMPARATIVA DE MIEMBROS INFERIORES</t>
  </si>
  <si>
    <t>TORAX FRENTE, RX DE (C/S TRAZ-RELL)</t>
  </si>
  <si>
    <t>PARRILLA COSTAL FRENTE, RX DE</t>
  </si>
  <si>
    <t>CONTROL DE CIRUGIA BARIATRICA</t>
  </si>
  <si>
    <t>VIDEODEFECOGRAMA</t>
  </si>
  <si>
    <t>COLANGIOGRAFIA OPERATORIA</t>
  </si>
  <si>
    <t>COLANGIOGRAFIA RETROG P/FIBROSCOP MIN 3 PL#</t>
  </si>
  <si>
    <t>ABDOMEN FRENTE, RX SIMPLE DE</t>
  </si>
  <si>
    <t>RX.CIRUGIA DE LITIASIS RENAL(CALC.RESIDUALES)</t>
  </si>
  <si>
    <t>RX.ABDOMEN EN SERVICIO DE ALTA COMPLEJIDAD</t>
  </si>
  <si>
    <t>ARBOL URINARIO, RX SIMPLE DE</t>
  </si>
  <si>
    <t>CISTOURETROGRAFIA-ESTUDIO INCONTINENCIA (4pl)</t>
  </si>
  <si>
    <t>MAMOGRAFÍA UNILATERAL</t>
  </si>
  <si>
    <t>PROYECCIÓN AXILAR</t>
  </si>
  <si>
    <t>MAMOGRAFÍA MAGNIFICADA UNILATERAL</t>
  </si>
  <si>
    <t>MAMOGRAFÍA CON TÉCNICA DE EKLUND UNILATEERAL</t>
  </si>
  <si>
    <t>ARTERIOGRAFIA CEREBRAL P/CATETERISMO (6 pl.)</t>
  </si>
  <si>
    <t>ARTERIOGRAFIA CEREBRAL DE CUATRO VASOS</t>
  </si>
  <si>
    <t>ARTERIOGRAFIA CAROTIDEA POR PUNCION DIR 4 PL</t>
  </si>
  <si>
    <t>CONTROL RADIOSC P/COLOC MARCAPASO C/ELECT ENDO</t>
  </si>
  <si>
    <t>CONTROL RADIOSC P/COLOC MARCAPASO DEF C/E END</t>
  </si>
  <si>
    <t>PANARTERIOGRAFIA DEL CAYADO AORTICO</t>
  </si>
  <si>
    <t>ARTERIOGRAFIA DE ARTERIAS MEDULARES (EST.COMP</t>
  </si>
  <si>
    <t>ARTERIOGRAFIA DE ARTERIAS INTERCOSTALES</t>
  </si>
  <si>
    <t>ARTERIOGRAFIA SELECTIVA DE RAMAS AORTA ABD.</t>
  </si>
  <si>
    <t>ARTERIOGRAFIA MESENTERICA</t>
  </si>
  <si>
    <t>ARTERIOGRAFIA MESENTERICA DE DOS VASOS</t>
  </si>
  <si>
    <t>ARTERIOGRAFIA PERIF.DE MIEMBROS PUNCION 1ra E</t>
  </si>
  <si>
    <t>POR CADA EXPOSICION SUBSIGUIENTE (Maximo 4)</t>
  </si>
  <si>
    <t>FLEBOGRAFIA DE LA VENA CAVA - 1ra EXPOSICION</t>
  </si>
  <si>
    <t>FLEBOGRAFIA SUPRARRENAL (CON MUESTRA DE SANGR</t>
  </si>
  <si>
    <t>FLEBOGRAFIA DE MIEMBRO SUPERIOR - 1ra EXPOS.</t>
  </si>
  <si>
    <t xml:space="preserve">RX C/PORTATIL CUALQUIER REGION(FRENTE) </t>
  </si>
  <si>
    <t>RX RUTINA C/PORTATIL EN ALTA COMPLEJIDAD</t>
  </si>
  <si>
    <t>RX C/PORTATIL DE TORAX</t>
  </si>
  <si>
    <t>RX C/PORTATIL DE ABDOMEN</t>
  </si>
  <si>
    <t>RX C/PORTATIL DE CADERA</t>
  </si>
  <si>
    <t>RX C/PORTATIL CUALQUIER REGION(OTRA POSICION)</t>
  </si>
  <si>
    <t>RADIOSCOPIA EN QUIROFANO C/AMPLIF Y TV P/EST</t>
  </si>
  <si>
    <t>TC DE CEREBRO SIN CONTRASTE</t>
  </si>
  <si>
    <t>OCT(TOMOGRAFIA DE COHERENCIA OPTICA)</t>
  </si>
  <si>
    <t>TC DE ABDOMEN SIN CONTRASTE</t>
  </si>
  <si>
    <t>TC PANCREATICA SIN CONTRASTE</t>
  </si>
  <si>
    <t>TC DE TORAX SIN CONTRASTE</t>
  </si>
  <si>
    <t>TC DE TORAX SIN CONTRASTE ALTA RESOLUCION</t>
  </si>
  <si>
    <t>TC DE OTROS ORGANOS SIN CONTRASTE</t>
  </si>
  <si>
    <t>TC DE COLUMNA SIN CONTRASTE</t>
  </si>
  <si>
    <t>ANGIOTC DE CEREBRO</t>
  </si>
  <si>
    <t>ANGIOTC DE CEREBRO PEDIATRICO</t>
  </si>
  <si>
    <t>TC DE OIDOS SIN CONTRASTE</t>
  </si>
  <si>
    <t>TC DE MACIZO FACIAL SIN CONTRASTE</t>
  </si>
  <si>
    <t>TC DE SENOS PARANASALES SIN CONTRASTE</t>
  </si>
  <si>
    <t>TC DE ORBITAS SIN CONTRASTE</t>
  </si>
  <si>
    <t>TC DE CADERA SIN CONTRASTE</t>
  </si>
  <si>
    <t>TC DE RODILLA SIN CONTRASTE</t>
  </si>
  <si>
    <t>TC DE TOBILLO SIN CONTRASTE</t>
  </si>
  <si>
    <t>TC DE PIES SIN CONTRASTE</t>
  </si>
  <si>
    <t>TC DE HOMBROS SIN CONTRASTE</t>
  </si>
  <si>
    <t>TC DE CODOS SIN CONTRASTE</t>
  </si>
  <si>
    <t>TC DE MUÑECAS SIN CONTRASTE</t>
  </si>
  <si>
    <t>TC DE MANO SIN CONTRASTE</t>
  </si>
  <si>
    <t>TC DE PELVIS SIN CONTRASTE</t>
  </si>
  <si>
    <t>TC RECONSTRUCCIÓN 3D CUALQUIER REGION</t>
  </si>
  <si>
    <t>TC DE CUELLO SIN CONTRASTE</t>
  </si>
  <si>
    <t>TC DE COLUMNA CERVICAL SIN CONTRATSE</t>
  </si>
  <si>
    <t>TC DE COLUMNA DORSAL SIN CONTRASTE</t>
  </si>
  <si>
    <t>TC DE COLUMNA LUMBAR SIN CONTRASTE</t>
  </si>
  <si>
    <t>ANGIOTC DE AORTA ABDOMINAL</t>
  </si>
  <si>
    <t>ANGIOTC PARA TEP</t>
  </si>
  <si>
    <t>ANGIOTC DE MMSS</t>
  </si>
  <si>
    <t>ANGIOTC DE MMII</t>
  </si>
  <si>
    <t>COLONOSCOPIA VIRTUAL SIN CONTRASTE EV.</t>
  </si>
  <si>
    <t>UROTC</t>
  </si>
  <si>
    <t>ANGIOTC DE VASOS DE CUELLO</t>
  </si>
  <si>
    <t>CONTRASTE ORAL EN TAC</t>
  </si>
  <si>
    <t>KAIROS - 10%</t>
  </si>
  <si>
    <t>CONTRASTE ENDOVENOSO EN TAC</t>
  </si>
  <si>
    <t>CONTRASTE ORAL + ENDOVENOSO EN TAC</t>
  </si>
  <si>
    <t>RM UN ESTUDIO</t>
  </si>
  <si>
    <t>RM EST. SUBSIGUIENTES</t>
  </si>
  <si>
    <t>RM 3ER. ESTUDIO</t>
  </si>
  <si>
    <t>RM DE CEREBRO S/CONTRASTE</t>
  </si>
  <si>
    <t>RM DE CEREBRO S/CONT.C/PROTOC.P/EPILEPSIA/ACV</t>
  </si>
  <si>
    <t>RM DE CEREBRO S/CONTR C/PROT.P/ENF.DESMIELIN.</t>
  </si>
  <si>
    <t>RM DE ANGULO PONTOCEREBELOSO S/CONTRASTE</t>
  </si>
  <si>
    <t>RM ESPECTROSCOPIA CEREBRAL</t>
  </si>
  <si>
    <t>RM DE COLUMNA CERVICAL S/CONTRASTE</t>
  </si>
  <si>
    <t>RM DE COLUMNA DORSAL S/CONTRASTE</t>
  </si>
  <si>
    <t>RM DE COLUMNA LUMBOSACRA S/CONTRASTE</t>
  </si>
  <si>
    <t>RM OFTALMOLOGICA(ORBITA)S/CONTRASTE</t>
  </si>
  <si>
    <t>RM DE CUELLO S/CONTRASTE</t>
  </si>
  <si>
    <t>RM DE PELVIS S/CONTRASTE</t>
  </si>
  <si>
    <t>RM ALTA RESOL.PELV ESTADIF.CA DE RECTO S/CONT</t>
  </si>
  <si>
    <t>RM ALTA RESOLUCION PELVIS FIST/ABSC C/CTE</t>
  </si>
  <si>
    <t>RM DE PELVIS OSEA S/CONTRASTE</t>
  </si>
  <si>
    <t>RM DE ABDOMEN COMPLETO S/CONTRASTE</t>
  </si>
  <si>
    <t>RM SUPRARENALES S/CONTRASTE</t>
  </si>
  <si>
    <t>RM DE TORAX S/CONTRASTE</t>
  </si>
  <si>
    <t xml:space="preserve">RM DE MAMA S/CONTRASTE </t>
  </si>
  <si>
    <t>RM DE RODILLA S/CONTRASTE</t>
  </si>
  <si>
    <t>RM DE CODO S/CONTRASTE</t>
  </si>
  <si>
    <t>URORESONANCIA</t>
  </si>
  <si>
    <t>RM DE OTROS ORGANOS O REG.S/CONTRASTE</t>
  </si>
  <si>
    <t>RM DE HOMBRO S/CONTRASTE</t>
  </si>
  <si>
    <t>RM DE MUÑECA S/CONTRASTE</t>
  </si>
  <si>
    <t>RM DE TOBILLO S/CONTRASTE</t>
  </si>
  <si>
    <t>RM DE MIEMBRO POR ZONA S/CONTRASTE</t>
  </si>
  <si>
    <t>ANGIORESONANCIA DE CEREBRO</t>
  </si>
  <si>
    <t>ANGIORESONANCIA DE VASOS DE CUELLO,FASE ART.</t>
  </si>
  <si>
    <t>ANGIORESONANCIA DE CEREBRO,FASE ARTERIAL</t>
  </si>
  <si>
    <t>ANGIORESONANCIA DE CEREBRO, FASE VENOSA</t>
  </si>
  <si>
    <t>ANGIORESONANCIA DE CEREBRO,FASE ARTER Y VENOS</t>
  </si>
  <si>
    <t>ANGIORESONANCIA DE VASOS DE CUELLO,FASE VENOS</t>
  </si>
  <si>
    <t>COLANGIORESONANCIA</t>
  </si>
  <si>
    <t>RM DE HIPOFISIS S/CONTRASTE</t>
  </si>
  <si>
    <t>ECOGRAFIA TOCOGINECOLOGICA</t>
  </si>
  <si>
    <t>ECOGRAFIA GINECOLOGICA</t>
  </si>
  <si>
    <t>ECOGRAFIA OBSTETRICA</t>
  </si>
  <si>
    <t>ECOGRAFIA MAMARIA UNI O BILATERAL</t>
  </si>
  <si>
    <t xml:space="preserve">ECOGRAFIA CEREBRAL (CON MODO B Y A </t>
  </si>
  <si>
    <t>ECOGRAFIA TIROIDEA</t>
  </si>
  <si>
    <t>ECOGRAFIA DE PAROTIDAS</t>
  </si>
  <si>
    <t>ECOGRAFIA DE TESTICULOS</t>
  </si>
  <si>
    <t>ECOGRAFIA COMPLETA DE ABDOMEN</t>
  </si>
  <si>
    <t>ECOGRAFIA HEPATICA BILIAR Y/O ESPLENICA</t>
  </si>
  <si>
    <t>ECOGRAFIA DE PROSTATA</t>
  </si>
  <si>
    <t>ECOGRAFIA VEJIGA Y PROSTATA</t>
  </si>
  <si>
    <t>ECOGRAFIA DE VEJIGA</t>
  </si>
  <si>
    <t>ECOGRAFIA RENAL BILATERAL</t>
  </si>
  <si>
    <t xml:space="preserve">ECOGRAFIA PANCREATICA </t>
  </si>
  <si>
    <t>ECOGRAFIA SUPRARENAL</t>
  </si>
  <si>
    <t>ECOGRAFIA DE PARTES BLANDAS</t>
  </si>
  <si>
    <t>ECOGRAFIA DE PARTES BLANDAS PARED ABDOMINAL</t>
  </si>
  <si>
    <t>ECOGRAFIA INTRAOPERATORIA</t>
  </si>
  <si>
    <t>ECOGRAFIA TRANSVAGINAL</t>
  </si>
  <si>
    <t xml:space="preserve">ECOGRAFIA OBSTETRICA MORFOLOGICA II NIVEL </t>
  </si>
  <si>
    <t>ECOGRAFIA TRANSLUCENCIA NUCAL</t>
  </si>
  <si>
    <t>ECOGRAFIA MEDICION VOLUMEN LIQUIDO AMNIOTICO</t>
  </si>
  <si>
    <t>ECOGRAFIA MEDICIÓN LONGITUD CANAL DE PARTO</t>
  </si>
  <si>
    <t>ECOGRAFIA OBSTETRICA EMBARAZO DOBLE</t>
  </si>
  <si>
    <t>ECOGRAFIA OBSTETRICA TV PRIMER TRIMESTRE</t>
  </si>
  <si>
    <t>ECOGRAFIA DE CADERA (ADULTOS)</t>
  </si>
  <si>
    <t>ECOGRAFIA DE PELVIS</t>
  </si>
  <si>
    <t>ECOGRAFIA DE PLEURA</t>
  </si>
  <si>
    <t>ECOGRAFIA MUSCULO ESQUELETICO</t>
  </si>
  <si>
    <t xml:space="preserve">ECOGRAFIA ARTICULAR </t>
  </si>
  <si>
    <t>REHABILITACIÓN MÉDICA</t>
  </si>
  <si>
    <t>MÓDULO FISIOKINESIOTERAPIA AMBULATORIA - POR SESIÓN</t>
  </si>
  <si>
    <t>MÓDULO FISIOKINESIOTERAPIA AMBULATORIA COMPLEJA - POR SESIÓN</t>
  </si>
  <si>
    <t>REHABILITACIÓN DEL LENGUAJE POR SESIÓN</t>
  </si>
  <si>
    <t>UROLOGIA</t>
  </si>
  <si>
    <t>VIDEOURETROCISTOFIBROSCOPIA- MÓDULO</t>
  </si>
  <si>
    <t>360103/360104</t>
  </si>
  <si>
    <t>SONDAJE VESICAL</t>
  </si>
  <si>
    <t>ESTUDIO URODINAMICO COMPLETO</t>
  </si>
  <si>
    <t>UROFLUJOMETRIA</t>
  </si>
  <si>
    <t>VIDEOCISTOSCOPIA - MÓDULO</t>
  </si>
  <si>
    <t>CAUTERIZACION QUIMICA POR HPV - TOPICACIONES GENITALES, POR SESIÓN</t>
  </si>
  <si>
    <t>PENESCOPIA- MÓDULO</t>
  </si>
  <si>
    <t>PUNCIÓN BIOPSIA DE PRÓSTATA - MÓDULO</t>
  </si>
  <si>
    <t xml:space="preserve">ONCOLOGÍA </t>
  </si>
  <si>
    <t>MÓDULO ONCOLÓGICO ESTANCIA LARGA (h/6 hs)</t>
  </si>
  <si>
    <t>PRESUPUESTO</t>
  </si>
  <si>
    <t>MÓDULO ONCOLÓGICO ESTANCIA CORTA (h/3 hs)</t>
  </si>
  <si>
    <t>COLOCACIÓN DE CATETER PARA MEDICACIÓN</t>
  </si>
  <si>
    <t>MODULO ONCOLOGICO HASTA 6 CICLOS CON CONTROL DE LABORATORIO UNO X MES Y UNA TAC DSP. DEL 3ER CICLO. NO INCLUYE MEDICACION ONCOLOGICA (PROVISTA X EL FINANCIADOR)</t>
  </si>
  <si>
    <t>PROCEDIMIENTOS BAJO CONTROL DE IMAGEN -MÓDULOS</t>
  </si>
  <si>
    <t>PUNCIÓN BIOPSIA PERCUTÁNEA BAJO CONTROL TOMOGRÁFICO</t>
  </si>
  <si>
    <t>PUNCIÓN BIOPSIA PERCUTÁNEA BAJO CONTROL ECOGRÁFICO</t>
  </si>
  <si>
    <t>DRENAJES Y/O PROCED. SIMILARES BAJO CONTROL TOMOGRÁFICO</t>
  </si>
  <si>
    <t>DRENAJES Y/O PROCED. SIMILARES BAJO CONTROL ECOGRÁFICO</t>
  </si>
  <si>
    <r>
      <t xml:space="preserve">TIROIDES: </t>
    </r>
    <r>
      <rPr>
        <u/>
        <sz val="10"/>
        <rFont val="Tahoma"/>
      </rPr>
      <t xml:space="preserve"> INCLUYE CITOLOGIA INS TV</t>
    </r>
  </si>
  <si>
    <t>MAMA PROSTATA,ETC No incluye anatomía patológica.</t>
  </si>
  <si>
    <t>NEFROLOGÍA - HEMODIÁLISIS - MÓDULOS</t>
  </si>
  <si>
    <t>MODULO HEMODIALISIS</t>
  </si>
  <si>
    <t>GINECO ALTA COMPLEJIDAD HISTERECTOMIA /ONCO..</t>
  </si>
  <si>
    <t>MÓDULOS DE CIRUGÍA LAPAROSCÓPICA</t>
  </si>
  <si>
    <t>COLELAP</t>
  </si>
  <si>
    <t>EN REVISIÓN</t>
  </si>
  <si>
    <t>HISTEROSCOPÍA</t>
  </si>
  <si>
    <t>HERNIOPLASTÍA LAP</t>
  </si>
  <si>
    <t>APENDICECTOMÍA LAP</t>
  </si>
  <si>
    <t>MÓDULOS QUIRÚRGICOS POR PATOLOGIA</t>
  </si>
  <si>
    <t>MODULO ADULTO QUIRURGICO I</t>
  </si>
  <si>
    <t>MODULO ADULTO QUIRURGICO II</t>
  </si>
  <si>
    <t>MODULO ADULTO QUIRURGICO III</t>
  </si>
  <si>
    <t>MODULO ADULTO QUIRURGICO IV</t>
  </si>
  <si>
    <t>MODULO ADULTO QUIRURGICO V</t>
  </si>
  <si>
    <t xml:space="preserve">MÓDULOS CIRUGÍAS TRAUMATOLÓGICAS </t>
  </si>
  <si>
    <t>MÓDULOS DE ARTROSCOPÍA SIN HONORARIOS</t>
  </si>
  <si>
    <t>MODULO DE ARTROSCOPIA SIMPLE</t>
  </si>
  <si>
    <t>MÓDULO DE ARTROSCOPÍA COMPLEJA</t>
  </si>
  <si>
    <t xml:space="preserve">MÓDULOS TRAUMATOLOGICOS SIN HONORARIOS </t>
  </si>
  <si>
    <t>MODULO TRAUMATOLÓGICO MINIMO</t>
  </si>
  <si>
    <t>MODULO TRAUMATOLOGICO MENOR</t>
  </si>
  <si>
    <t>MODULO TRAUMATOLOGICO MEDIANO</t>
  </si>
  <si>
    <t>MODULO TRAUMATOLÓGICO MAYOR</t>
  </si>
  <si>
    <t>MODULO TRAUMATOLÓGICO ESPECIALIZADA</t>
  </si>
  <si>
    <t xml:space="preserve">MÓDULOS CIRUGIA Y MICROCIRUGÍA DE LA MANO </t>
  </si>
  <si>
    <t>MODULO DE CIRUGIA Y MICROCIRUGIA DE MANO</t>
  </si>
  <si>
    <t>MÓDULOS CIRUGIAS DE COLUMNA</t>
  </si>
  <si>
    <t>MODULO I</t>
  </si>
  <si>
    <t>MODULO II</t>
  </si>
  <si>
    <t>MODULO III</t>
  </si>
  <si>
    <t>MÓDULOS DE CIRUGÍA PLÁSTICA</t>
  </si>
  <si>
    <t>MODULO DE HERIDAS SIMPLES</t>
  </si>
  <si>
    <t>MODULO DE HERIDAS COMPLEJAS HASTA 10CM</t>
  </si>
  <si>
    <t>MODULO DE HERIDAS COMPLEJAS DE 10CM O MAS</t>
  </si>
  <si>
    <t>MODULO DE COLGAJO SIMPLE</t>
  </si>
  <si>
    <t>MODULO DE COLGAJO COMPLEJA</t>
  </si>
  <si>
    <t>COLOCACIÓN / RECAMBIO Y RETIRO DE VAC</t>
  </si>
  <si>
    <t>MODULOS CIRUGIA MAXILOFACIAL</t>
  </si>
  <si>
    <t>MÓDULOS CIRUGÍA MAXILO FACIAL - MÓDULO I</t>
  </si>
  <si>
    <t xml:space="preserve">MÓDULO DE NEUROCIRUGÍA </t>
  </si>
  <si>
    <t>GRUPO A1</t>
  </si>
  <si>
    <t>GRUPO A2</t>
  </si>
  <si>
    <t>GRUPO A3</t>
  </si>
  <si>
    <t>GRUPO B1</t>
  </si>
  <si>
    <t>GRUPO B2</t>
  </si>
  <si>
    <t>GRUPO C1</t>
  </si>
  <si>
    <t>GRUPO C2</t>
  </si>
  <si>
    <t>GRUPO D1</t>
  </si>
  <si>
    <t>GRUPO D2</t>
  </si>
  <si>
    <t>COLOCACION/RETIRO DE CATETER DE PIC</t>
  </si>
  <si>
    <t xml:space="preserve">MÓDULOS DE HEMODINAMIA </t>
  </si>
  <si>
    <t>MODULO DE ESTUDIO ANGIOGRAFICO Y HEMODINAMICO SIMPLE</t>
  </si>
  <si>
    <t>MODULO DE ESTUDIO ANGIOGRAFICO - HEMODINAMICO DE TRONCOS VENOSOS</t>
  </si>
  <si>
    <t>MODULO DE ESTUDIO ANGIOGRAFICO Y HEMODINAMICO CARDIACO Y CORONARIO SIMPLE</t>
  </si>
  <si>
    <t>MODULO DE ESTUDIO ANGIOGRAFICO Y HEMODINAMICO CARDIACO Y CORONARIO COMPLEJO</t>
  </si>
  <si>
    <t>MODULO DE ESTUDIO ANGIOGRAFICO POR SUSTRACCION DE IMAGENES</t>
  </si>
  <si>
    <t>MODULO DE HEMODINAMIA + ANGIOPLASTIA TRANSLUMINAL PERCUTANEA DE VASOS PERIFERICOS SIMPLE EN UN SOLO TIEMPO</t>
  </si>
  <si>
    <t>MODULO DE HEMODINAMIA + ANGIOPLASTIA TRANSLUMINAL PERCUTANEA DE VASOS PERIFERICOS COMPLEJA EN UN SOLO TIEMPO</t>
  </si>
  <si>
    <t>MODULO DE HEMODINAMIA + ANGIOPLASTIA TRANSLUMINAL CORONARIA SIMPLE EN UN SOLO TIEMPO</t>
  </si>
  <si>
    <t>MODULO DE HEMODINAMIA + ANGIOPLASTIA TRANSLUMINAL CORONARIA Y DE OTROS VASOS COMBINADA EN UN SOLO TIEMPO</t>
  </si>
  <si>
    <t>MODULO DE HEMODINAMIA + ANGIOPLASTIA TRANSLUMINAL CORONARIA Y DE OTROS VASOS COMPLEJA EN UN SOLO TIEMPO</t>
  </si>
  <si>
    <t>MODULO DE VALVULOPLASTIA AORTICA/PULMONAR Y MITRAL POR VIA PERCUTANEA</t>
  </si>
  <si>
    <t>MODULO DE REEMPLAZO VALVULAR AORTICO PERCUTANEO</t>
  </si>
  <si>
    <t>MODULO DE COLOCACION DE ENDOPROTESIS AORTICA ABDOMINAL</t>
  </si>
  <si>
    <t>MODULO DE COLOCACION DE ENDOPROTESIS AORTICA TORACICA / TORACOABDOMINAL</t>
  </si>
  <si>
    <t>MODULO DE TRATAMIENTO DE LA COMUNICACION INTERAURICULAR O INTERVENTRICULAR,  DUCTUS ARTERIOSO PERSISTENTE,  LEAK PERIVALVULAR CON DISPOSITIVO OCLUSOR, SEPTOSTOMIA TERAPEUTICA Y CIERRE DE OREJUELA DE AURICULA IZQUIERDA</t>
  </si>
  <si>
    <t>MODULO DE INTERVENCIONES ENDOVASCULARES TERAPEUTICAS Y QUIMIOEMBOLIZACION POR CATETERISMO</t>
  </si>
  <si>
    <t>MODULO DE PRACTICAS SIMPLES NO HABITUALES POR VIA ENDOVASCULAR (CATETERISMO IZQUIERDO)</t>
  </si>
  <si>
    <t>MODULO DE PRACTICAS SIMPLES NO HABITUALES POR VIA ENDOVASCULAR (CATETERISMO DERECHO)</t>
  </si>
  <si>
    <t>MODULO DE COLOCACION DE BALON DE CONTRAPULSACION AORTICA EN SALA DE HEMODINAMIA PARA CIRCULACION  ASISTIDA</t>
  </si>
  <si>
    <t xml:space="preserve">MÓDULOS DE ELECTROFISIOLOGIA </t>
  </si>
  <si>
    <t>MODULO DE ESTUDIO ELECTROFISIOLOGICO DIAGNOSTICO</t>
  </si>
  <si>
    <t>MODULO DE ABLACION CON  MAPEO ELECTROANATOMICO POR RADIO FRECUENCIA</t>
  </si>
  <si>
    <t>MODULO DE CRIOABLACION FOCAL</t>
  </si>
  <si>
    <t>MODULO DE CRIOABLACION CON BALON</t>
  </si>
  <si>
    <t>MODULO DE ABLACION SIMPLE POR RADIOFRECUENCIA</t>
  </si>
  <si>
    <t>MODULO DE ABLACION POR RADIOFRECUENCIA CON ABORDAJE TRANSEPTAL</t>
  </si>
  <si>
    <t>MÓDULOS DE CIRUGIA VASCULAR PERIFERICA</t>
  </si>
  <si>
    <t>MÓDULO A DE CIRUGÍA VASCULAR PERIFERICA</t>
  </si>
  <si>
    <t>MÓDULO B DE CIRUGÍA VASCULAR PERIFÉRICA</t>
  </si>
  <si>
    <t>MÓDULO C DE CIRUGÍA VASCULAR PERIFÉRICA</t>
  </si>
  <si>
    <t>MÓDULO D DE CIRUGÍA VASCULAR PERIFÉRICA</t>
  </si>
  <si>
    <t>MÓDULO E DE CIRUGÍA VASCULAR PERIFÉRICA</t>
  </si>
  <si>
    <t>MÓDULOS DE CIRUGIA CARDIOVASCULAR</t>
  </si>
  <si>
    <t>MÓDULO DE CIRUGÍA CARDÍACA SIMPLE SIN CIRCULACIÓN  EXTRACORPÓREA</t>
  </si>
  <si>
    <t>MODULO A DE CIRUGIA CARDIACA</t>
  </si>
  <si>
    <t>MÓDULO B DE CIRUGÍA CARDÍACA</t>
  </si>
  <si>
    <t>MÓDULO C DE CIRUGÍA CARDÍACA</t>
  </si>
  <si>
    <t>MÓDULO D DE CIRUGÍA CARDÍACA CON CIRCULACIÓN EXTRACORPÓREA E HIPOTERMIA PROFUNDA (PARADA CIRCULATORIA) CON O SIN PERFUSIÓN SUPRAAÓRTICA</t>
  </si>
  <si>
    <t>MÓDULO DE REEMPLAZO VALVULAR AÓRTICO POR VIA TRANSAPICAL (TAVI- TA)</t>
  </si>
  <si>
    <t>MÓDULO DE COLOCACIÓN DE BALÓN DE CONTRAPULSACIÓN AÓRTICA EN QUIRÓFANO PARA CIRCULACIÓN ASISTIDA</t>
  </si>
  <si>
    <t>MÓDULOS DE MARCAPASOS</t>
  </si>
  <si>
    <t>MÓDULO A DE COLOCACIÓN DE MARCAPASOS</t>
  </si>
  <si>
    <t>MÓDULO B DE COLOCACIÓN DE MARCAPASOS</t>
  </si>
  <si>
    <t>MÓDULO C DE COLOCACIÓN DE MARCAPASOS</t>
  </si>
  <si>
    <t>MÓDULO D DE COLOCACIÓN DE MARCAPASOS</t>
  </si>
  <si>
    <t>MÓDULO E DE COLOCACIÓN DE MARCAPASOS</t>
  </si>
  <si>
    <t>MODULOS OBSTÉTRICOS</t>
  </si>
  <si>
    <t>MODULO PARTO</t>
  </si>
  <si>
    <t>MODULO CESAREA</t>
  </si>
  <si>
    <t>MODULO CESAREA CON LIGADURA</t>
  </si>
  <si>
    <t>MODULO NEONATOLOGIA</t>
  </si>
  <si>
    <t>• Módulo NEO D LEVE</t>
  </si>
  <si>
    <t>• Módulo Neo C MODERADO</t>
  </si>
  <si>
    <t>• Módulo Neo B GRAVE</t>
  </si>
  <si>
    <t>• Módulo A GRAVE/GRAVE</t>
  </si>
  <si>
    <t>Yeso de nariz</t>
  </si>
  <si>
    <t>Minerva</t>
  </si>
  <si>
    <t>Vendaje en circulo para costilla</t>
  </si>
  <si>
    <t>Vendaje en ocho enyesado-Vendaje acromio clavicular</t>
  </si>
  <si>
    <t>Vendaje de Velpeau</t>
  </si>
  <si>
    <t>Velpeau de Yeso</t>
  </si>
  <si>
    <t>Yeso toraco braquial</t>
  </si>
  <si>
    <t>Yeso braquipalmar</t>
  </si>
  <si>
    <t>Yeso antibraquiopalmar</t>
  </si>
  <si>
    <t>Mano de yeso</t>
  </si>
  <si>
    <t>Valva larga de MMSS</t>
  </si>
  <si>
    <t>Valva corta de MMSS</t>
  </si>
  <si>
    <t>Yeso pelvipedico</t>
  </si>
  <si>
    <t>Ducroquet</t>
  </si>
  <si>
    <t>Calza de yeso</t>
  </si>
  <si>
    <t>Bota larga de yeso</t>
  </si>
  <si>
    <t>Bota corta de yeso</t>
  </si>
  <si>
    <t>Valva larga de MMII</t>
  </si>
  <si>
    <t>Valva corta de MMII</t>
  </si>
  <si>
    <t>Pasta de Unna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</si>
</sst>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2C0A]\ * #,##0.00_-;\-[$$-2C0A]\ * #,##0.00_-;_-[$$-2C0A]\ * &quot;-&quot;??_-;_-@_-"/>
  </numFmts>
  <fonts count="16">
    <font>
      <sz val="11"/>
      <color theme="1"/>
      <name val="Aptos Narrow"/>
      <family val="2"/>
      <scheme val="minor"/>
    </font>
    <font>
      <sz val="11"/>
      <color theme="1"/>
      <name val="Aptos Narrow"/>
      <family val="2"/>
      <scheme val="minor"/>
    </font>
    <font>
      <sz val="11"/>
      <name val="Calibri"/>
      <family val="2"/>
    </font>
    <font>
      <sz val="11"/>
      <color indexed="8"/>
      <name val="Calibri"/>
      <family val="2"/>
      <charset val="1"/>
    </font>
    <font>
      <sz val="10"/>
      <name val="Tahoma"/>
    </font>
    <font>
      <sz val="10"/>
      <color rgb="FF000000"/>
      <name val="Tahoma"/>
    </font>
    <font>
      <sz val="10"/>
      <color theme="1"/>
      <name val="Tahoma"/>
    </font>
    <font>
      <b/>
      <sz val="10"/>
      <name val="Tahoma"/>
    </font>
    <font>
      <u/>
      <sz val="10"/>
      <name val="Tahoma"/>
    </font>
    <font>
      <i/>
      <shadow/>
      <sz val="10"/>
      <name val="Tahoma"/>
    </font>
    <font>
      <b/>
      <sz val="10"/>
      <color theme="1"/>
      <name val="Tahoma"/>
    </font>
    <font>
      <b/>
      <sz val="11"/>
      <color rgb="FFFF0000"/>
      <name val="Aptos Narrow"/>
      <family val="2"/>
      <scheme val="minor"/>
    </font>
    <font>
      <sz val="10"/>
      <name val="Calibri"/>
      <family val="2"/>
    </font>
    <font>
      <sz val="11"/>
      <color rgb="FF000000"/>
      <name val="Aptos Narrow"/>
      <family val="2"/>
      <scheme val="minor"/>
    </font>
    <font>
      <b/>
      <sz val="10"/>
      <color rgb="FFFF0000"/>
      <name val="Tahoma"/>
    </font>
    <font>
      <b/>
      <sz val="10"/>
      <color rgb="FFFF0000"/>
      <name val="Calibri"/>
      <family val="2"/>
    </font>
  </fonts>
  <fills count="7">
    <fill>
      <patternFill patternType="none"/>
    </fill>
    <fill>
      <patternFill patternType="gray125"/>
    </fill>
    <fill>
      <patternFill patternType="solid">
        <fgColor theme="0"/>
        <bgColor indexed="64"/>
      </patternFill>
    </fill>
    <fill>
      <patternFill patternType="solid">
        <fgColor theme="0"/>
        <bgColor rgb="FFE2EFD9"/>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style="thin">
        <color indexed="64"/>
      </bottom>
      <diagonal/>
    </border>
    <border>
      <left/>
      <right/>
      <top style="medium">
        <color rgb="FF000000"/>
      </top>
      <bottom/>
      <diagonal/>
    </border>
    <border>
      <left style="medium">
        <color rgb="FF000000"/>
      </left>
      <right/>
      <top style="medium">
        <color rgb="FF000000"/>
      </top>
      <bottom/>
      <diagonal/>
    </border>
    <border>
      <left style="thin">
        <color indexed="64"/>
      </left>
      <right/>
      <top/>
      <bottom/>
      <diagonal/>
    </border>
    <border>
      <left/>
      <right style="thin">
        <color indexed="64"/>
      </right>
      <top style="thin">
        <color indexed="64"/>
      </top>
      <bottom/>
      <diagonal/>
    </border>
    <border>
      <left/>
      <right style="medium">
        <color rgb="FF000000"/>
      </right>
      <top style="medium">
        <color rgb="FF000000"/>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4" fontId="1" fillId="0" borderId="0" applyFont="0" applyFill="0" applyBorder="0" applyAlignment="0" applyProtection="0"/>
    <xf numFmtId="0" fontId="2" fillId="0" borderId="0"/>
    <xf numFmtId="0" fontId="3" fillId="0" borderId="0"/>
  </cellStyleXfs>
  <cellXfs count="195">
    <xf numFmtId="0" fontId="0" fillId="0" borderId="0" xfId="0"/>
    <xf numFmtId="164" fontId="0" fillId="0" borderId="6" xfId="0" applyNumberFormat="1" applyBorder="1"/>
    <xf numFmtId="164" fontId="4" fillId="2" borderId="8" xfId="1" applyNumberFormat="1" applyFont="1" applyFill="1" applyBorder="1" applyAlignment="1">
      <alignment horizontal="right" vertical="center" indent="2"/>
    </xf>
    <xf numFmtId="164" fontId="4" fillId="2" borderId="8" xfId="1" applyNumberFormat="1" applyFont="1" applyFill="1" applyBorder="1" applyAlignment="1">
      <alignment horizontal="right" vertical="center"/>
    </xf>
    <xf numFmtId="164" fontId="4" fillId="2" borderId="6" xfId="1" applyNumberFormat="1" applyFont="1" applyFill="1" applyBorder="1" applyAlignment="1">
      <alignment horizontal="right" vertical="center" indent="2"/>
    </xf>
    <xf numFmtId="164" fontId="4" fillId="2" borderId="8" xfId="1" applyNumberFormat="1" applyFont="1" applyFill="1" applyBorder="1" applyAlignment="1">
      <alignment horizontal="right" vertical="center" wrapText="1"/>
    </xf>
    <xf numFmtId="164" fontId="4" fillId="2" borderId="8" xfId="1" applyNumberFormat="1" applyFont="1" applyFill="1" applyBorder="1" applyAlignment="1">
      <alignment vertical="center"/>
    </xf>
    <xf numFmtId="0" fontId="5" fillId="0" borderId="1" xfId="0" applyFont="1" applyBorder="1"/>
    <xf numFmtId="0" fontId="5" fillId="0" borderId="12" xfId="0" applyFont="1" applyBorder="1"/>
    <xf numFmtId="164" fontId="6" fillId="0" borderId="6" xfId="0" applyNumberFormat="1" applyFont="1" applyBorder="1"/>
    <xf numFmtId="0" fontId="6" fillId="0" borderId="6" xfId="0" applyFont="1" applyBorder="1" applyAlignment="1">
      <alignment horizontal="right" indent="2"/>
    </xf>
    <xf numFmtId="0" fontId="6" fillId="0" borderId="6" xfId="0" applyFont="1" applyBorder="1"/>
    <xf numFmtId="0" fontId="6" fillId="0" borderId="8" xfId="0" applyFont="1" applyBorder="1"/>
    <xf numFmtId="164" fontId="5" fillId="0" borderId="6" xfId="0" applyNumberFormat="1" applyFont="1" applyBorder="1"/>
    <xf numFmtId="0" fontId="5" fillId="0" borderId="4" xfId="0" applyFont="1" applyBorder="1"/>
    <xf numFmtId="0" fontId="5" fillId="0" borderId="17" xfId="0" applyFont="1" applyBorder="1"/>
    <xf numFmtId="164" fontId="4" fillId="2" borderId="1" xfId="1" applyNumberFormat="1" applyFont="1" applyFill="1" applyBorder="1" applyAlignment="1">
      <alignment vertical="center"/>
    </xf>
    <xf numFmtId="164" fontId="4" fillId="2" borderId="11" xfId="1" applyNumberFormat="1" applyFont="1" applyFill="1" applyBorder="1" applyAlignment="1">
      <alignment vertical="center"/>
    </xf>
    <xf numFmtId="0" fontId="4" fillId="2" borderId="1" xfId="2" applyFont="1" applyFill="1" applyBorder="1" applyAlignment="1">
      <alignment horizontal="left" vertical="center" wrapText="1"/>
    </xf>
    <xf numFmtId="0" fontId="4" fillId="2" borderId="1" xfId="2" applyFont="1" applyFill="1" applyBorder="1" applyAlignment="1">
      <alignment horizontal="center" vertical="center" wrapText="1"/>
    </xf>
    <xf numFmtId="14" fontId="4" fillId="2" borderId="1" xfId="2" applyNumberFormat="1" applyFont="1" applyFill="1" applyBorder="1" applyAlignment="1">
      <alignment horizontal="center" vertical="center"/>
    </xf>
    <xf numFmtId="164" fontId="4" fillId="2" borderId="1" xfId="1" applyNumberFormat="1" applyFont="1" applyFill="1" applyBorder="1" applyAlignment="1">
      <alignment horizontal="center" vertical="center" wrapText="1"/>
    </xf>
    <xf numFmtId="0" fontId="4" fillId="3" borderId="1" xfId="2" applyFont="1" applyFill="1" applyBorder="1" applyAlignment="1">
      <alignment horizontal="left" vertical="center" wrapText="1"/>
    </xf>
    <xf numFmtId="164" fontId="4" fillId="2" borderId="1" xfId="1" applyNumberFormat="1" applyFont="1" applyFill="1" applyBorder="1" applyAlignment="1">
      <alignment horizontal="right" vertical="center"/>
    </xf>
    <xf numFmtId="164" fontId="4" fillId="2" borderId="8" xfId="1" applyNumberFormat="1" applyFont="1" applyFill="1" applyBorder="1" applyAlignment="1">
      <alignment horizontal="right" wrapText="1"/>
    </xf>
    <xf numFmtId="0" fontId="4" fillId="2" borderId="2" xfId="2" applyFont="1" applyFill="1" applyBorder="1" applyAlignment="1">
      <alignment horizontal="left" vertical="center" wrapText="1"/>
    </xf>
    <xf numFmtId="164" fontId="4" fillId="2" borderId="3" xfId="1" applyNumberFormat="1" applyFont="1" applyFill="1" applyBorder="1" applyAlignment="1">
      <alignment vertical="center"/>
    </xf>
    <xf numFmtId="0" fontId="4" fillId="2" borderId="4" xfId="2" applyFont="1" applyFill="1" applyBorder="1" applyAlignment="1">
      <alignment horizontal="left" vertical="center" wrapText="1"/>
    </xf>
    <xf numFmtId="164" fontId="4" fillId="2" borderId="11" xfId="1" applyNumberFormat="1" applyFont="1" applyFill="1" applyBorder="1" applyAlignment="1">
      <alignment horizontal="right" vertical="center"/>
    </xf>
    <xf numFmtId="164" fontId="4" fillId="2" borderId="6" xfId="1" applyNumberFormat="1" applyFont="1" applyFill="1" applyBorder="1" applyAlignment="1">
      <alignment horizontal="right" vertical="center"/>
    </xf>
    <xf numFmtId="0" fontId="4" fillId="2" borderId="4" xfId="2" applyFont="1" applyFill="1" applyBorder="1" applyAlignment="1">
      <alignment vertical="center"/>
    </xf>
    <xf numFmtId="0" fontId="4" fillId="2" borderId="5" xfId="2" applyFont="1" applyFill="1" applyBorder="1" applyAlignment="1">
      <alignment horizontal="left" vertical="center" wrapText="1"/>
    </xf>
    <xf numFmtId="0" fontId="4" fillId="2" borderId="1" xfId="2" applyFont="1" applyFill="1" applyBorder="1" applyAlignment="1">
      <alignment vertical="center"/>
    </xf>
    <xf numFmtId="0" fontId="4" fillId="2" borderId="2" xfId="2" applyFont="1" applyFill="1" applyBorder="1" applyAlignment="1">
      <alignment vertical="center"/>
    </xf>
    <xf numFmtId="0" fontId="4" fillId="2" borderId="1" xfId="2" applyFont="1" applyFill="1" applyBorder="1" applyAlignment="1">
      <alignment vertical="center" wrapText="1"/>
    </xf>
    <xf numFmtId="0" fontId="4" fillId="2" borderId="2" xfId="2" applyFont="1" applyFill="1" applyBorder="1" applyAlignment="1">
      <alignment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xf>
    <xf numFmtId="164" fontId="4" fillId="2" borderId="1" xfId="1" applyNumberFormat="1" applyFont="1" applyFill="1" applyBorder="1" applyAlignment="1">
      <alignment horizontal="right" vertical="center" wrapText="1"/>
    </xf>
    <xf numFmtId="164" fontId="4" fillId="2" borderId="11" xfId="1" applyNumberFormat="1" applyFont="1" applyFill="1" applyBorder="1" applyAlignment="1">
      <alignment horizontal="right" vertical="center" wrapText="1"/>
    </xf>
    <xf numFmtId="0" fontId="4" fillId="2" borderId="1" xfId="3" applyFont="1" applyFill="1" applyBorder="1" applyAlignment="1">
      <alignment vertical="center"/>
    </xf>
    <xf numFmtId="164" fontId="7" fillId="4" borderId="1" xfId="1" applyNumberFormat="1" applyFont="1" applyFill="1" applyBorder="1" applyAlignment="1">
      <alignment vertical="center"/>
    </xf>
    <xf numFmtId="164" fontId="7" fillId="4" borderId="11" xfId="1" applyNumberFormat="1" applyFont="1" applyFill="1" applyBorder="1" applyAlignment="1">
      <alignment vertical="center"/>
    </xf>
    <xf numFmtId="0" fontId="4" fillId="2" borderId="2" xfId="3" applyFont="1" applyFill="1" applyBorder="1" applyAlignment="1">
      <alignment vertical="center"/>
    </xf>
    <xf numFmtId="0" fontId="4" fillId="2" borderId="4" xfId="0" applyFont="1" applyFill="1" applyBorder="1" applyAlignment="1">
      <alignment vertical="center"/>
    </xf>
    <xf numFmtId="0" fontId="4" fillId="2" borderId="1" xfId="0" applyFont="1" applyFill="1" applyBorder="1" applyAlignment="1">
      <alignment vertical="center"/>
    </xf>
    <xf numFmtId="0" fontId="4" fillId="2" borderId="2" xfId="0" applyFont="1" applyFill="1" applyBorder="1" applyAlignment="1">
      <alignment vertical="center"/>
    </xf>
    <xf numFmtId="0" fontId="9" fillId="2" borderId="4" xfId="0" applyFont="1" applyFill="1" applyBorder="1" applyAlignment="1">
      <alignment horizontal="left" vertic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xf>
    <xf numFmtId="164" fontId="4" fillId="2" borderId="2" xfId="1" applyNumberFormat="1" applyFont="1" applyFill="1" applyBorder="1" applyAlignment="1">
      <alignment vertical="center"/>
    </xf>
    <xf numFmtId="164" fontId="4" fillId="2" borderId="15" xfId="1" applyNumberFormat="1" applyFont="1" applyFill="1" applyBorder="1" applyAlignment="1">
      <alignment vertical="center"/>
    </xf>
    <xf numFmtId="0" fontId="6" fillId="0" borderId="0" xfId="0" applyFont="1"/>
    <xf numFmtId="164" fontId="6" fillId="0" borderId="8" xfId="0" applyNumberFormat="1" applyFont="1" applyBorder="1"/>
    <xf numFmtId="164" fontId="6" fillId="0" borderId="13" xfId="0" applyNumberFormat="1" applyFont="1" applyBorder="1"/>
    <xf numFmtId="0" fontId="10" fillId="0" borderId="6" xfId="0" applyFont="1" applyBorder="1"/>
    <xf numFmtId="14" fontId="6" fillId="0" borderId="8" xfId="0" applyNumberFormat="1" applyFont="1" applyBorder="1" applyAlignment="1">
      <alignment horizontal="right" indent="2"/>
    </xf>
    <xf numFmtId="14" fontId="6" fillId="0" borderId="8" xfId="0" applyNumberFormat="1" applyFont="1" applyBorder="1"/>
    <xf numFmtId="14" fontId="6" fillId="0" borderId="6" xfId="0" applyNumberFormat="1" applyFont="1" applyBorder="1"/>
    <xf numFmtId="14" fontId="6" fillId="0" borderId="7" xfId="0" applyNumberFormat="1" applyFont="1" applyBorder="1"/>
    <xf numFmtId="17" fontId="6" fillId="0" borderId="6" xfId="0" applyNumberFormat="1" applyFont="1" applyBorder="1"/>
    <xf numFmtId="0" fontId="6" fillId="0" borderId="10" xfId="0" applyFont="1" applyBorder="1" applyAlignment="1">
      <alignment horizontal="right" indent="2"/>
    </xf>
    <xf numFmtId="0" fontId="6" fillId="0" borderId="10" xfId="0" applyFont="1" applyBorder="1"/>
    <xf numFmtId="10" fontId="6" fillId="0" borderId="7" xfId="0" applyNumberFormat="1" applyFont="1" applyBorder="1"/>
    <xf numFmtId="10" fontId="6" fillId="0" borderId="7" xfId="0" applyNumberFormat="1" applyFont="1" applyBorder="1" applyAlignment="1">
      <alignment horizontal="right"/>
    </xf>
    <xf numFmtId="0" fontId="6" fillId="0" borderId="9" xfId="0" applyFont="1" applyBorder="1"/>
    <xf numFmtId="164" fontId="6" fillId="0" borderId="9" xfId="0" applyNumberFormat="1" applyFont="1" applyBorder="1"/>
    <xf numFmtId="164" fontId="6" fillId="0" borderId="7" xfId="0" applyNumberFormat="1" applyFont="1" applyBorder="1"/>
    <xf numFmtId="164" fontId="6" fillId="0" borderId="14" xfId="0" applyNumberFormat="1" applyFont="1" applyBorder="1"/>
    <xf numFmtId="164" fontId="10" fillId="4" borderId="8" xfId="0" applyNumberFormat="1" applyFont="1" applyFill="1" applyBorder="1"/>
    <xf numFmtId="164" fontId="10" fillId="4" borderId="6" xfId="0" applyNumberFormat="1" applyFont="1" applyFill="1" applyBorder="1"/>
    <xf numFmtId="164" fontId="6" fillId="0" borderId="10" xfId="0" applyNumberFormat="1" applyFont="1" applyBorder="1"/>
    <xf numFmtId="164" fontId="6" fillId="0" borderId="0" xfId="0" applyNumberFormat="1" applyFont="1"/>
    <xf numFmtId="0" fontId="6" fillId="0" borderId="0" xfId="0" applyFont="1" applyAlignment="1">
      <alignment horizontal="right" indent="2"/>
    </xf>
    <xf numFmtId="164" fontId="0" fillId="0" borderId="8" xfId="0" applyNumberFormat="1" applyBorder="1"/>
    <xf numFmtId="164" fontId="0" fillId="0" borderId="10" xfId="0" applyNumberFormat="1" applyBorder="1"/>
    <xf numFmtId="164" fontId="0" fillId="0" borderId="9" xfId="0" applyNumberFormat="1" applyBorder="1"/>
    <xf numFmtId="164" fontId="0" fillId="0" borderId="18" xfId="0" applyNumberFormat="1" applyBorder="1"/>
    <xf numFmtId="0" fontId="4" fillId="2" borderId="6" xfId="2" applyFont="1" applyFill="1" applyBorder="1" applyAlignment="1">
      <alignment horizontal="left" vertical="center" wrapText="1"/>
    </xf>
    <xf numFmtId="0" fontId="4" fillId="2" borderId="13" xfId="2" applyFont="1" applyFill="1" applyBorder="1" applyAlignment="1">
      <alignment horizontal="left" vertical="center" wrapText="1"/>
    </xf>
    <xf numFmtId="0" fontId="4" fillId="2" borderId="7" xfId="2" applyFont="1" applyFill="1" applyBorder="1" applyAlignment="1">
      <alignment horizontal="left" vertical="center" wrapText="1"/>
    </xf>
    <xf numFmtId="0" fontId="4" fillId="2" borderId="4" xfId="3" applyFont="1" applyFill="1" applyBorder="1" applyAlignment="1">
      <alignment vertical="center" wrapText="1"/>
    </xf>
    <xf numFmtId="0" fontId="4" fillId="2" borderId="1" xfId="3" applyFont="1" applyFill="1" applyBorder="1" applyAlignment="1">
      <alignment vertical="center" wrapText="1"/>
    </xf>
    <xf numFmtId="164" fontId="4" fillId="2" borderId="10" xfId="1" applyNumberFormat="1" applyFont="1" applyFill="1" applyBorder="1" applyAlignment="1">
      <alignment horizontal="right" wrapText="1"/>
    </xf>
    <xf numFmtId="164" fontId="4" fillId="2" borderId="6" xfId="1" applyNumberFormat="1" applyFont="1" applyFill="1" applyBorder="1" applyAlignment="1">
      <alignment horizontal="right" wrapText="1"/>
    </xf>
    <xf numFmtId="164" fontId="4" fillId="2" borderId="10" xfId="1" applyNumberFormat="1" applyFont="1" applyFill="1" applyBorder="1" applyAlignment="1">
      <alignment horizontal="right" vertical="center"/>
    </xf>
    <xf numFmtId="164" fontId="4" fillId="2" borderId="7" xfId="1" applyNumberFormat="1" applyFont="1" applyFill="1" applyBorder="1" applyAlignment="1">
      <alignment horizontal="right" vertical="center"/>
    </xf>
    <xf numFmtId="164" fontId="11" fillId="0" borderId="8" xfId="0" applyNumberFormat="1" applyFont="1" applyBorder="1"/>
    <xf numFmtId="0" fontId="0" fillId="0" borderId="7" xfId="0" applyBorder="1"/>
    <xf numFmtId="0" fontId="0" fillId="0" borderId="10" xfId="0" applyBorder="1"/>
    <xf numFmtId="164" fontId="13" fillId="0" borderId="6" xfId="0" applyNumberFormat="1" applyFont="1" applyBorder="1"/>
    <xf numFmtId="10" fontId="0" fillId="0" borderId="6" xfId="0" applyNumberFormat="1" applyBorder="1"/>
    <xf numFmtId="10" fontId="6" fillId="0" borderId="10" xfId="0" applyNumberFormat="1" applyFont="1" applyBorder="1" applyAlignment="1">
      <alignment horizontal="right"/>
    </xf>
    <xf numFmtId="17" fontId="6" fillId="0" borderId="7" xfId="0" applyNumberFormat="1" applyFont="1" applyBorder="1"/>
    <xf numFmtId="164" fontId="4" fillId="2" borderId="18" xfId="1" applyNumberFormat="1" applyFont="1" applyFill="1" applyBorder="1" applyAlignment="1">
      <alignment horizontal="right" vertical="center"/>
    </xf>
    <xf numFmtId="164" fontId="12" fillId="0" borderId="8" xfId="0" applyNumberFormat="1" applyFont="1" applyBorder="1"/>
    <xf numFmtId="164" fontId="0" fillId="0" borderId="7" xfId="0" applyNumberFormat="1" applyBorder="1"/>
    <xf numFmtId="164" fontId="0" fillId="0" borderId="13" xfId="0" applyNumberFormat="1" applyBorder="1"/>
    <xf numFmtId="164" fontId="0" fillId="0" borderId="14" xfId="0" applyNumberFormat="1" applyBorder="1"/>
    <xf numFmtId="0" fontId="10" fillId="0" borderId="8" xfId="0" applyFont="1" applyBorder="1"/>
    <xf numFmtId="17" fontId="6" fillId="0" borderId="10" xfId="0" applyNumberFormat="1" applyFont="1" applyBorder="1"/>
    <xf numFmtId="10" fontId="0" fillId="0" borderId="8" xfId="0" applyNumberFormat="1" applyBorder="1"/>
    <xf numFmtId="10" fontId="0" fillId="0" borderId="7" xfId="0" applyNumberFormat="1" applyBorder="1"/>
    <xf numFmtId="164" fontId="11" fillId="0" borderId="6" xfId="0" applyNumberFormat="1" applyFont="1" applyBorder="1"/>
    <xf numFmtId="164" fontId="4" fillId="2" borderId="13" xfId="1" applyNumberFormat="1" applyFont="1" applyFill="1" applyBorder="1" applyAlignment="1">
      <alignment horizontal="right" vertical="center"/>
    </xf>
    <xf numFmtId="164" fontId="4" fillId="2" borderId="2" xfId="1" applyNumberFormat="1" applyFont="1" applyFill="1" applyBorder="1" applyAlignment="1">
      <alignment horizontal="right" vertical="center"/>
    </xf>
    <xf numFmtId="164" fontId="4" fillId="2" borderId="10" xfId="1" applyNumberFormat="1" applyFont="1" applyFill="1" applyBorder="1" applyAlignment="1">
      <alignment horizontal="right" vertical="center" indent="2"/>
    </xf>
    <xf numFmtId="0" fontId="6" fillId="0" borderId="7" xfId="0" applyFont="1" applyBorder="1"/>
    <xf numFmtId="164" fontId="4" fillId="2" borderId="4" xfId="1" applyNumberFormat="1" applyFont="1" applyFill="1" applyBorder="1" applyAlignment="1">
      <alignment vertical="center"/>
    </xf>
    <xf numFmtId="164" fontId="4" fillId="2" borderId="9" xfId="1" applyNumberFormat="1" applyFont="1" applyFill="1" applyBorder="1" applyAlignment="1">
      <alignment horizontal="right" vertical="center" indent="2"/>
    </xf>
    <xf numFmtId="164" fontId="12" fillId="0" borderId="9" xfId="0" applyNumberFormat="1" applyFont="1" applyBorder="1"/>
    <xf numFmtId="164" fontId="4" fillId="2" borderId="15" xfId="1" applyNumberFormat="1" applyFont="1" applyFill="1" applyBorder="1" applyAlignment="1">
      <alignment horizontal="right" vertical="center"/>
    </xf>
    <xf numFmtId="164" fontId="4" fillId="2" borderId="4" xfId="1" applyNumberFormat="1" applyFont="1" applyFill="1" applyBorder="1" applyAlignment="1">
      <alignment horizontal="right" vertical="center"/>
    </xf>
    <xf numFmtId="164" fontId="4" fillId="2" borderId="22" xfId="1" applyNumberFormat="1" applyFont="1" applyFill="1" applyBorder="1" applyAlignment="1">
      <alignment horizontal="right" vertical="center"/>
    </xf>
    <xf numFmtId="164" fontId="4" fillId="2" borderId="22" xfId="1" applyNumberFormat="1" applyFont="1" applyFill="1" applyBorder="1" applyAlignment="1">
      <alignment vertical="center"/>
    </xf>
    <xf numFmtId="164" fontId="12" fillId="0" borderId="10" xfId="0" applyNumberFormat="1" applyFont="1" applyBorder="1"/>
    <xf numFmtId="164" fontId="4" fillId="2" borderId="5" xfId="1" applyNumberFormat="1" applyFont="1" applyFill="1" applyBorder="1" applyAlignment="1">
      <alignment vertical="center"/>
    </xf>
    <xf numFmtId="164" fontId="4" fillId="2" borderId="25" xfId="1" applyNumberFormat="1" applyFont="1" applyFill="1" applyBorder="1" applyAlignment="1">
      <alignment vertical="center"/>
    </xf>
    <xf numFmtId="164" fontId="6" fillId="0" borderId="18" xfId="0" applyNumberFormat="1" applyFont="1" applyBorder="1"/>
    <xf numFmtId="164" fontId="12" fillId="0" borderId="18" xfId="0" applyNumberFormat="1" applyFont="1" applyBorder="1"/>
    <xf numFmtId="164" fontId="4" fillId="2" borderId="16" xfId="1" applyNumberFormat="1" applyFont="1" applyFill="1" applyBorder="1" applyAlignment="1">
      <alignment vertical="center"/>
    </xf>
    <xf numFmtId="164" fontId="4" fillId="2" borderId="9" xfId="1" applyNumberFormat="1" applyFont="1" applyFill="1" applyBorder="1" applyAlignment="1">
      <alignment horizontal="right" vertical="center"/>
    </xf>
    <xf numFmtId="164" fontId="4" fillId="2" borderId="5" xfId="1" applyNumberFormat="1" applyFont="1" applyFill="1" applyBorder="1" applyAlignment="1">
      <alignment horizontal="right" vertical="center"/>
    </xf>
    <xf numFmtId="164" fontId="4" fillId="2" borderId="25" xfId="1" applyNumberFormat="1" applyFont="1" applyFill="1" applyBorder="1" applyAlignment="1">
      <alignment horizontal="right" vertical="center"/>
    </xf>
    <xf numFmtId="164" fontId="4" fillId="2" borderId="14" xfId="1" applyNumberFormat="1" applyFont="1" applyFill="1" applyBorder="1" applyAlignment="1">
      <alignment horizontal="right" vertical="center"/>
    </xf>
    <xf numFmtId="164" fontId="11" fillId="0" borderId="9" xfId="0" applyNumberFormat="1" applyFont="1" applyBorder="1"/>
    <xf numFmtId="164" fontId="11" fillId="0" borderId="10" xfId="0" applyNumberFormat="1" applyFont="1" applyBorder="1"/>
    <xf numFmtId="164" fontId="11" fillId="0" borderId="7" xfId="0" applyNumberFormat="1" applyFont="1" applyBorder="1"/>
    <xf numFmtId="164" fontId="4" fillId="2" borderId="2" xfId="1" applyNumberFormat="1" applyFont="1" applyFill="1" applyBorder="1" applyAlignment="1">
      <alignment horizontal="right" vertical="center" wrapText="1"/>
    </xf>
    <xf numFmtId="164" fontId="4" fillId="2" borderId="15" xfId="1" applyNumberFormat="1" applyFont="1" applyFill="1" applyBorder="1" applyAlignment="1">
      <alignment horizontal="right" vertical="center" wrapText="1"/>
    </xf>
    <xf numFmtId="164" fontId="4" fillId="2" borderId="10" xfId="1" applyNumberFormat="1" applyFont="1" applyFill="1" applyBorder="1" applyAlignment="1">
      <alignment horizontal="right" vertical="center" wrapText="1"/>
    </xf>
    <xf numFmtId="164" fontId="4" fillId="2" borderId="9" xfId="1" applyNumberFormat="1" applyFont="1" applyFill="1" applyBorder="1" applyAlignment="1">
      <alignment vertical="center"/>
    </xf>
    <xf numFmtId="164" fontId="4" fillId="2" borderId="10" xfId="1" applyNumberFormat="1" applyFont="1" applyFill="1" applyBorder="1" applyAlignment="1">
      <alignment vertical="center"/>
    </xf>
    <xf numFmtId="164" fontId="13" fillId="0" borderId="13" xfId="0" applyNumberFormat="1" applyFont="1" applyBorder="1"/>
    <xf numFmtId="164" fontId="4" fillId="2" borderId="26" xfId="1" applyNumberFormat="1" applyFont="1" applyFill="1" applyBorder="1" applyAlignment="1">
      <alignment vertical="center"/>
    </xf>
    <xf numFmtId="164" fontId="4" fillId="2" borderId="18" xfId="1" applyNumberFormat="1" applyFont="1" applyFill="1" applyBorder="1" applyAlignment="1">
      <alignment vertical="center"/>
    </xf>
    <xf numFmtId="164" fontId="0" fillId="0" borderId="8" xfId="0" applyNumberFormat="1" applyBorder="1" applyAlignment="1">
      <alignment horizontal="right"/>
    </xf>
    <xf numFmtId="164" fontId="0" fillId="0" borderId="6" xfId="0" applyNumberFormat="1" applyBorder="1" applyAlignment="1">
      <alignment horizontal="right"/>
    </xf>
    <xf numFmtId="164" fontId="0" fillId="0" borderId="7" xfId="0" applyNumberFormat="1" applyBorder="1" applyAlignment="1">
      <alignment horizontal="right"/>
    </xf>
    <xf numFmtId="164" fontId="0" fillId="0" borderId="13" xfId="0" applyNumberFormat="1" applyBorder="1" applyAlignment="1">
      <alignment horizontal="right"/>
    </xf>
    <xf numFmtId="164" fontId="0" fillId="0" borderId="14" xfId="0" applyNumberFormat="1" applyBorder="1" applyAlignment="1">
      <alignment horizontal="right"/>
    </xf>
    <xf numFmtId="0" fontId="14" fillId="2" borderId="1" xfId="2" applyFont="1" applyFill="1" applyBorder="1" applyAlignment="1">
      <alignment horizontal="left" vertical="center" wrapText="1"/>
    </xf>
    <xf numFmtId="164" fontId="14" fillId="2" borderId="1" xfId="1" applyNumberFormat="1" applyFont="1" applyFill="1" applyBorder="1" applyAlignment="1">
      <alignment vertical="center"/>
    </xf>
    <xf numFmtId="164" fontId="14" fillId="2" borderId="11" xfId="1" applyNumberFormat="1" applyFont="1" applyFill="1" applyBorder="1" applyAlignment="1">
      <alignment vertical="center"/>
    </xf>
    <xf numFmtId="164" fontId="14" fillId="0" borderId="8" xfId="0" applyNumberFormat="1" applyFont="1" applyBorder="1"/>
    <xf numFmtId="164" fontId="14" fillId="0" borderId="6" xfId="0" applyNumberFormat="1" applyFont="1" applyBorder="1"/>
    <xf numFmtId="164" fontId="15" fillId="0" borderId="8" xfId="0" applyNumberFormat="1" applyFont="1" applyBorder="1"/>
    <xf numFmtId="164" fontId="11" fillId="0" borderId="6" xfId="0" applyNumberFormat="1" applyFont="1" applyBorder="1" applyAlignment="1">
      <alignment horizontal="right"/>
    </xf>
    <xf numFmtId="164" fontId="0" fillId="0" borderId="9" xfId="0" applyNumberFormat="1" applyBorder="1" applyAlignment="1">
      <alignment horizontal="right"/>
    </xf>
    <xf numFmtId="0" fontId="4" fillId="2" borderId="0" xfId="2" applyFont="1" applyFill="1" applyAlignment="1">
      <alignment horizontal="center" vertical="center" wrapText="1"/>
    </xf>
    <xf numFmtId="0" fontId="4" fillId="3"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4"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4" fillId="2" borderId="4" xfId="2" applyFont="1" applyFill="1" applyBorder="1" applyAlignment="1">
      <alignment horizontal="center" vertical="center"/>
    </xf>
    <xf numFmtId="0" fontId="4" fillId="2" borderId="1" xfId="2" applyFont="1" applyFill="1" applyBorder="1" applyAlignment="1">
      <alignment horizontal="center" vertical="center"/>
    </xf>
    <xf numFmtId="0" fontId="4" fillId="2" borderId="2" xfId="2" applyFont="1" applyFill="1" applyBorder="1" applyAlignment="1">
      <alignment horizontal="center" vertical="center"/>
    </xf>
    <xf numFmtId="0" fontId="4" fillId="2" borderId="4" xfId="3" applyFont="1" applyFill="1" applyBorder="1" applyAlignment="1">
      <alignment horizontal="center" vertical="center"/>
    </xf>
    <xf numFmtId="0" fontId="4" fillId="2" borderId="1" xfId="3" applyFont="1" applyFill="1" applyBorder="1" applyAlignment="1">
      <alignment horizontal="center" vertical="center"/>
    </xf>
    <xf numFmtId="0" fontId="4" fillId="2" borderId="2" xfId="3" applyFont="1" applyFill="1" applyBorder="1" applyAlignment="1">
      <alignment horizontal="center" vertical="center"/>
    </xf>
    <xf numFmtId="0" fontId="14" fillId="2" borderId="1"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7" xfId="2" applyFont="1" applyFill="1" applyBorder="1" applyAlignment="1">
      <alignment horizontal="center" vertical="center" wrapText="1"/>
    </xf>
    <xf numFmtId="0" fontId="4" fillId="2" borderId="4"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5" fillId="0" borderId="3" xfId="0" applyFont="1" applyBorder="1" applyAlignment="1">
      <alignment horizontal="center"/>
    </xf>
    <xf numFmtId="0" fontId="5" fillId="0" borderId="16" xfId="0" applyFont="1" applyBorder="1" applyAlignment="1">
      <alignment horizontal="center"/>
    </xf>
    <xf numFmtId="0" fontId="6" fillId="0" borderId="0" xfId="0" applyFont="1" applyAlignment="1">
      <alignment horizontal="center"/>
    </xf>
    <xf numFmtId="164" fontId="0" fillId="0" borderId="10" xfId="0" applyNumberFormat="1" applyBorder="1" applyAlignment="1">
      <alignment horizontal="right"/>
    </xf>
    <xf numFmtId="164" fontId="0" fillId="0" borderId="18" xfId="0" applyNumberFormat="1" applyBorder="1" applyAlignment="1">
      <alignment horizontal="right"/>
    </xf>
    <xf numFmtId="164" fontId="11" fillId="0" borderId="8" xfId="0" applyNumberFormat="1" applyFont="1" applyBorder="1" applyAlignment="1">
      <alignment horizontal="right"/>
    </xf>
    <xf numFmtId="164" fontId="4" fillId="2" borderId="6" xfId="1" applyNumberFormat="1" applyFont="1" applyFill="1" applyBorder="1" applyAlignment="1">
      <alignment horizontal="center" wrapText="1"/>
    </xf>
    <xf numFmtId="164" fontId="11" fillId="0" borderId="13" xfId="0" applyNumberFormat="1" applyFont="1" applyBorder="1"/>
    <xf numFmtId="0" fontId="5" fillId="0" borderId="0" xfId="0" applyFont="1"/>
    <xf numFmtId="0" fontId="7" fillId="5" borderId="19" xfId="2" applyFont="1" applyFill="1" applyBorder="1" applyAlignment="1">
      <alignment horizontal="center" vertical="center" wrapText="1"/>
    </xf>
    <xf numFmtId="0" fontId="7" fillId="5" borderId="21" xfId="2" applyFont="1" applyFill="1" applyBorder="1" applyAlignment="1">
      <alignment horizontal="center" vertical="center" wrapText="1"/>
    </xf>
    <xf numFmtId="0" fontId="7" fillId="5" borderId="0" xfId="2" applyFont="1" applyFill="1" applyAlignment="1">
      <alignment horizontal="center" vertical="center" wrapText="1"/>
    </xf>
    <xf numFmtId="0" fontId="7" fillId="5" borderId="20" xfId="2" applyFont="1" applyFill="1" applyBorder="1" applyAlignment="1">
      <alignment horizontal="center" vertical="center" wrapText="1"/>
    </xf>
    <xf numFmtId="0" fontId="7" fillId="5" borderId="29" xfId="2" applyFont="1" applyFill="1" applyBorder="1" applyAlignment="1">
      <alignment horizontal="center" vertical="center" wrapText="1"/>
    </xf>
    <xf numFmtId="0" fontId="7" fillId="5" borderId="30" xfId="2" applyFont="1" applyFill="1" applyBorder="1" applyAlignment="1">
      <alignment horizontal="center" vertical="center" wrapText="1"/>
    </xf>
    <xf numFmtId="0" fontId="7" fillId="5" borderId="28" xfId="2" applyFont="1" applyFill="1" applyBorder="1" applyAlignment="1">
      <alignment horizontal="center" vertical="center" wrapText="1"/>
    </xf>
    <xf numFmtId="0" fontId="7" fillId="6" borderId="19" xfId="2" applyFont="1" applyFill="1" applyBorder="1" applyAlignment="1">
      <alignment horizontal="center" vertical="center" wrapText="1"/>
    </xf>
    <xf numFmtId="0" fontId="7" fillId="6" borderId="21" xfId="2" applyFont="1" applyFill="1" applyBorder="1" applyAlignment="1">
      <alignment horizontal="center" vertical="center" wrapText="1"/>
    </xf>
    <xf numFmtId="0" fontId="7" fillId="6" borderId="0" xfId="2" applyFont="1" applyFill="1" applyAlignment="1">
      <alignment horizontal="center" vertical="center" wrapText="1"/>
    </xf>
    <xf numFmtId="0" fontId="7" fillId="6" borderId="20" xfId="2" applyFont="1" applyFill="1" applyBorder="1" applyAlignment="1">
      <alignment horizontal="center" vertical="center" wrapText="1"/>
    </xf>
    <xf numFmtId="0" fontId="7" fillId="6" borderId="24" xfId="2" applyFont="1" applyFill="1" applyBorder="1" applyAlignment="1">
      <alignment horizontal="center" vertical="center" wrapText="1"/>
    </xf>
    <xf numFmtId="0" fontId="7" fillId="6" borderId="27" xfId="2" applyFont="1" applyFill="1" applyBorder="1" applyAlignment="1">
      <alignment horizontal="center" vertical="center" wrapText="1"/>
    </xf>
    <xf numFmtId="0" fontId="7" fillId="6" borderId="23" xfId="2" applyFont="1" applyFill="1" applyBorder="1" applyAlignment="1">
      <alignment horizontal="center" vertical="center" wrapText="1"/>
    </xf>
    <xf numFmtId="0" fontId="7" fillId="5" borderId="23" xfId="2" applyFont="1" applyFill="1" applyBorder="1" applyAlignment="1">
      <alignment horizontal="center" vertical="center" wrapText="1"/>
    </xf>
  </cellXfs>
  <cellStyles count="4">
    <cellStyle name="Excel Built-in Normal" xfId="3" xr:uid="{27607D56-3EEE-4CE3-9565-37B6C5C8290A}"/>
    <cellStyle name="Moneda" xfId="1" builtinId="4"/>
    <cellStyle name="Normal" xfId="0" builtinId="0"/>
    <cellStyle name="Normal 3" xfId="2" xr:uid="{248B961F-40E6-43DB-BAC5-C29ADDF263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F22B-6490-4302-86CA-6643917EBCBA}">
  <sheetPr filterMode="1">
    <pageSetUpPr fitToPage="1"/>
  </sheetPr>
  <dimension ref="A1:AN565"/>
  <sheetViews>
    <sheetView tabSelected="1" workbookViewId="0">
      <pane ySplit="2" topLeftCell="A3" activePane="bottomLeft" state="frozen"/>
      <selection pane="bottomLeft" activeCell="B7" sqref="B7:AN7"/>
    </sheetView>
  </sheetViews>
  <sheetFormatPr defaultColWidth="9.140625" defaultRowHeight="15"/>
  <cols>
    <col min="1" max="1" width="8.7109375" style="56" customWidth="1"/>
    <col min="2" max="2" width="10.28515625" style="173" customWidth="1"/>
    <col min="3" max="3" width="82.140625" style="56" customWidth="1"/>
    <col min="4" max="4" width="25.42578125" style="76" hidden="1" customWidth="1"/>
    <col min="5" max="5" width="23.140625" style="77" hidden="1" customWidth="1"/>
    <col min="6" max="6" width="23.140625" style="56" hidden="1" customWidth="1"/>
    <col min="7" max="8" width="20.42578125" style="56" hidden="1" customWidth="1"/>
    <col min="9" max="10" width="18.7109375" style="56" hidden="1" customWidth="1"/>
    <col min="11" max="11" width="16.42578125" style="56" hidden="1" customWidth="1"/>
    <col min="12" max="12" width="14.85546875" style="56" hidden="1" customWidth="1"/>
    <col min="13" max="14" width="20.42578125" style="56" hidden="1" customWidth="1"/>
    <col min="15" max="24" width="20.42578125" hidden="1" customWidth="1"/>
    <col min="25" max="25" width="20.28515625" hidden="1" customWidth="1"/>
    <col min="26" max="26" width="20.140625" hidden="1" customWidth="1"/>
    <col min="27" max="27" width="15.28515625" hidden="1" customWidth="1"/>
    <col min="28" max="28" width="15.140625" hidden="1" customWidth="1"/>
    <col min="29" max="31" width="20.42578125" hidden="1" customWidth="1"/>
    <col min="32" max="32" width="16.42578125" hidden="1" customWidth="1"/>
    <col min="33" max="34" width="16" hidden="1" customWidth="1"/>
    <col min="35" max="36" width="20.42578125" hidden="1" customWidth="1"/>
    <col min="37" max="37" width="17.28515625" customWidth="1"/>
    <col min="38" max="39" width="15.5703125" customWidth="1"/>
    <col min="40" max="40" width="16" customWidth="1"/>
  </cols>
  <sheetData>
    <row r="1" spans="2:40">
      <c r="B1" s="153"/>
      <c r="C1" s="16"/>
      <c r="D1" s="17"/>
      <c r="E1" s="57"/>
      <c r="F1" s="17"/>
      <c r="G1" s="59" t="s">
        <v>0</v>
      </c>
      <c r="H1" s="59" t="s">
        <v>1</v>
      </c>
      <c r="I1" s="59" t="s">
        <v>0</v>
      </c>
      <c r="J1" s="59" t="s">
        <v>1</v>
      </c>
      <c r="K1" s="59" t="s">
        <v>0</v>
      </c>
      <c r="L1" s="59" t="s">
        <v>1</v>
      </c>
      <c r="M1" s="59" t="s">
        <v>0</v>
      </c>
      <c r="N1" s="59" t="s">
        <v>1</v>
      </c>
      <c r="O1" s="59" t="s">
        <v>0</v>
      </c>
      <c r="P1" s="59" t="s">
        <v>1</v>
      </c>
      <c r="Q1" s="59" t="s">
        <v>0</v>
      </c>
      <c r="R1" s="59" t="s">
        <v>1</v>
      </c>
      <c r="S1" s="59" t="s">
        <v>0</v>
      </c>
      <c r="T1" s="59" t="s">
        <v>1</v>
      </c>
      <c r="U1" s="59" t="s">
        <v>0</v>
      </c>
      <c r="V1" s="59" t="s">
        <v>1</v>
      </c>
      <c r="W1" s="59" t="s">
        <v>0</v>
      </c>
      <c r="X1" s="103" t="s">
        <v>1</v>
      </c>
      <c r="Y1" s="59" t="s">
        <v>0</v>
      </c>
      <c r="Z1" s="59" t="s">
        <v>1</v>
      </c>
      <c r="AA1" s="59" t="s">
        <v>0</v>
      </c>
      <c r="AB1" s="59" t="s">
        <v>1</v>
      </c>
      <c r="AC1" s="59" t="s">
        <v>0</v>
      </c>
      <c r="AD1" s="59" t="s">
        <v>1</v>
      </c>
      <c r="AE1" s="59" t="s">
        <v>0</v>
      </c>
      <c r="AF1" s="59" t="s">
        <v>1</v>
      </c>
      <c r="AG1" s="59" t="s">
        <v>0</v>
      </c>
      <c r="AH1" s="59" t="s">
        <v>1</v>
      </c>
      <c r="AI1" s="59" t="s">
        <v>0</v>
      </c>
      <c r="AJ1" s="59" t="s">
        <v>1</v>
      </c>
      <c r="AK1" s="59" t="s">
        <v>0</v>
      </c>
      <c r="AL1" s="59" t="s">
        <v>1</v>
      </c>
      <c r="AM1" s="59" t="s">
        <v>0</v>
      </c>
      <c r="AN1" s="59" t="s">
        <v>1</v>
      </c>
    </row>
    <row r="2" spans="2:40">
      <c r="B2" s="19" t="s">
        <v>2</v>
      </c>
      <c r="C2" s="19"/>
      <c r="D2" s="20">
        <v>45474</v>
      </c>
      <c r="E2" s="60">
        <v>45505</v>
      </c>
      <c r="F2" s="61">
        <v>45536</v>
      </c>
      <c r="G2" s="61">
        <v>45566</v>
      </c>
      <c r="H2" s="61">
        <v>45566</v>
      </c>
      <c r="I2" s="61">
        <v>45597</v>
      </c>
      <c r="J2" s="61">
        <v>45597</v>
      </c>
      <c r="K2" s="62">
        <v>45627</v>
      </c>
      <c r="L2" s="63">
        <v>45627</v>
      </c>
      <c r="M2" s="64">
        <v>45658</v>
      </c>
      <c r="N2" s="64">
        <v>45658</v>
      </c>
      <c r="O2" s="64">
        <v>45689</v>
      </c>
      <c r="P2" s="64">
        <v>45689</v>
      </c>
      <c r="Q2" s="64">
        <v>45717</v>
      </c>
      <c r="R2" s="64">
        <v>45717</v>
      </c>
      <c r="S2" s="64">
        <v>45748</v>
      </c>
      <c r="T2" s="64">
        <v>45748</v>
      </c>
      <c r="U2" s="64">
        <v>45778</v>
      </c>
      <c r="V2" s="64">
        <v>45778</v>
      </c>
      <c r="W2" s="97">
        <v>45809</v>
      </c>
      <c r="X2" s="104">
        <v>45809</v>
      </c>
      <c r="Y2" s="64">
        <v>45839</v>
      </c>
      <c r="Z2" s="64">
        <v>45839</v>
      </c>
      <c r="AA2" s="64">
        <v>45870</v>
      </c>
      <c r="AB2" s="64">
        <v>45870</v>
      </c>
      <c r="AC2" s="64">
        <v>45901</v>
      </c>
      <c r="AD2" s="64">
        <v>45901</v>
      </c>
      <c r="AE2" s="64">
        <v>45931</v>
      </c>
      <c r="AF2" s="64">
        <v>45931</v>
      </c>
      <c r="AG2" s="64">
        <v>45962</v>
      </c>
      <c r="AH2" s="64">
        <v>45962</v>
      </c>
      <c r="AI2" s="64">
        <v>45992</v>
      </c>
      <c r="AJ2" s="64">
        <v>45992</v>
      </c>
      <c r="AK2" s="64">
        <v>46054</v>
      </c>
      <c r="AL2" s="64">
        <v>46054</v>
      </c>
      <c r="AM2" s="64">
        <v>46113</v>
      </c>
      <c r="AN2" s="64">
        <v>46113</v>
      </c>
    </row>
    <row r="3" spans="2:40" ht="43.5" customHeight="1">
      <c r="B3" s="19"/>
      <c r="C3" s="18" t="s">
        <v>3</v>
      </c>
      <c r="D3" s="21" t="s">
        <v>4</v>
      </c>
      <c r="E3" s="65"/>
      <c r="F3" s="12"/>
      <c r="G3" s="12"/>
      <c r="H3" s="66"/>
      <c r="I3" s="66"/>
      <c r="J3" s="66"/>
      <c r="K3" s="12"/>
      <c r="L3" s="11"/>
      <c r="M3" s="67">
        <v>2.7E-2</v>
      </c>
      <c r="N3" s="68">
        <v>2.7E-2</v>
      </c>
      <c r="O3" s="67">
        <v>2.1999999999999999E-2</v>
      </c>
      <c r="P3" s="68">
        <v>2.1999999999999999E-2</v>
      </c>
      <c r="Q3" s="67">
        <v>2.4E-2</v>
      </c>
      <c r="R3" s="68">
        <v>2.4E-2</v>
      </c>
      <c r="S3" s="67">
        <v>3.6999999999999998E-2</v>
      </c>
      <c r="T3" s="68">
        <v>3.6999999999999998E-2</v>
      </c>
      <c r="U3" s="67">
        <v>2.8000000000000001E-2</v>
      </c>
      <c r="V3" s="96">
        <v>2.8000000000000001E-2</v>
      </c>
      <c r="W3" s="95">
        <v>1.4999999999999999E-2</v>
      </c>
      <c r="X3" s="105">
        <v>1.4999999999999999E-2</v>
      </c>
      <c r="Y3" s="106">
        <v>1.6E-2</v>
      </c>
      <c r="Z3" s="106">
        <v>1.6E-2</v>
      </c>
      <c r="AA3" s="106">
        <v>1.9E-2</v>
      </c>
      <c r="AB3" s="106">
        <v>1.9E-2</v>
      </c>
      <c r="AC3" s="106">
        <v>1.9E-2</v>
      </c>
      <c r="AD3" s="106">
        <v>1.9E-2</v>
      </c>
      <c r="AE3" s="106">
        <v>2.1000000000000001E-2</v>
      </c>
      <c r="AF3" s="106">
        <v>2.1000000000000001E-2</v>
      </c>
      <c r="AG3" s="106">
        <v>1.2999999999999999E-2</v>
      </c>
      <c r="AH3" s="106">
        <v>1.2999999999999999E-2</v>
      </c>
      <c r="AI3" s="106">
        <v>0.02</v>
      </c>
      <c r="AJ3" s="106">
        <v>0.02</v>
      </c>
      <c r="AK3" s="106">
        <v>2.9000000000000001E-2</v>
      </c>
      <c r="AL3" s="106">
        <v>2.9000000000000001E-2</v>
      </c>
      <c r="AM3" s="106">
        <v>6.3E-2</v>
      </c>
      <c r="AN3" s="106">
        <v>6.3E-2</v>
      </c>
    </row>
    <row r="4" spans="2:40">
      <c r="B4" s="154"/>
      <c r="C4" s="22" t="s">
        <v>5</v>
      </c>
      <c r="D4" s="23" t="s">
        <v>6</v>
      </c>
      <c r="E4" s="2" t="s">
        <v>6</v>
      </c>
      <c r="F4" s="2" t="s">
        <v>6</v>
      </c>
      <c r="G4" s="2" t="s">
        <v>6</v>
      </c>
      <c r="H4" s="2"/>
      <c r="I4" s="2" t="s">
        <v>6</v>
      </c>
      <c r="J4" s="2"/>
      <c r="K4" s="2" t="s">
        <v>6</v>
      </c>
      <c r="L4" s="4" t="s">
        <v>6</v>
      </c>
      <c r="M4" s="3" t="s">
        <v>6</v>
      </c>
      <c r="N4" s="3" t="s">
        <v>6</v>
      </c>
      <c r="O4" s="3" t="s">
        <v>6</v>
      </c>
      <c r="P4" s="29" t="s">
        <v>6</v>
      </c>
      <c r="Q4" s="89" t="s">
        <v>6</v>
      </c>
      <c r="R4" s="90" t="s">
        <v>6</v>
      </c>
      <c r="S4" s="89" t="s">
        <v>6</v>
      </c>
      <c r="T4" s="90" t="s">
        <v>6</v>
      </c>
      <c r="U4" s="89" t="s">
        <v>6</v>
      </c>
      <c r="V4" s="90" t="s">
        <v>6</v>
      </c>
      <c r="W4" s="98" t="s">
        <v>6</v>
      </c>
      <c r="X4" s="98" t="s">
        <v>6</v>
      </c>
      <c r="Y4" s="29" t="s">
        <v>6</v>
      </c>
      <c r="Z4" s="29" t="s">
        <v>6</v>
      </c>
      <c r="AA4" s="29" t="s">
        <v>6</v>
      </c>
      <c r="AB4" s="29" t="s">
        <v>6</v>
      </c>
      <c r="AC4" s="29" t="s">
        <v>6</v>
      </c>
      <c r="AD4" s="29" t="s">
        <v>6</v>
      </c>
      <c r="AE4" s="29" t="s">
        <v>6</v>
      </c>
      <c r="AF4" s="29" t="s">
        <v>6</v>
      </c>
      <c r="AG4" s="29" t="s">
        <v>6</v>
      </c>
      <c r="AH4" s="29" t="s">
        <v>6</v>
      </c>
      <c r="AI4" s="29" t="s">
        <v>6</v>
      </c>
      <c r="AJ4" s="29" t="s">
        <v>6</v>
      </c>
      <c r="AK4" s="29" t="s">
        <v>6</v>
      </c>
      <c r="AL4" s="29" t="s">
        <v>6</v>
      </c>
      <c r="AM4" s="29" t="s">
        <v>6</v>
      </c>
      <c r="AN4" s="29" t="s">
        <v>6</v>
      </c>
    </row>
    <row r="5" spans="2:40" ht="50.25">
      <c r="B5" s="19"/>
      <c r="C5" s="18" t="s">
        <v>7</v>
      </c>
      <c r="D5" s="23"/>
      <c r="E5" s="2"/>
      <c r="F5" s="12"/>
      <c r="G5" s="12"/>
      <c r="H5" s="69"/>
      <c r="I5" s="69"/>
      <c r="J5" s="69"/>
      <c r="K5" s="12"/>
      <c r="L5" s="11"/>
      <c r="M5" s="24" t="s">
        <v>8</v>
      </c>
      <c r="N5" s="24" t="s">
        <v>8</v>
      </c>
      <c r="O5" s="87" t="s">
        <v>8</v>
      </c>
      <c r="P5" s="87" t="s">
        <v>8</v>
      </c>
      <c r="Q5" s="88" t="s">
        <v>8</v>
      </c>
      <c r="R5" s="88" t="s">
        <v>8</v>
      </c>
      <c r="S5" s="88" t="s">
        <v>8</v>
      </c>
      <c r="T5" s="88" t="s">
        <v>8</v>
      </c>
      <c r="U5" s="88" t="s">
        <v>8</v>
      </c>
      <c r="V5" s="88" t="s">
        <v>8</v>
      </c>
      <c r="W5" s="88" t="s">
        <v>8</v>
      </c>
      <c r="X5" s="24" t="s">
        <v>8</v>
      </c>
      <c r="Y5" s="88" t="s">
        <v>8</v>
      </c>
      <c r="Z5" s="88" t="s">
        <v>8</v>
      </c>
      <c r="AA5" s="88" t="s">
        <v>8</v>
      </c>
      <c r="AB5" s="88" t="s">
        <v>8</v>
      </c>
      <c r="AC5" s="88" t="s">
        <v>8</v>
      </c>
      <c r="AD5" s="88" t="s">
        <v>8</v>
      </c>
      <c r="AE5" s="88" t="s">
        <v>8</v>
      </c>
      <c r="AF5" s="88" t="s">
        <v>8</v>
      </c>
      <c r="AG5" s="88" t="s">
        <v>8</v>
      </c>
      <c r="AH5" s="88" t="s">
        <v>8</v>
      </c>
      <c r="AI5" s="177" t="s">
        <v>8</v>
      </c>
      <c r="AJ5" s="177" t="s">
        <v>8</v>
      </c>
      <c r="AK5" s="177" t="s">
        <v>8</v>
      </c>
      <c r="AL5" s="177" t="s">
        <v>8</v>
      </c>
      <c r="AM5" s="177" t="s">
        <v>8</v>
      </c>
      <c r="AN5" s="177" t="s">
        <v>8</v>
      </c>
    </row>
    <row r="6" spans="2:40">
      <c r="B6" s="155"/>
      <c r="C6" s="25" t="s">
        <v>9</v>
      </c>
      <c r="D6" s="109">
        <v>0</v>
      </c>
      <c r="E6" s="110"/>
      <c r="F6" s="66"/>
      <c r="G6" s="66"/>
      <c r="H6" s="66"/>
      <c r="I6" s="66"/>
      <c r="J6" s="66"/>
      <c r="K6" s="66"/>
      <c r="L6" s="111"/>
      <c r="M6" s="111"/>
      <c r="N6" s="66"/>
      <c r="O6" s="92"/>
      <c r="P6" s="93"/>
      <c r="Q6" s="92"/>
      <c r="R6" s="92"/>
      <c r="S6" s="92"/>
      <c r="T6" s="92"/>
      <c r="U6" s="92"/>
      <c r="V6" s="92"/>
      <c r="W6" s="92"/>
      <c r="X6" s="93"/>
      <c r="Y6" s="92"/>
      <c r="Z6" s="92"/>
      <c r="AA6" s="92"/>
      <c r="AB6" s="92"/>
      <c r="AC6" s="92"/>
      <c r="AD6" s="92"/>
      <c r="AE6" s="92"/>
      <c r="AF6" s="92"/>
      <c r="AG6" s="92"/>
      <c r="AH6" s="92"/>
      <c r="AI6" s="92"/>
      <c r="AJ6" s="92"/>
      <c r="AK6" s="92"/>
      <c r="AL6" s="92"/>
      <c r="AM6" s="92"/>
      <c r="AN6" s="92"/>
    </row>
    <row r="7" spans="2:40" ht="15" customHeight="1">
      <c r="B7" s="180" t="s">
        <v>10</v>
      </c>
      <c r="C7" s="181"/>
      <c r="D7" s="182"/>
      <c r="E7" s="182"/>
      <c r="F7" s="182"/>
      <c r="G7" s="182"/>
      <c r="H7" s="182"/>
      <c r="I7" s="182"/>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0"/>
      <c r="AL7" s="183"/>
      <c r="AM7" s="183"/>
      <c r="AN7" s="181"/>
    </row>
    <row r="8" spans="2:40">
      <c r="B8" s="156">
        <v>435001</v>
      </c>
      <c r="C8" s="27" t="s">
        <v>11</v>
      </c>
      <c r="D8" s="112">
        <v>161500</v>
      </c>
      <c r="E8" s="113">
        <f>D8*1.05</f>
        <v>169575</v>
      </c>
      <c r="F8" s="70">
        <f>E8*1.045</f>
        <v>177205.875</v>
      </c>
      <c r="G8" s="70">
        <f>F8*1.0348</f>
        <v>183372.63944999999</v>
      </c>
      <c r="H8" s="70">
        <f>G8*1.11112</f>
        <v>203749.00714568401</v>
      </c>
      <c r="I8" s="70">
        <f>G8*1.027</f>
        <v>188323.70071514999</v>
      </c>
      <c r="J8" s="70">
        <f>H8*1.027</f>
        <v>209250.23033861746</v>
      </c>
      <c r="K8" s="70">
        <f>I8*1.024</f>
        <v>192843.46953231358</v>
      </c>
      <c r="L8" s="58">
        <f>J8*1.024</f>
        <v>214272.23586674427</v>
      </c>
      <c r="M8" s="58">
        <f>K8*1.027</f>
        <v>198050.24320968604</v>
      </c>
      <c r="N8" s="70">
        <f>L8*1.027</f>
        <v>220057.58623514636</v>
      </c>
      <c r="O8" s="101">
        <f>M8*1.022</f>
        <v>202407.34856029914</v>
      </c>
      <c r="P8" s="80">
        <f>N8*1.022</f>
        <v>224898.85313231958</v>
      </c>
      <c r="Q8" s="101">
        <f>O8*1.024</f>
        <v>207265.12492574632</v>
      </c>
      <c r="R8" s="80">
        <f>P8*1.024</f>
        <v>230296.42560749524</v>
      </c>
      <c r="S8" s="101">
        <f>Q8*1.037</f>
        <v>214933.93454799891</v>
      </c>
      <c r="T8" s="80">
        <f>R8*1.037</f>
        <v>238817.39335497256</v>
      </c>
      <c r="U8" s="101">
        <f>S8*1.028</f>
        <v>220952.08471534288</v>
      </c>
      <c r="V8" s="114">
        <f>T8*1.028</f>
        <v>245504.2803689118</v>
      </c>
      <c r="W8" s="80">
        <f>U8*1.015</f>
        <v>224266.36598607301</v>
      </c>
      <c r="X8" s="80">
        <f>V8*1.015</f>
        <v>249186.84457444545</v>
      </c>
      <c r="Y8" s="80">
        <f>W8*1.016</f>
        <v>227854.62784185019</v>
      </c>
      <c r="Z8" s="80">
        <f>X8*1.016</f>
        <v>253173.83408763658</v>
      </c>
      <c r="AA8" s="80">
        <f>Y8*1.019</f>
        <v>232183.86577084532</v>
      </c>
      <c r="AB8" s="80">
        <f>Z8*1.019</f>
        <v>257984.13693530165</v>
      </c>
      <c r="AC8" s="101">
        <f>AA8*1.019</f>
        <v>236595.35922049137</v>
      </c>
      <c r="AD8" s="80">
        <f>AB8*1.019</f>
        <v>262885.83553707233</v>
      </c>
      <c r="AE8" s="101">
        <f>AC8*1.021</f>
        <v>241563.86176412168</v>
      </c>
      <c r="AF8" s="80">
        <f>AD8*1.021</f>
        <v>268406.43808335083</v>
      </c>
      <c r="AG8" s="143">
        <f>AE8*1.013</f>
        <v>244704.19196705523</v>
      </c>
      <c r="AH8" s="152">
        <f>AF8*1.013</f>
        <v>271895.72177843435</v>
      </c>
      <c r="AI8" s="143">
        <f>AG8*1.02</f>
        <v>249598.27580639633</v>
      </c>
      <c r="AJ8" s="152">
        <f>AH8*1.02</f>
        <v>277333.63621400303</v>
      </c>
      <c r="AK8" s="143">
        <f>AI8*1.029</f>
        <v>256836.6258047818</v>
      </c>
      <c r="AL8" s="152">
        <f>AJ8*1.029</f>
        <v>285376.31166420906</v>
      </c>
      <c r="AM8" s="143">
        <f>AK8*1.063</f>
        <v>273017.33323048305</v>
      </c>
      <c r="AN8" s="143">
        <f>AL8*1.063</f>
        <v>303355.01929905423</v>
      </c>
    </row>
    <row r="9" spans="2:40">
      <c r="B9" s="19">
        <v>438013</v>
      </c>
      <c r="C9" s="18" t="s">
        <v>12</v>
      </c>
      <c r="D9" s="16">
        <v>38250</v>
      </c>
      <c r="E9" s="2">
        <f t="shared" ref="E9:E14" si="0">D9*1.05</f>
        <v>40162.5</v>
      </c>
      <c r="F9" s="57">
        <f>E9*1.045</f>
        <v>41969.8125</v>
      </c>
      <c r="G9" s="57">
        <f t="shared" ref="G9:G69" si="1">F9*1.0348</f>
        <v>43430.361975</v>
      </c>
      <c r="H9" s="57">
        <f t="shared" ref="H9:H69" si="2">G9*1.11112</f>
        <v>48256.343797662004</v>
      </c>
      <c r="I9" s="57">
        <f t="shared" ref="I9:J69" si="3">G9*1.027</f>
        <v>44602.981748324994</v>
      </c>
      <c r="J9" s="57">
        <f t="shared" si="3"/>
        <v>49559.265080198871</v>
      </c>
      <c r="K9" s="57">
        <f t="shared" ref="K9:L69" si="4">I9*1.024</f>
        <v>45673.453310284793</v>
      </c>
      <c r="L9" s="9">
        <f t="shared" si="4"/>
        <v>50748.687442123643</v>
      </c>
      <c r="M9" s="58">
        <f t="shared" ref="M9:N69" si="5">K9*1.027</f>
        <v>46906.636549662479</v>
      </c>
      <c r="N9" s="58">
        <f t="shared" si="5"/>
        <v>52118.902003060975</v>
      </c>
      <c r="O9" s="80">
        <f t="shared" ref="O9:P69" si="6">M9*1.022</f>
        <v>47938.582553755055</v>
      </c>
      <c r="P9" s="80">
        <f t="shared" si="6"/>
        <v>53265.517847128314</v>
      </c>
      <c r="Q9" s="1">
        <f t="shared" ref="Q9:Q72" si="7">O9*1.024</f>
        <v>49089.108535045176</v>
      </c>
      <c r="R9" s="78">
        <f t="shared" ref="R9:R72" si="8">P9*1.024</f>
        <v>54543.890275459395</v>
      </c>
      <c r="S9" s="1">
        <f t="shared" ref="S9:S72" si="9">Q9*1.037</f>
        <v>50905.405550841846</v>
      </c>
      <c r="T9" s="78">
        <f t="shared" ref="T9:T72" si="10">R9*1.037</f>
        <v>56562.01421565139</v>
      </c>
      <c r="U9" s="1">
        <f t="shared" ref="U9:U72" si="11">S9*1.028</f>
        <v>52330.756906265422</v>
      </c>
      <c r="V9" s="99">
        <f t="shared" ref="V9:V72" si="12">T9*1.028</f>
        <v>58145.750613689634</v>
      </c>
      <c r="W9" s="78">
        <f t="shared" ref="W9:W72" si="13">U9*1.015</f>
        <v>53115.718259859401</v>
      </c>
      <c r="X9" s="78">
        <f t="shared" ref="X9:X72" si="14">V9*1.015</f>
        <v>59017.93687289497</v>
      </c>
      <c r="Y9" s="78">
        <f t="shared" ref="Y9:Y72" si="15">W9*1.016</f>
        <v>53965.569752017152</v>
      </c>
      <c r="Z9" s="78">
        <f t="shared" ref="Z9:Z72" si="16">X9*1.016</f>
        <v>59962.22386286129</v>
      </c>
      <c r="AA9" s="78">
        <f t="shared" ref="AA9:AA72" si="17">Y9*1.019</f>
        <v>54990.915577305474</v>
      </c>
      <c r="AB9" s="78">
        <f t="shared" ref="AB9:AB72" si="18">Z9*1.019</f>
        <v>61101.506116255652</v>
      </c>
      <c r="AC9" s="1">
        <f t="shared" ref="AC9:AC72" si="19">AA9*1.019</f>
        <v>56035.742973274275</v>
      </c>
      <c r="AD9" s="78">
        <f t="shared" ref="AD9:AD72" si="20">AB9*1.019</f>
        <v>62262.434732464506</v>
      </c>
      <c r="AE9" s="1">
        <f t="shared" ref="AE9:AE72" si="21">AC9*1.021</f>
        <v>57212.49357571303</v>
      </c>
      <c r="AF9" s="78">
        <f t="shared" ref="AF9:AF72" si="22">AD9*1.021</f>
        <v>63569.945861846252</v>
      </c>
      <c r="AG9" s="141">
        <f t="shared" ref="AG9:AG72" si="23">AE9*1.013</f>
        <v>57956.255992197293</v>
      </c>
      <c r="AH9" s="140">
        <f t="shared" ref="AH9:AH72" si="24">AF9*1.013</f>
        <v>64396.355158050246</v>
      </c>
      <c r="AI9" s="141">
        <f>AG9*1.02</f>
        <v>59115.381112041243</v>
      </c>
      <c r="AJ9" s="140">
        <f t="shared" ref="AJ9:AJ72" si="25">AH9*1.02</f>
        <v>65684.28226121125</v>
      </c>
      <c r="AK9" s="141">
        <f t="shared" ref="AK9:AK72" si="26">AI9*1.029</f>
        <v>60829.727164290431</v>
      </c>
      <c r="AL9" s="140">
        <f t="shared" ref="AL9:AL72" si="27">AJ9*1.029</f>
        <v>67589.126446786366</v>
      </c>
      <c r="AM9" s="141">
        <f t="shared" ref="AM9:AM72" si="28">AK9*1.063</f>
        <v>64661.999975640727</v>
      </c>
      <c r="AN9" s="141">
        <f t="shared" ref="AN9:AN72" si="29">AL9*1.063</f>
        <v>71847.241412933901</v>
      </c>
    </row>
    <row r="10" spans="2:40" ht="21" customHeight="1">
      <c r="B10" s="19">
        <v>435002</v>
      </c>
      <c r="C10" s="18" t="s">
        <v>13</v>
      </c>
      <c r="D10" s="16">
        <v>76500</v>
      </c>
      <c r="E10" s="2">
        <f t="shared" si="0"/>
        <v>80325</v>
      </c>
      <c r="F10" s="57">
        <f>E10*1.045</f>
        <v>83939.625</v>
      </c>
      <c r="G10" s="57">
        <f t="shared" si="1"/>
        <v>86860.72395</v>
      </c>
      <c r="H10" s="57">
        <f t="shared" si="2"/>
        <v>96512.687595324009</v>
      </c>
      <c r="I10" s="57">
        <f t="shared" si="3"/>
        <v>89205.963496649987</v>
      </c>
      <c r="J10" s="57">
        <f t="shared" si="3"/>
        <v>99118.530160397742</v>
      </c>
      <c r="K10" s="57">
        <f t="shared" si="4"/>
        <v>91346.906620569585</v>
      </c>
      <c r="L10" s="9">
        <f t="shared" si="4"/>
        <v>101497.37488424729</v>
      </c>
      <c r="M10" s="9">
        <f t="shared" si="5"/>
        <v>93813.273099324957</v>
      </c>
      <c r="N10" s="9">
        <f t="shared" si="5"/>
        <v>104237.80400612195</v>
      </c>
      <c r="O10" s="78">
        <f t="shared" si="6"/>
        <v>95877.165107510111</v>
      </c>
      <c r="P10" s="78">
        <f t="shared" si="6"/>
        <v>106531.03569425663</v>
      </c>
      <c r="Q10" s="1">
        <f t="shared" si="7"/>
        <v>98178.217070090352</v>
      </c>
      <c r="R10" s="78">
        <f t="shared" si="8"/>
        <v>109087.78055091879</v>
      </c>
      <c r="S10" s="1">
        <f t="shared" si="9"/>
        <v>101810.81110168369</v>
      </c>
      <c r="T10" s="78">
        <f t="shared" si="10"/>
        <v>113124.02843130278</v>
      </c>
      <c r="U10" s="1">
        <f t="shared" si="11"/>
        <v>104661.51381253084</v>
      </c>
      <c r="V10" s="99">
        <f t="shared" si="12"/>
        <v>116291.50122737927</v>
      </c>
      <c r="W10" s="78">
        <f t="shared" si="13"/>
        <v>106231.4365197188</v>
      </c>
      <c r="X10" s="78">
        <f t="shared" si="14"/>
        <v>118035.87374578994</v>
      </c>
      <c r="Y10" s="78">
        <f t="shared" si="15"/>
        <v>107931.1395040343</v>
      </c>
      <c r="Z10" s="78">
        <f t="shared" si="16"/>
        <v>119924.44772572258</v>
      </c>
      <c r="AA10" s="78">
        <f t="shared" si="17"/>
        <v>109981.83115461095</v>
      </c>
      <c r="AB10" s="78">
        <f t="shared" si="18"/>
        <v>122203.0122325113</v>
      </c>
      <c r="AC10" s="1">
        <f t="shared" si="19"/>
        <v>112071.48594654855</v>
      </c>
      <c r="AD10" s="78">
        <f t="shared" si="20"/>
        <v>124524.86946492901</v>
      </c>
      <c r="AE10" s="1">
        <f t="shared" si="21"/>
        <v>114424.98715142606</v>
      </c>
      <c r="AF10" s="78">
        <f t="shared" si="22"/>
        <v>127139.8917236925</v>
      </c>
      <c r="AG10" s="141">
        <f t="shared" si="23"/>
        <v>115912.51198439459</v>
      </c>
      <c r="AH10" s="140">
        <f t="shared" si="24"/>
        <v>128792.71031610049</v>
      </c>
      <c r="AI10" s="141">
        <f t="shared" ref="AI9:AI72" si="30">AG10*1.02</f>
        <v>118230.76222408249</v>
      </c>
      <c r="AJ10" s="140">
        <f t="shared" si="25"/>
        <v>131368.5645224225</v>
      </c>
      <c r="AK10" s="141">
        <f t="shared" si="26"/>
        <v>121659.45432858086</v>
      </c>
      <c r="AL10" s="140">
        <f t="shared" si="27"/>
        <v>135178.25289357273</v>
      </c>
      <c r="AM10" s="141">
        <f t="shared" si="28"/>
        <v>129323.99995128145</v>
      </c>
      <c r="AN10" s="141">
        <f t="shared" si="29"/>
        <v>143694.4828258678</v>
      </c>
    </row>
    <row r="11" spans="2:40">
      <c r="B11" s="19">
        <v>435006</v>
      </c>
      <c r="C11" s="18" t="s">
        <v>14</v>
      </c>
      <c r="D11" s="16">
        <v>297500</v>
      </c>
      <c r="E11" s="2">
        <f t="shared" si="0"/>
        <v>312375</v>
      </c>
      <c r="F11" s="57">
        <f>E11*1.045</f>
        <v>326431.875</v>
      </c>
      <c r="G11" s="70">
        <f t="shared" si="1"/>
        <v>337791.70425000001</v>
      </c>
      <c r="H11" s="57">
        <f t="shared" si="2"/>
        <v>375327.11842626007</v>
      </c>
      <c r="I11" s="57">
        <f t="shared" si="3"/>
        <v>346912.08026474999</v>
      </c>
      <c r="J11" s="57">
        <f t="shared" si="3"/>
        <v>385460.95062376908</v>
      </c>
      <c r="K11" s="57">
        <f t="shared" si="4"/>
        <v>355237.97019110399</v>
      </c>
      <c r="L11" s="9">
        <f t="shared" si="4"/>
        <v>394712.01343873952</v>
      </c>
      <c r="M11" s="9">
        <f t="shared" si="5"/>
        <v>364829.39538626379</v>
      </c>
      <c r="N11" s="9">
        <f t="shared" si="5"/>
        <v>405369.23780158546</v>
      </c>
      <c r="O11" s="78">
        <f t="shared" si="6"/>
        <v>372855.64208476158</v>
      </c>
      <c r="P11" s="78">
        <f t="shared" si="6"/>
        <v>414287.36103322037</v>
      </c>
      <c r="Q11" s="1">
        <f t="shared" si="7"/>
        <v>381804.17749479588</v>
      </c>
      <c r="R11" s="78">
        <f t="shared" si="8"/>
        <v>424230.25769801764</v>
      </c>
      <c r="S11" s="1">
        <f t="shared" si="9"/>
        <v>395930.9320621033</v>
      </c>
      <c r="T11" s="78">
        <f t="shared" si="10"/>
        <v>439926.77723284427</v>
      </c>
      <c r="U11" s="1">
        <f t="shared" si="11"/>
        <v>407016.99815984222</v>
      </c>
      <c r="V11" s="99">
        <f t="shared" si="12"/>
        <v>452244.72699536389</v>
      </c>
      <c r="W11" s="78">
        <f t="shared" si="13"/>
        <v>413122.2531322398</v>
      </c>
      <c r="X11" s="78">
        <f t="shared" si="14"/>
        <v>459028.39790029428</v>
      </c>
      <c r="Y11" s="78">
        <f t="shared" si="15"/>
        <v>419732.20918235567</v>
      </c>
      <c r="Z11" s="78">
        <f t="shared" si="16"/>
        <v>466372.85226669902</v>
      </c>
      <c r="AA11" s="78">
        <f t="shared" si="17"/>
        <v>427707.12115682039</v>
      </c>
      <c r="AB11" s="78">
        <f t="shared" si="18"/>
        <v>475233.93645976624</v>
      </c>
      <c r="AC11" s="1">
        <f t="shared" si="19"/>
        <v>435833.55645879993</v>
      </c>
      <c r="AD11" s="78">
        <f t="shared" si="20"/>
        <v>484263.38125250174</v>
      </c>
      <c r="AE11" s="1">
        <f t="shared" si="21"/>
        <v>444986.06114443467</v>
      </c>
      <c r="AF11" s="78">
        <f t="shared" si="22"/>
        <v>494432.91225880425</v>
      </c>
      <c r="AG11" s="141">
        <f t="shared" si="23"/>
        <v>450770.87993931229</v>
      </c>
      <c r="AH11" s="140">
        <f t="shared" si="24"/>
        <v>500860.54011816863</v>
      </c>
      <c r="AI11" s="141">
        <f>AG11*1.02</f>
        <v>459786.29753809853</v>
      </c>
      <c r="AJ11" s="140">
        <f t="shared" si="25"/>
        <v>510877.75092053204</v>
      </c>
      <c r="AK11" s="141">
        <f t="shared" si="26"/>
        <v>473120.10016670334</v>
      </c>
      <c r="AL11" s="140">
        <f t="shared" si="27"/>
        <v>525693.20569722739</v>
      </c>
      <c r="AM11" s="141">
        <f t="shared" si="28"/>
        <v>502926.66647720564</v>
      </c>
      <c r="AN11" s="141">
        <f t="shared" si="29"/>
        <v>558811.8776561527</v>
      </c>
    </row>
    <row r="12" spans="2:40">
      <c r="B12" s="19">
        <v>435007</v>
      </c>
      <c r="C12" s="18" t="s">
        <v>15</v>
      </c>
      <c r="D12" s="16">
        <v>170000</v>
      </c>
      <c r="E12" s="2">
        <f t="shared" si="0"/>
        <v>178500</v>
      </c>
      <c r="F12" s="57">
        <f>E12*1.045</f>
        <v>186532.5</v>
      </c>
      <c r="G12" s="57">
        <f t="shared" si="1"/>
        <v>193023.83099999998</v>
      </c>
      <c r="H12" s="57">
        <f t="shared" si="2"/>
        <v>214472.63910072</v>
      </c>
      <c r="I12" s="57">
        <f t="shared" si="3"/>
        <v>198235.47443699997</v>
      </c>
      <c r="J12" s="57">
        <f t="shared" si="3"/>
        <v>220263.40035643941</v>
      </c>
      <c r="K12" s="57">
        <f t="shared" si="4"/>
        <v>202993.12582348796</v>
      </c>
      <c r="L12" s="9">
        <f t="shared" si="4"/>
        <v>225549.72196499395</v>
      </c>
      <c r="M12" s="9">
        <f t="shared" si="5"/>
        <v>208473.94022072211</v>
      </c>
      <c r="N12" s="9">
        <f t="shared" si="5"/>
        <v>231639.56445804876</v>
      </c>
      <c r="O12" s="78">
        <f t="shared" si="6"/>
        <v>213060.366905578</v>
      </c>
      <c r="P12" s="78">
        <f t="shared" si="6"/>
        <v>236735.63487612584</v>
      </c>
      <c r="Q12" s="1">
        <f t="shared" si="7"/>
        <v>218173.81571131188</v>
      </c>
      <c r="R12" s="78">
        <f t="shared" si="8"/>
        <v>242417.29011315288</v>
      </c>
      <c r="S12" s="1">
        <f t="shared" si="9"/>
        <v>226246.24689263041</v>
      </c>
      <c r="T12" s="78">
        <f t="shared" si="10"/>
        <v>251386.72984733951</v>
      </c>
      <c r="U12" s="1">
        <f t="shared" si="11"/>
        <v>232581.14180562407</v>
      </c>
      <c r="V12" s="99">
        <f t="shared" si="12"/>
        <v>258425.55828306501</v>
      </c>
      <c r="W12" s="78">
        <f t="shared" si="13"/>
        <v>236069.85893270839</v>
      </c>
      <c r="X12" s="78">
        <f t="shared" si="14"/>
        <v>262301.94165731093</v>
      </c>
      <c r="Y12" s="78">
        <f t="shared" si="15"/>
        <v>239846.97667563174</v>
      </c>
      <c r="Z12" s="78">
        <f t="shared" si="16"/>
        <v>266498.77272382792</v>
      </c>
      <c r="AA12" s="78">
        <f t="shared" si="17"/>
        <v>244404.06923246873</v>
      </c>
      <c r="AB12" s="78">
        <f t="shared" si="18"/>
        <v>271562.24940558063</v>
      </c>
      <c r="AC12" s="1">
        <f t="shared" si="19"/>
        <v>249047.74654788562</v>
      </c>
      <c r="AD12" s="78">
        <f t="shared" si="20"/>
        <v>276721.93214428663</v>
      </c>
      <c r="AE12" s="1">
        <f t="shared" si="21"/>
        <v>254277.74922539119</v>
      </c>
      <c r="AF12" s="78">
        <f t="shared" si="22"/>
        <v>282533.09271931666</v>
      </c>
      <c r="AG12" s="141">
        <f t="shared" si="23"/>
        <v>257583.35996532126</v>
      </c>
      <c r="AH12" s="140">
        <f t="shared" si="24"/>
        <v>286206.02292466775</v>
      </c>
      <c r="AI12" s="141">
        <f t="shared" si="30"/>
        <v>262735.02716462768</v>
      </c>
      <c r="AJ12" s="140">
        <f t="shared" si="25"/>
        <v>291930.14338316111</v>
      </c>
      <c r="AK12" s="141">
        <f t="shared" si="26"/>
        <v>270354.34295240184</v>
      </c>
      <c r="AL12" s="140">
        <f t="shared" si="27"/>
        <v>300396.11754127278</v>
      </c>
      <c r="AM12" s="141">
        <f t="shared" si="28"/>
        <v>287386.66655840317</v>
      </c>
      <c r="AN12" s="141">
        <f t="shared" si="29"/>
        <v>319321.07294637297</v>
      </c>
    </row>
    <row r="13" spans="2:40">
      <c r="B13" s="19">
        <v>405002</v>
      </c>
      <c r="C13" s="18" t="s">
        <v>16</v>
      </c>
      <c r="D13" s="16">
        <v>212500</v>
      </c>
      <c r="E13" s="2">
        <f t="shared" si="0"/>
        <v>223125</v>
      </c>
      <c r="F13" s="57">
        <f>E13*1.045</f>
        <v>233165.62499999997</v>
      </c>
      <c r="G13" s="57">
        <f t="shared" si="1"/>
        <v>241279.78874999995</v>
      </c>
      <c r="H13" s="57">
        <f t="shared" si="2"/>
        <v>268090.79887589999</v>
      </c>
      <c r="I13" s="57">
        <f t="shared" si="3"/>
        <v>247794.34304624994</v>
      </c>
      <c r="J13" s="57">
        <f t="shared" si="3"/>
        <v>275329.25044554926</v>
      </c>
      <c r="K13" s="57">
        <f t="shared" si="4"/>
        <v>253741.40727935993</v>
      </c>
      <c r="L13" s="9">
        <f t="shared" si="4"/>
        <v>281937.15245624247</v>
      </c>
      <c r="M13" s="9">
        <f t="shared" si="5"/>
        <v>260592.42527590264</v>
      </c>
      <c r="N13" s="9">
        <f t="shared" si="5"/>
        <v>289549.45557256101</v>
      </c>
      <c r="O13" s="78">
        <f t="shared" si="6"/>
        <v>266325.45863197249</v>
      </c>
      <c r="P13" s="78">
        <f t="shared" si="6"/>
        <v>295919.54359515733</v>
      </c>
      <c r="Q13" s="1">
        <f t="shared" si="7"/>
        <v>272717.26963913982</v>
      </c>
      <c r="R13" s="78">
        <f t="shared" si="8"/>
        <v>303021.61264144111</v>
      </c>
      <c r="S13" s="1">
        <f t="shared" si="9"/>
        <v>282807.80861578794</v>
      </c>
      <c r="T13" s="78">
        <f t="shared" si="10"/>
        <v>314233.41230917443</v>
      </c>
      <c r="U13" s="1">
        <f t="shared" si="11"/>
        <v>290726.42725703004</v>
      </c>
      <c r="V13" s="99">
        <f t="shared" si="12"/>
        <v>323031.94785383134</v>
      </c>
      <c r="W13" s="78">
        <f t="shared" si="13"/>
        <v>295087.32366588549</v>
      </c>
      <c r="X13" s="78">
        <f t="shared" si="14"/>
        <v>327877.42707163875</v>
      </c>
      <c r="Y13" s="78">
        <f t="shared" si="15"/>
        <v>299808.72084453964</v>
      </c>
      <c r="Z13" s="78">
        <f t="shared" si="16"/>
        <v>333123.46590478497</v>
      </c>
      <c r="AA13" s="78">
        <f t="shared" si="17"/>
        <v>305505.08654058585</v>
      </c>
      <c r="AB13" s="78">
        <f t="shared" si="18"/>
        <v>339452.81175697583</v>
      </c>
      <c r="AC13" s="1">
        <f t="shared" si="19"/>
        <v>311309.68318485696</v>
      </c>
      <c r="AD13" s="78">
        <f t="shared" si="20"/>
        <v>345902.41518035834</v>
      </c>
      <c r="AE13" s="1">
        <f t="shared" si="21"/>
        <v>317847.1865317389</v>
      </c>
      <c r="AF13" s="78">
        <f t="shared" si="22"/>
        <v>353166.36589914584</v>
      </c>
      <c r="AG13" s="141">
        <f t="shared" si="23"/>
        <v>321979.19995665149</v>
      </c>
      <c r="AH13" s="140">
        <f t="shared" si="24"/>
        <v>357757.52865583467</v>
      </c>
      <c r="AI13" s="141">
        <f t="shared" si="30"/>
        <v>328418.78395578451</v>
      </c>
      <c r="AJ13" s="140">
        <f t="shared" si="25"/>
        <v>364912.6792289514</v>
      </c>
      <c r="AK13" s="141">
        <f t="shared" si="26"/>
        <v>337942.92869050225</v>
      </c>
      <c r="AL13" s="140">
        <f t="shared" si="27"/>
        <v>375495.14692659094</v>
      </c>
      <c r="AM13" s="141">
        <f t="shared" si="28"/>
        <v>359233.33319800388</v>
      </c>
      <c r="AN13" s="141">
        <f t="shared" si="29"/>
        <v>399151.34118296613</v>
      </c>
    </row>
    <row r="14" spans="2:40">
      <c r="B14" s="19">
        <v>405003</v>
      </c>
      <c r="C14" s="18" t="s">
        <v>17</v>
      </c>
      <c r="D14" s="16">
        <v>297500</v>
      </c>
      <c r="E14" s="2">
        <f t="shared" si="0"/>
        <v>312375</v>
      </c>
      <c r="F14" s="57">
        <f>E14*1.045</f>
        <v>326431.875</v>
      </c>
      <c r="G14" s="57">
        <f t="shared" si="1"/>
        <v>337791.70425000001</v>
      </c>
      <c r="H14" s="57">
        <f t="shared" si="2"/>
        <v>375327.11842626007</v>
      </c>
      <c r="I14" s="57">
        <f t="shared" si="3"/>
        <v>346912.08026474999</v>
      </c>
      <c r="J14" s="57">
        <f t="shared" si="3"/>
        <v>385460.95062376908</v>
      </c>
      <c r="K14" s="57">
        <f t="shared" si="4"/>
        <v>355237.97019110399</v>
      </c>
      <c r="L14" s="9">
        <f t="shared" si="4"/>
        <v>394712.01343873952</v>
      </c>
      <c r="M14" s="9">
        <f t="shared" si="5"/>
        <v>364829.39538626379</v>
      </c>
      <c r="N14" s="71">
        <f t="shared" si="5"/>
        <v>405369.23780158546</v>
      </c>
      <c r="O14" s="79">
        <f t="shared" si="6"/>
        <v>372855.64208476158</v>
      </c>
      <c r="P14" s="78">
        <f t="shared" si="6"/>
        <v>414287.36103322037</v>
      </c>
      <c r="Q14" s="1">
        <f t="shared" si="7"/>
        <v>381804.17749479588</v>
      </c>
      <c r="R14" s="79">
        <f t="shared" si="8"/>
        <v>424230.25769801764</v>
      </c>
      <c r="S14" s="1">
        <f t="shared" si="9"/>
        <v>395930.9320621033</v>
      </c>
      <c r="T14" s="78">
        <f t="shared" si="10"/>
        <v>439926.77723284427</v>
      </c>
      <c r="U14" s="1">
        <f t="shared" si="11"/>
        <v>407016.99815984222</v>
      </c>
      <c r="V14" s="99">
        <f t="shared" si="12"/>
        <v>452244.72699536389</v>
      </c>
      <c r="W14" s="79">
        <f t="shared" si="13"/>
        <v>413122.2531322398</v>
      </c>
      <c r="X14" s="79">
        <f t="shared" si="14"/>
        <v>459028.39790029428</v>
      </c>
      <c r="Y14" s="79">
        <f t="shared" si="15"/>
        <v>419732.20918235567</v>
      </c>
      <c r="Z14" s="79">
        <f t="shared" si="16"/>
        <v>466372.85226669902</v>
      </c>
      <c r="AA14" s="79">
        <f t="shared" si="17"/>
        <v>427707.12115682039</v>
      </c>
      <c r="AB14" s="79">
        <f t="shared" si="18"/>
        <v>475233.93645976624</v>
      </c>
      <c r="AC14" s="100">
        <f t="shared" si="19"/>
        <v>435833.55645879993</v>
      </c>
      <c r="AD14" s="79">
        <f t="shared" si="20"/>
        <v>484263.38125250174</v>
      </c>
      <c r="AE14" s="100">
        <f t="shared" si="21"/>
        <v>444986.06114443467</v>
      </c>
      <c r="AF14" s="79">
        <f t="shared" si="22"/>
        <v>494432.91225880425</v>
      </c>
      <c r="AG14" s="142">
        <f t="shared" si="23"/>
        <v>450770.87993931229</v>
      </c>
      <c r="AH14" s="174">
        <f t="shared" si="24"/>
        <v>500860.54011816863</v>
      </c>
      <c r="AI14" s="142">
        <f t="shared" si="30"/>
        <v>459786.29753809853</v>
      </c>
      <c r="AJ14" s="174">
        <f t="shared" si="25"/>
        <v>510877.75092053204</v>
      </c>
      <c r="AK14" s="142">
        <f t="shared" si="26"/>
        <v>473120.10016670334</v>
      </c>
      <c r="AL14" s="174">
        <f t="shared" si="27"/>
        <v>525693.20569722739</v>
      </c>
      <c r="AM14" s="142">
        <f t="shared" si="28"/>
        <v>502926.66647720564</v>
      </c>
      <c r="AN14" s="142">
        <f t="shared" si="29"/>
        <v>558811.8776561527</v>
      </c>
    </row>
    <row r="15" spans="2:40">
      <c r="B15" s="19">
        <v>430106</v>
      </c>
      <c r="C15" s="18" t="s">
        <v>18</v>
      </c>
      <c r="D15" s="23" t="s">
        <v>19</v>
      </c>
      <c r="E15" s="28" t="s">
        <v>19</v>
      </c>
      <c r="F15" s="3" t="s">
        <v>19</v>
      </c>
      <c r="G15" s="3" t="s">
        <v>19</v>
      </c>
      <c r="H15" s="3" t="s">
        <v>19</v>
      </c>
      <c r="I15" s="3" t="s">
        <v>19</v>
      </c>
      <c r="J15" s="3" t="s">
        <v>19</v>
      </c>
      <c r="K15" s="3" t="s">
        <v>19</v>
      </c>
      <c r="L15" s="3" t="s">
        <v>19</v>
      </c>
      <c r="M15" s="3" t="s">
        <v>20</v>
      </c>
      <c r="N15" s="29" t="s">
        <v>20</v>
      </c>
      <c r="O15" s="3" t="s">
        <v>20</v>
      </c>
      <c r="P15" s="3" t="s">
        <v>20</v>
      </c>
      <c r="Q15" s="3" t="s">
        <v>20</v>
      </c>
      <c r="R15" s="3" t="s">
        <v>20</v>
      </c>
      <c r="S15" s="29" t="s">
        <v>20</v>
      </c>
      <c r="T15" s="3" t="s">
        <v>20</v>
      </c>
      <c r="U15" s="29" t="s">
        <v>20</v>
      </c>
      <c r="V15" s="3" t="s">
        <v>20</v>
      </c>
      <c r="W15" s="29" t="s">
        <v>20</v>
      </c>
      <c r="X15" s="3" t="s">
        <v>20</v>
      </c>
      <c r="Y15" s="29" t="s">
        <v>20</v>
      </c>
      <c r="Z15" s="3" t="s">
        <v>20</v>
      </c>
      <c r="AA15" s="29" t="s">
        <v>20</v>
      </c>
      <c r="AB15" s="3" t="s">
        <v>20</v>
      </c>
      <c r="AC15" s="29" t="s">
        <v>20</v>
      </c>
      <c r="AD15" s="3" t="s">
        <v>20</v>
      </c>
      <c r="AE15" s="29" t="s">
        <v>20</v>
      </c>
      <c r="AF15" s="3" t="s">
        <v>20</v>
      </c>
      <c r="AG15" s="29" t="s">
        <v>20</v>
      </c>
      <c r="AH15" s="3" t="s">
        <v>20</v>
      </c>
      <c r="AI15" s="29" t="s">
        <v>20</v>
      </c>
      <c r="AJ15" s="3" t="s">
        <v>20</v>
      </c>
      <c r="AK15" s="3" t="s">
        <v>20</v>
      </c>
      <c r="AL15" s="29" t="s">
        <v>20</v>
      </c>
      <c r="AM15" s="29" t="s">
        <v>20</v>
      </c>
      <c r="AN15" s="29" t="s">
        <v>20</v>
      </c>
    </row>
    <row r="16" spans="2:40">
      <c r="B16" s="19">
        <v>435011</v>
      </c>
      <c r="C16" s="18" t="s">
        <v>21</v>
      </c>
      <c r="D16" s="23" t="s">
        <v>19</v>
      </c>
      <c r="E16" s="28" t="s">
        <v>19</v>
      </c>
      <c r="F16" s="3" t="s">
        <v>19</v>
      </c>
      <c r="G16" s="3" t="s">
        <v>19</v>
      </c>
      <c r="H16" s="3" t="s">
        <v>19</v>
      </c>
      <c r="I16" s="3" t="s">
        <v>19</v>
      </c>
      <c r="J16" s="3" t="s">
        <v>19</v>
      </c>
      <c r="K16" s="3" t="s">
        <v>19</v>
      </c>
      <c r="L16" s="3" t="s">
        <v>19</v>
      </c>
      <c r="M16" s="3" t="s">
        <v>20</v>
      </c>
      <c r="N16" s="29" t="s">
        <v>20</v>
      </c>
      <c r="O16" s="3" t="s">
        <v>20</v>
      </c>
      <c r="P16" s="3" t="s">
        <v>20</v>
      </c>
      <c r="Q16" s="3" t="s">
        <v>20</v>
      </c>
      <c r="R16" s="3" t="s">
        <v>20</v>
      </c>
      <c r="S16" s="29" t="s">
        <v>20</v>
      </c>
      <c r="T16" s="3" t="s">
        <v>20</v>
      </c>
      <c r="U16" s="29" t="s">
        <v>20</v>
      </c>
      <c r="V16" s="3" t="s">
        <v>20</v>
      </c>
      <c r="W16" s="29" t="s">
        <v>20</v>
      </c>
      <c r="X16" s="3" t="s">
        <v>20</v>
      </c>
      <c r="Y16" s="29" t="s">
        <v>20</v>
      </c>
      <c r="Z16" s="3" t="s">
        <v>20</v>
      </c>
      <c r="AA16" s="29" t="s">
        <v>20</v>
      </c>
      <c r="AB16" s="3" t="s">
        <v>20</v>
      </c>
      <c r="AC16" s="29" t="s">
        <v>20</v>
      </c>
      <c r="AD16" s="3" t="s">
        <v>20</v>
      </c>
      <c r="AE16" s="29" t="s">
        <v>20</v>
      </c>
      <c r="AF16" s="3" t="s">
        <v>20</v>
      </c>
      <c r="AG16" s="29" t="s">
        <v>20</v>
      </c>
      <c r="AH16" s="3" t="s">
        <v>20</v>
      </c>
      <c r="AI16" s="29" t="s">
        <v>20</v>
      </c>
      <c r="AJ16" s="3" t="s">
        <v>20</v>
      </c>
      <c r="AK16" s="3" t="s">
        <v>20</v>
      </c>
      <c r="AL16" s="29" t="s">
        <v>20</v>
      </c>
      <c r="AM16" s="29" t="s">
        <v>20</v>
      </c>
      <c r="AN16" s="29" t="s">
        <v>20</v>
      </c>
    </row>
    <row r="17" spans="2:40">
      <c r="B17" s="155">
        <v>435012</v>
      </c>
      <c r="C17" s="25" t="s">
        <v>22</v>
      </c>
      <c r="D17" s="109" t="s">
        <v>23</v>
      </c>
      <c r="E17" s="115" t="s">
        <v>23</v>
      </c>
      <c r="F17" s="89" t="s">
        <v>23</v>
      </c>
      <c r="G17" s="89" t="s">
        <v>23</v>
      </c>
      <c r="H17" s="89" t="s">
        <v>23</v>
      </c>
      <c r="I17" s="89" t="s">
        <v>23</v>
      </c>
      <c r="J17" s="89" t="s">
        <v>23</v>
      </c>
      <c r="K17" s="89" t="s">
        <v>23</v>
      </c>
      <c r="L17" s="89" t="s">
        <v>23</v>
      </c>
      <c r="M17" s="89" t="s">
        <v>23</v>
      </c>
      <c r="N17" s="90" t="s">
        <v>23</v>
      </c>
      <c r="O17" s="89" t="s">
        <v>23</v>
      </c>
      <c r="P17" s="89" t="s">
        <v>23</v>
      </c>
      <c r="Q17" s="89" t="s">
        <v>23</v>
      </c>
      <c r="R17" s="89" t="s">
        <v>23</v>
      </c>
      <c r="S17" s="90" t="s">
        <v>23</v>
      </c>
      <c r="T17" s="89" t="s">
        <v>23</v>
      </c>
      <c r="U17" s="90" t="s">
        <v>23</v>
      </c>
      <c r="V17" s="89" t="s">
        <v>23</v>
      </c>
      <c r="W17" s="90" t="s">
        <v>23</v>
      </c>
      <c r="X17" s="89" t="s">
        <v>23</v>
      </c>
      <c r="Y17" s="90" t="s">
        <v>23</v>
      </c>
      <c r="Z17" s="89" t="s">
        <v>23</v>
      </c>
      <c r="AA17" s="90" t="s">
        <v>23</v>
      </c>
      <c r="AB17" s="89" t="s">
        <v>23</v>
      </c>
      <c r="AC17" s="90" t="s">
        <v>23</v>
      </c>
      <c r="AD17" s="89" t="s">
        <v>23</v>
      </c>
      <c r="AE17" s="90" t="s">
        <v>23</v>
      </c>
      <c r="AF17" s="89" t="s">
        <v>23</v>
      </c>
      <c r="AG17" s="90" t="s">
        <v>23</v>
      </c>
      <c r="AH17" s="89" t="s">
        <v>23</v>
      </c>
      <c r="AI17" s="90" t="s">
        <v>23</v>
      </c>
      <c r="AJ17" s="89" t="s">
        <v>23</v>
      </c>
      <c r="AK17" s="89" t="s">
        <v>23</v>
      </c>
      <c r="AL17" s="90" t="s">
        <v>23</v>
      </c>
      <c r="AM17" s="90" t="s">
        <v>23</v>
      </c>
      <c r="AN17" s="90" t="s">
        <v>23</v>
      </c>
    </row>
    <row r="18" spans="2:40" ht="15" customHeight="1">
      <c r="B18" s="187" t="s">
        <v>24</v>
      </c>
      <c r="C18" s="188"/>
      <c r="D18" s="189"/>
      <c r="E18" s="189"/>
      <c r="F18" s="189"/>
      <c r="G18" s="189"/>
      <c r="H18" s="189"/>
      <c r="I18" s="189"/>
      <c r="J18" s="189"/>
      <c r="K18" s="189"/>
      <c r="L18" s="189"/>
      <c r="M18" s="189"/>
      <c r="N18" s="189"/>
      <c r="O18" s="189"/>
      <c r="P18" s="189"/>
      <c r="Q18" s="189"/>
      <c r="R18" s="189"/>
      <c r="S18" s="189"/>
      <c r="T18" s="189"/>
      <c r="U18" s="189"/>
      <c r="V18" s="189"/>
      <c r="W18" s="189"/>
      <c r="X18" s="189"/>
      <c r="Y18" s="189"/>
      <c r="Z18" s="189"/>
      <c r="AA18" s="189"/>
      <c r="AB18" s="189"/>
      <c r="AC18" s="189"/>
      <c r="AD18" s="189"/>
      <c r="AE18" s="189"/>
      <c r="AF18" s="189"/>
      <c r="AG18" s="189"/>
      <c r="AH18" s="189"/>
      <c r="AI18" s="189"/>
      <c r="AJ18" s="189"/>
      <c r="AK18" s="187"/>
      <c r="AL18" s="190"/>
      <c r="AM18" s="190"/>
      <c r="AN18" s="188"/>
    </row>
    <row r="19" spans="2:40" ht="15" customHeight="1">
      <c r="B19" s="184" t="s">
        <v>25</v>
      </c>
      <c r="C19" s="185"/>
      <c r="D19" s="182"/>
      <c r="E19" s="182"/>
      <c r="F19" s="182"/>
      <c r="G19" s="182"/>
      <c r="H19" s="182"/>
      <c r="I19" s="182"/>
      <c r="J19" s="182"/>
      <c r="K19" s="182"/>
      <c r="L19" s="182"/>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2"/>
      <c r="AJ19" s="182"/>
      <c r="AK19" s="184"/>
      <c r="AL19" s="186"/>
      <c r="AM19" s="186"/>
      <c r="AN19" s="185"/>
    </row>
    <row r="20" spans="2:40">
      <c r="B20" s="156">
        <v>420104</v>
      </c>
      <c r="C20" s="27"/>
      <c r="D20" s="112">
        <v>10200</v>
      </c>
      <c r="E20" s="118">
        <f>D20*1.05</f>
        <v>10710</v>
      </c>
      <c r="F20" s="70">
        <f>E20*1.045</f>
        <v>11191.949999999999</v>
      </c>
      <c r="G20" s="70">
        <f t="shared" si="1"/>
        <v>11581.429859999998</v>
      </c>
      <c r="H20" s="70">
        <f t="shared" si="2"/>
        <v>12868.3583460432</v>
      </c>
      <c r="I20" s="70">
        <f t="shared" si="3"/>
        <v>11894.128466219998</v>
      </c>
      <c r="J20" s="70">
        <f t="shared" si="3"/>
        <v>13215.804021386366</v>
      </c>
      <c r="K20" s="70">
        <f t="shared" si="4"/>
        <v>12179.587549409278</v>
      </c>
      <c r="L20" s="58"/>
      <c r="M20" s="58">
        <f t="shared" si="5"/>
        <v>12508.436413243327</v>
      </c>
      <c r="N20" s="58">
        <f t="shared" si="5"/>
        <v>0</v>
      </c>
      <c r="O20" s="80">
        <f t="shared" si="6"/>
        <v>12783.622014334682</v>
      </c>
      <c r="P20" s="80">
        <f t="shared" si="6"/>
        <v>0</v>
      </c>
      <c r="Q20" s="101">
        <f t="shared" si="7"/>
        <v>13090.428942678715</v>
      </c>
      <c r="R20" s="80"/>
      <c r="S20" s="101">
        <f t="shared" si="9"/>
        <v>13574.774813557826</v>
      </c>
      <c r="T20" s="80"/>
      <c r="U20" s="101">
        <f t="shared" si="11"/>
        <v>13954.868508337446</v>
      </c>
      <c r="V20" s="114"/>
      <c r="W20" s="80">
        <f>U20*1.015</f>
        <v>14164.191535962505</v>
      </c>
      <c r="X20" s="80"/>
      <c r="Y20" s="80">
        <f t="shared" si="15"/>
        <v>14390.818600537907</v>
      </c>
      <c r="Z20" s="80"/>
      <c r="AA20" s="80">
        <f t="shared" si="17"/>
        <v>14664.244153948126</v>
      </c>
      <c r="AB20" s="80"/>
      <c r="AC20" s="101">
        <f t="shared" si="19"/>
        <v>14942.864792873139</v>
      </c>
      <c r="AD20" s="80"/>
      <c r="AE20" s="101">
        <f t="shared" si="21"/>
        <v>15256.664953523474</v>
      </c>
      <c r="AF20" s="80"/>
      <c r="AG20" s="143">
        <f t="shared" si="23"/>
        <v>15455.001597919278</v>
      </c>
      <c r="AH20" s="152"/>
      <c r="AI20" s="143">
        <f t="shared" si="30"/>
        <v>15764.101629877663</v>
      </c>
      <c r="AJ20" s="152"/>
      <c r="AK20" s="143">
        <f t="shared" si="26"/>
        <v>16221.260577144114</v>
      </c>
      <c r="AL20" s="152"/>
      <c r="AM20" s="143">
        <f t="shared" si="28"/>
        <v>17243.199993504193</v>
      </c>
      <c r="AN20" s="143"/>
    </row>
    <row r="21" spans="2:40">
      <c r="B21" s="19">
        <v>420106</v>
      </c>
      <c r="C21" s="18" t="s">
        <v>26</v>
      </c>
      <c r="D21" s="16">
        <v>15000</v>
      </c>
      <c r="E21" s="17">
        <f t="shared" ref="E21:E82" si="31">D21*1.05</f>
        <v>15750</v>
      </c>
      <c r="F21" s="57">
        <f>E21*1.045</f>
        <v>16458.75</v>
      </c>
      <c r="G21" s="57">
        <f t="shared" si="1"/>
        <v>17031.514499999997</v>
      </c>
      <c r="H21" s="57">
        <f t="shared" si="2"/>
        <v>18924.056391239999</v>
      </c>
      <c r="I21" s="57">
        <f t="shared" si="3"/>
        <v>17491.365391499996</v>
      </c>
      <c r="J21" s="57">
        <f t="shared" si="3"/>
        <v>19435.005913803478</v>
      </c>
      <c r="K21" s="57"/>
      <c r="L21" s="9">
        <f t="shared" si="4"/>
        <v>19901.446055734763</v>
      </c>
      <c r="M21" s="9"/>
      <c r="N21" s="9">
        <f t="shared" si="5"/>
        <v>20438.785099239602</v>
      </c>
      <c r="O21" s="78"/>
      <c r="P21" s="78">
        <f t="shared" si="6"/>
        <v>20888.438371422872</v>
      </c>
      <c r="Q21" s="1"/>
      <c r="R21" s="78">
        <f t="shared" si="8"/>
        <v>21389.760892337021</v>
      </c>
      <c r="S21" s="1"/>
      <c r="T21" s="78">
        <f t="shared" si="10"/>
        <v>22181.182045353489</v>
      </c>
      <c r="U21" s="1"/>
      <c r="V21" s="99">
        <f t="shared" si="12"/>
        <v>22802.255142623388</v>
      </c>
      <c r="W21" s="78"/>
      <c r="X21" s="78">
        <f>V21*1.015</f>
        <v>23144.288969762736</v>
      </c>
      <c r="Y21" s="78"/>
      <c r="Z21" s="78">
        <f t="shared" si="16"/>
        <v>23514.597593278941</v>
      </c>
      <c r="AA21" s="78"/>
      <c r="AB21" s="78">
        <f t="shared" si="18"/>
        <v>23961.374947551238</v>
      </c>
      <c r="AC21" s="1"/>
      <c r="AD21" s="78">
        <f t="shared" si="20"/>
        <v>24416.64107155471</v>
      </c>
      <c r="AE21" s="1"/>
      <c r="AF21" s="78">
        <f t="shared" si="22"/>
        <v>24929.390534057358</v>
      </c>
      <c r="AG21" s="141"/>
      <c r="AH21" s="140">
        <f t="shared" si="24"/>
        <v>25253.472611000103</v>
      </c>
      <c r="AI21" s="141"/>
      <c r="AJ21" s="140">
        <f t="shared" si="25"/>
        <v>25758.542063220106</v>
      </c>
      <c r="AK21" s="141"/>
      <c r="AL21" s="140">
        <f t="shared" si="27"/>
        <v>26505.539783053486</v>
      </c>
      <c r="AM21" s="141"/>
      <c r="AN21" s="141">
        <f t="shared" si="29"/>
        <v>28175.388789385855</v>
      </c>
    </row>
    <row r="22" spans="2:40">
      <c r="B22" s="19">
        <v>420160</v>
      </c>
      <c r="C22" s="18" t="s">
        <v>27</v>
      </c>
      <c r="D22" s="16">
        <v>17000</v>
      </c>
      <c r="E22" s="17">
        <f t="shared" si="31"/>
        <v>17850</v>
      </c>
      <c r="F22" s="57">
        <f>E22*1.045</f>
        <v>18653.25</v>
      </c>
      <c r="G22" s="57">
        <f t="shared" si="1"/>
        <v>19302.383099999999</v>
      </c>
      <c r="H22" s="57">
        <f t="shared" si="2"/>
        <v>21447.263910072001</v>
      </c>
      <c r="I22" s="57">
        <f t="shared" si="3"/>
        <v>19823.547443699998</v>
      </c>
      <c r="J22" s="57">
        <f t="shared" si="3"/>
        <v>22026.340035643942</v>
      </c>
      <c r="K22" s="57">
        <f t="shared" si="4"/>
        <v>20299.312582348797</v>
      </c>
      <c r="L22" s="9"/>
      <c r="M22" s="9">
        <f t="shared" si="5"/>
        <v>20847.394022072214</v>
      </c>
      <c r="N22" s="9">
        <f t="shared" si="5"/>
        <v>0</v>
      </c>
      <c r="O22" s="78">
        <f t="shared" si="6"/>
        <v>21306.036690557805</v>
      </c>
      <c r="P22" s="78">
        <f t="shared" si="6"/>
        <v>0</v>
      </c>
      <c r="Q22" s="1">
        <f t="shared" si="7"/>
        <v>21817.381571131191</v>
      </c>
      <c r="R22" s="78"/>
      <c r="S22" s="1">
        <f t="shared" si="9"/>
        <v>22624.624689263044</v>
      </c>
      <c r="T22" s="78"/>
      <c r="U22" s="1">
        <f t="shared" si="11"/>
        <v>23258.11418056241</v>
      </c>
      <c r="V22" s="99"/>
      <c r="W22" s="78">
        <f t="shared" si="13"/>
        <v>23606.985893270845</v>
      </c>
      <c r="X22" s="78"/>
      <c r="Y22" s="78">
        <f>W22*1.016</f>
        <v>23984.697667563178</v>
      </c>
      <c r="Z22" s="78"/>
      <c r="AA22" s="78">
        <f t="shared" si="17"/>
        <v>24440.406923246876</v>
      </c>
      <c r="AB22" s="78"/>
      <c r="AC22" s="1">
        <f t="shared" si="19"/>
        <v>24904.774654788565</v>
      </c>
      <c r="AD22" s="78"/>
      <c r="AE22" s="1">
        <f t="shared" si="21"/>
        <v>25427.774922539124</v>
      </c>
      <c r="AF22" s="78"/>
      <c r="AG22" s="141">
        <f t="shared" si="23"/>
        <v>25758.335996532129</v>
      </c>
      <c r="AH22" s="140"/>
      <c r="AI22" s="141">
        <f t="shared" si="30"/>
        <v>26273.502716462772</v>
      </c>
      <c r="AJ22" s="140"/>
      <c r="AK22" s="141">
        <f t="shared" si="26"/>
        <v>27035.434295240189</v>
      </c>
      <c r="AL22" s="140"/>
      <c r="AM22" s="141">
        <f t="shared" si="28"/>
        <v>28738.666655840319</v>
      </c>
      <c r="AN22" s="141"/>
    </row>
    <row r="23" spans="2:40">
      <c r="B23" s="19">
        <v>420161</v>
      </c>
      <c r="C23" s="18" t="s">
        <v>28</v>
      </c>
      <c r="D23" s="16">
        <v>26000</v>
      </c>
      <c r="E23" s="17">
        <f t="shared" si="31"/>
        <v>27300</v>
      </c>
      <c r="F23" s="57">
        <f>E23*1.045</f>
        <v>28528.499999999996</v>
      </c>
      <c r="G23" s="57">
        <f t="shared" si="1"/>
        <v>29521.291799999995</v>
      </c>
      <c r="H23" s="57">
        <f t="shared" si="2"/>
        <v>32801.697744815996</v>
      </c>
      <c r="I23" s="57">
        <f t="shared" si="3"/>
        <v>30318.366678599992</v>
      </c>
      <c r="J23" s="57">
        <f t="shared" si="3"/>
        <v>33687.343583926027</v>
      </c>
      <c r="K23" s="57"/>
      <c r="L23" s="9">
        <f t="shared" si="4"/>
        <v>34495.839829940254</v>
      </c>
      <c r="M23" s="9"/>
      <c r="N23" s="9">
        <f t="shared" si="5"/>
        <v>35427.227505348637</v>
      </c>
      <c r="O23" s="78"/>
      <c r="P23" s="78">
        <f t="shared" si="6"/>
        <v>36206.626510466311</v>
      </c>
      <c r="Q23" s="1"/>
      <c r="R23" s="78">
        <f t="shared" si="8"/>
        <v>37075.585546717506</v>
      </c>
      <c r="S23" s="1"/>
      <c r="T23" s="78">
        <f t="shared" si="10"/>
        <v>38447.382211946053</v>
      </c>
      <c r="U23" s="1"/>
      <c r="V23" s="99">
        <f t="shared" si="12"/>
        <v>39523.908913880543</v>
      </c>
      <c r="W23" s="78"/>
      <c r="X23" s="78">
        <f t="shared" si="14"/>
        <v>40116.767547588744</v>
      </c>
      <c r="Y23" s="78"/>
      <c r="Z23" s="78">
        <f t="shared" si="16"/>
        <v>40758.635828350169</v>
      </c>
      <c r="AA23" s="78"/>
      <c r="AB23" s="78">
        <f t="shared" si="18"/>
        <v>41533.049909088819</v>
      </c>
      <c r="AC23" s="1"/>
      <c r="AD23" s="78">
        <f t="shared" si="20"/>
        <v>42322.177857361501</v>
      </c>
      <c r="AE23" s="1"/>
      <c r="AF23" s="78">
        <f t="shared" si="22"/>
        <v>43210.943592366086</v>
      </c>
      <c r="AG23" s="141"/>
      <c r="AH23" s="140">
        <f t="shared" si="24"/>
        <v>43772.685859066842</v>
      </c>
      <c r="AI23" s="141"/>
      <c r="AJ23" s="140">
        <f t="shared" si="25"/>
        <v>44648.139576248177</v>
      </c>
      <c r="AK23" s="141"/>
      <c r="AL23" s="140">
        <f t="shared" si="27"/>
        <v>45942.935623959369</v>
      </c>
      <c r="AM23" s="141"/>
      <c r="AN23" s="141">
        <f t="shared" si="29"/>
        <v>48837.34056826881</v>
      </c>
    </row>
    <row r="24" spans="2:40">
      <c r="B24" s="19">
        <v>420101</v>
      </c>
      <c r="C24" s="18" t="s">
        <v>29</v>
      </c>
      <c r="D24" s="16">
        <v>10200</v>
      </c>
      <c r="E24" s="17">
        <f t="shared" si="31"/>
        <v>10710</v>
      </c>
      <c r="F24" s="57">
        <f>E24*1.045</f>
        <v>11191.949999999999</v>
      </c>
      <c r="G24" s="57">
        <f t="shared" si="1"/>
        <v>11581.429859999998</v>
      </c>
      <c r="H24" s="57">
        <f t="shared" si="2"/>
        <v>12868.3583460432</v>
      </c>
      <c r="I24" s="57">
        <f t="shared" si="3"/>
        <v>11894.128466219998</v>
      </c>
      <c r="J24" s="57">
        <f t="shared" si="3"/>
        <v>13215.804021386366</v>
      </c>
      <c r="K24" s="57">
        <f t="shared" si="4"/>
        <v>12179.587549409278</v>
      </c>
      <c r="L24" s="9">
        <f t="shared" si="4"/>
        <v>13532.98331789964</v>
      </c>
      <c r="M24" s="9">
        <f t="shared" si="5"/>
        <v>12508.436413243327</v>
      </c>
      <c r="N24" s="9">
        <f t="shared" si="5"/>
        <v>13898.373867482929</v>
      </c>
      <c r="O24" s="78">
        <f t="shared" si="6"/>
        <v>12783.622014334682</v>
      </c>
      <c r="P24" s="78">
        <f t="shared" si="6"/>
        <v>14204.138092567553</v>
      </c>
      <c r="Q24" s="1">
        <f t="shared" si="7"/>
        <v>13090.428942678715</v>
      </c>
      <c r="R24" s="78">
        <f t="shared" si="8"/>
        <v>14545.037406789175</v>
      </c>
      <c r="S24" s="1">
        <f t="shared" si="9"/>
        <v>13574.774813557826</v>
      </c>
      <c r="T24" s="78">
        <f t="shared" si="10"/>
        <v>15083.203790840374</v>
      </c>
      <c r="U24" s="1">
        <f t="shared" si="11"/>
        <v>13954.868508337446</v>
      </c>
      <c r="V24" s="99">
        <f t="shared" si="12"/>
        <v>15505.533496983906</v>
      </c>
      <c r="W24" s="78">
        <f t="shared" si="13"/>
        <v>14164.191535962505</v>
      </c>
      <c r="X24" s="78">
        <f t="shared" si="14"/>
        <v>15738.116499438664</v>
      </c>
      <c r="Y24" s="78">
        <f t="shared" si="15"/>
        <v>14390.818600537907</v>
      </c>
      <c r="Z24" s="78">
        <f t="shared" si="16"/>
        <v>15989.926363429682</v>
      </c>
      <c r="AA24" s="78">
        <f t="shared" si="17"/>
        <v>14664.244153948126</v>
      </c>
      <c r="AB24" s="78">
        <f t="shared" si="18"/>
        <v>16293.734964334844</v>
      </c>
      <c r="AC24" s="1">
        <f t="shared" si="19"/>
        <v>14942.864792873139</v>
      </c>
      <c r="AD24" s="78">
        <f t="shared" si="20"/>
        <v>16603.315928657204</v>
      </c>
      <c r="AE24" s="1">
        <f t="shared" si="21"/>
        <v>15256.664953523474</v>
      </c>
      <c r="AF24" s="78">
        <f t="shared" si="22"/>
        <v>16951.985563159004</v>
      </c>
      <c r="AG24" s="141">
        <f t="shared" si="23"/>
        <v>15455.001597919278</v>
      </c>
      <c r="AH24" s="140">
        <f t="shared" si="24"/>
        <v>17172.361375480068</v>
      </c>
      <c r="AI24" s="141">
        <f t="shared" si="30"/>
        <v>15764.101629877663</v>
      </c>
      <c r="AJ24" s="140">
        <f t="shared" si="25"/>
        <v>17515.808602989669</v>
      </c>
      <c r="AK24" s="141">
        <f t="shared" si="26"/>
        <v>16221.260577144114</v>
      </c>
      <c r="AL24" s="140">
        <f t="shared" si="27"/>
        <v>18023.767052476367</v>
      </c>
      <c r="AM24" s="141">
        <f t="shared" si="28"/>
        <v>17243.199993504193</v>
      </c>
      <c r="AN24" s="141">
        <f t="shared" si="29"/>
        <v>19159.264376782376</v>
      </c>
    </row>
    <row r="25" spans="2:40">
      <c r="B25" s="19">
        <v>420133</v>
      </c>
      <c r="C25" s="18" t="s">
        <v>30</v>
      </c>
      <c r="D25" s="16">
        <v>17000</v>
      </c>
      <c r="E25" s="17">
        <f t="shared" si="31"/>
        <v>17850</v>
      </c>
      <c r="F25" s="57">
        <f>E25*1.045</f>
        <v>18653.25</v>
      </c>
      <c r="G25" s="57">
        <f t="shared" si="1"/>
        <v>19302.383099999999</v>
      </c>
      <c r="H25" s="57">
        <f t="shared" si="2"/>
        <v>21447.263910072001</v>
      </c>
      <c r="I25" s="57">
        <f t="shared" si="3"/>
        <v>19823.547443699998</v>
      </c>
      <c r="J25" s="57">
        <f t="shared" si="3"/>
        <v>22026.340035643942</v>
      </c>
      <c r="K25" s="57">
        <f t="shared" si="4"/>
        <v>20299.312582348797</v>
      </c>
      <c r="L25" s="9">
        <f t="shared" si="4"/>
        <v>22554.972196499395</v>
      </c>
      <c r="M25" s="9">
        <f t="shared" si="5"/>
        <v>20847.394022072214</v>
      </c>
      <c r="N25" s="9">
        <f t="shared" si="5"/>
        <v>23163.956445804877</v>
      </c>
      <c r="O25" s="78">
        <f t="shared" si="6"/>
        <v>21306.036690557805</v>
      </c>
      <c r="P25" s="78">
        <f t="shared" si="6"/>
        <v>23673.563487612584</v>
      </c>
      <c r="Q25" s="1">
        <f t="shared" si="7"/>
        <v>21817.381571131191</v>
      </c>
      <c r="R25" s="78">
        <f t="shared" si="8"/>
        <v>24241.729011315285</v>
      </c>
      <c r="S25" s="1">
        <f t="shared" si="9"/>
        <v>22624.624689263044</v>
      </c>
      <c r="T25" s="78">
        <f t="shared" si="10"/>
        <v>25138.672984733948</v>
      </c>
      <c r="U25" s="1">
        <f t="shared" si="11"/>
        <v>23258.11418056241</v>
      </c>
      <c r="V25" s="99">
        <f t="shared" si="12"/>
        <v>25842.5558283065</v>
      </c>
      <c r="W25" s="78">
        <f t="shared" si="13"/>
        <v>23606.985893270845</v>
      </c>
      <c r="X25" s="78">
        <f t="shared" si="14"/>
        <v>26230.194165731096</v>
      </c>
      <c r="Y25" s="78">
        <f t="shared" si="15"/>
        <v>23984.697667563178</v>
      </c>
      <c r="Z25" s="78">
        <f t="shared" si="16"/>
        <v>26649.877272382793</v>
      </c>
      <c r="AA25" s="78">
        <f t="shared" si="17"/>
        <v>24440.406923246876</v>
      </c>
      <c r="AB25" s="78">
        <f t="shared" si="18"/>
        <v>27156.224940558062</v>
      </c>
      <c r="AC25" s="1">
        <f t="shared" si="19"/>
        <v>24904.774654788565</v>
      </c>
      <c r="AD25" s="78">
        <f t="shared" si="20"/>
        <v>27672.193214428662</v>
      </c>
      <c r="AE25" s="1">
        <f t="shared" si="21"/>
        <v>25427.774922539124</v>
      </c>
      <c r="AF25" s="78">
        <f t="shared" si="22"/>
        <v>28253.309271931663</v>
      </c>
      <c r="AG25" s="141">
        <f t="shared" si="23"/>
        <v>25758.335996532129</v>
      </c>
      <c r="AH25" s="140">
        <f t="shared" si="24"/>
        <v>28620.60229246677</v>
      </c>
      <c r="AI25" s="141">
        <f t="shared" si="30"/>
        <v>26273.502716462772</v>
      </c>
      <c r="AJ25" s="140">
        <f t="shared" si="25"/>
        <v>29193.014338316105</v>
      </c>
      <c r="AK25" s="141">
        <f t="shared" si="26"/>
        <v>27035.434295240189</v>
      </c>
      <c r="AL25" s="140">
        <f t="shared" si="27"/>
        <v>30039.611754127269</v>
      </c>
      <c r="AM25" s="141">
        <f t="shared" si="28"/>
        <v>28738.666655840319</v>
      </c>
      <c r="AN25" s="141">
        <f t="shared" si="29"/>
        <v>31932.107294637284</v>
      </c>
    </row>
    <row r="26" spans="2:40">
      <c r="B26" s="19">
        <v>420117</v>
      </c>
      <c r="C26" s="18" t="s">
        <v>31</v>
      </c>
      <c r="D26" s="16">
        <v>17000</v>
      </c>
      <c r="E26" s="17">
        <f t="shared" si="31"/>
        <v>17850</v>
      </c>
      <c r="F26" s="57">
        <f>E26*1.045</f>
        <v>18653.25</v>
      </c>
      <c r="G26" s="57">
        <f t="shared" si="1"/>
        <v>19302.383099999999</v>
      </c>
      <c r="H26" s="57">
        <f t="shared" si="2"/>
        <v>21447.263910072001</v>
      </c>
      <c r="I26" s="57">
        <f t="shared" si="3"/>
        <v>19823.547443699998</v>
      </c>
      <c r="J26" s="57">
        <f t="shared" si="3"/>
        <v>22026.340035643942</v>
      </c>
      <c r="K26" s="57">
        <f t="shared" si="4"/>
        <v>20299.312582348797</v>
      </c>
      <c r="L26" s="9">
        <f t="shared" si="4"/>
        <v>22554.972196499395</v>
      </c>
      <c r="M26" s="9">
        <f t="shared" si="5"/>
        <v>20847.394022072214</v>
      </c>
      <c r="N26" s="9">
        <f t="shared" si="5"/>
        <v>23163.956445804877</v>
      </c>
      <c r="O26" s="78">
        <f t="shared" si="6"/>
        <v>21306.036690557805</v>
      </c>
      <c r="P26" s="78">
        <f t="shared" si="6"/>
        <v>23673.563487612584</v>
      </c>
      <c r="Q26" s="1">
        <f t="shared" si="7"/>
        <v>21817.381571131191</v>
      </c>
      <c r="R26" s="78">
        <f t="shared" si="8"/>
        <v>24241.729011315285</v>
      </c>
      <c r="S26" s="1">
        <f t="shared" si="9"/>
        <v>22624.624689263044</v>
      </c>
      <c r="T26" s="78">
        <f t="shared" si="10"/>
        <v>25138.672984733948</v>
      </c>
      <c r="U26" s="1">
        <f t="shared" si="11"/>
        <v>23258.11418056241</v>
      </c>
      <c r="V26" s="99">
        <f t="shared" si="12"/>
        <v>25842.5558283065</v>
      </c>
      <c r="W26" s="78">
        <f t="shared" si="13"/>
        <v>23606.985893270845</v>
      </c>
      <c r="X26" s="78">
        <f t="shared" si="14"/>
        <v>26230.194165731096</v>
      </c>
      <c r="Y26" s="78">
        <f t="shared" si="15"/>
        <v>23984.697667563178</v>
      </c>
      <c r="Z26" s="78">
        <f t="shared" si="16"/>
        <v>26649.877272382793</v>
      </c>
      <c r="AA26" s="78">
        <f t="shared" si="17"/>
        <v>24440.406923246876</v>
      </c>
      <c r="AB26" s="78">
        <f t="shared" si="18"/>
        <v>27156.224940558062</v>
      </c>
      <c r="AC26" s="1">
        <f t="shared" si="19"/>
        <v>24904.774654788565</v>
      </c>
      <c r="AD26" s="78">
        <f t="shared" si="20"/>
        <v>27672.193214428662</v>
      </c>
      <c r="AE26" s="1">
        <f t="shared" si="21"/>
        <v>25427.774922539124</v>
      </c>
      <c r="AF26" s="78">
        <f t="shared" si="22"/>
        <v>28253.309271931663</v>
      </c>
      <c r="AG26" s="141">
        <f t="shared" si="23"/>
        <v>25758.335996532129</v>
      </c>
      <c r="AH26" s="140">
        <f t="shared" si="24"/>
        <v>28620.60229246677</v>
      </c>
      <c r="AI26" s="141">
        <f t="shared" si="30"/>
        <v>26273.502716462772</v>
      </c>
      <c r="AJ26" s="140">
        <f t="shared" si="25"/>
        <v>29193.014338316105</v>
      </c>
      <c r="AK26" s="141">
        <f t="shared" si="26"/>
        <v>27035.434295240189</v>
      </c>
      <c r="AL26" s="140">
        <f t="shared" si="27"/>
        <v>30039.611754127269</v>
      </c>
      <c r="AM26" s="141">
        <f t="shared" si="28"/>
        <v>28738.666655840319</v>
      </c>
      <c r="AN26" s="141">
        <f t="shared" si="29"/>
        <v>31932.107294637284</v>
      </c>
    </row>
    <row r="27" spans="2:40">
      <c r="B27" s="19">
        <v>420122</v>
      </c>
      <c r="C27" s="18" t="s">
        <v>32</v>
      </c>
      <c r="D27" s="16">
        <v>17000</v>
      </c>
      <c r="E27" s="17">
        <f t="shared" si="31"/>
        <v>17850</v>
      </c>
      <c r="F27" s="57">
        <f>E27*1.045</f>
        <v>18653.25</v>
      </c>
      <c r="G27" s="57">
        <f t="shared" si="1"/>
        <v>19302.383099999999</v>
      </c>
      <c r="H27" s="57">
        <f t="shared" si="2"/>
        <v>21447.263910072001</v>
      </c>
      <c r="I27" s="57">
        <f t="shared" si="3"/>
        <v>19823.547443699998</v>
      </c>
      <c r="J27" s="57">
        <f t="shared" si="3"/>
        <v>22026.340035643942</v>
      </c>
      <c r="K27" s="57">
        <f t="shared" si="4"/>
        <v>20299.312582348797</v>
      </c>
      <c r="L27" s="9">
        <f t="shared" si="4"/>
        <v>22554.972196499395</v>
      </c>
      <c r="M27" s="9">
        <f t="shared" si="5"/>
        <v>20847.394022072214</v>
      </c>
      <c r="N27" s="9">
        <f t="shared" si="5"/>
        <v>23163.956445804877</v>
      </c>
      <c r="O27" s="78">
        <f t="shared" si="6"/>
        <v>21306.036690557805</v>
      </c>
      <c r="P27" s="78">
        <f t="shared" si="6"/>
        <v>23673.563487612584</v>
      </c>
      <c r="Q27" s="1">
        <f t="shared" si="7"/>
        <v>21817.381571131191</v>
      </c>
      <c r="R27" s="78">
        <f t="shared" si="8"/>
        <v>24241.729011315285</v>
      </c>
      <c r="S27" s="1">
        <f t="shared" si="9"/>
        <v>22624.624689263044</v>
      </c>
      <c r="T27" s="78">
        <f t="shared" si="10"/>
        <v>25138.672984733948</v>
      </c>
      <c r="U27" s="1">
        <f t="shared" si="11"/>
        <v>23258.11418056241</v>
      </c>
      <c r="V27" s="99">
        <f t="shared" si="12"/>
        <v>25842.5558283065</v>
      </c>
      <c r="W27" s="78">
        <f t="shared" si="13"/>
        <v>23606.985893270845</v>
      </c>
      <c r="X27" s="78">
        <f t="shared" si="14"/>
        <v>26230.194165731096</v>
      </c>
      <c r="Y27" s="78">
        <f t="shared" si="15"/>
        <v>23984.697667563178</v>
      </c>
      <c r="Z27" s="78">
        <f t="shared" si="16"/>
        <v>26649.877272382793</v>
      </c>
      <c r="AA27" s="78">
        <f t="shared" si="17"/>
        <v>24440.406923246876</v>
      </c>
      <c r="AB27" s="78">
        <f t="shared" si="18"/>
        <v>27156.224940558062</v>
      </c>
      <c r="AC27" s="1">
        <f t="shared" si="19"/>
        <v>24904.774654788565</v>
      </c>
      <c r="AD27" s="78">
        <f t="shared" si="20"/>
        <v>27672.193214428662</v>
      </c>
      <c r="AE27" s="1">
        <f t="shared" si="21"/>
        <v>25427.774922539124</v>
      </c>
      <c r="AF27" s="78">
        <f t="shared" si="22"/>
        <v>28253.309271931663</v>
      </c>
      <c r="AG27" s="141">
        <f t="shared" si="23"/>
        <v>25758.335996532129</v>
      </c>
      <c r="AH27" s="140">
        <f t="shared" si="24"/>
        <v>28620.60229246677</v>
      </c>
      <c r="AI27" s="141">
        <f t="shared" si="30"/>
        <v>26273.502716462772</v>
      </c>
      <c r="AJ27" s="140">
        <f t="shared" si="25"/>
        <v>29193.014338316105</v>
      </c>
      <c r="AK27" s="141">
        <f t="shared" si="26"/>
        <v>27035.434295240189</v>
      </c>
      <c r="AL27" s="140">
        <f t="shared" si="27"/>
        <v>30039.611754127269</v>
      </c>
      <c r="AM27" s="141">
        <f t="shared" si="28"/>
        <v>28738.666655840319</v>
      </c>
      <c r="AN27" s="141">
        <f t="shared" si="29"/>
        <v>31932.107294637284</v>
      </c>
    </row>
    <row r="28" spans="2:40">
      <c r="B28" s="19">
        <v>420126</v>
      </c>
      <c r="C28" s="18" t="s">
        <v>33</v>
      </c>
      <c r="D28" s="16">
        <v>17000</v>
      </c>
      <c r="E28" s="17">
        <f t="shared" si="31"/>
        <v>17850</v>
      </c>
      <c r="F28" s="57">
        <f>E28*1.045</f>
        <v>18653.25</v>
      </c>
      <c r="G28" s="57">
        <f t="shared" si="1"/>
        <v>19302.383099999999</v>
      </c>
      <c r="H28" s="57">
        <f t="shared" si="2"/>
        <v>21447.263910072001</v>
      </c>
      <c r="I28" s="57">
        <f t="shared" si="3"/>
        <v>19823.547443699998</v>
      </c>
      <c r="J28" s="57">
        <f t="shared" si="3"/>
        <v>22026.340035643942</v>
      </c>
      <c r="K28" s="57">
        <f t="shared" si="4"/>
        <v>20299.312582348797</v>
      </c>
      <c r="L28" s="9">
        <f t="shared" si="4"/>
        <v>22554.972196499395</v>
      </c>
      <c r="M28" s="9">
        <f t="shared" si="5"/>
        <v>20847.394022072214</v>
      </c>
      <c r="N28" s="9">
        <f t="shared" si="5"/>
        <v>23163.956445804877</v>
      </c>
      <c r="O28" s="78">
        <f t="shared" si="6"/>
        <v>21306.036690557805</v>
      </c>
      <c r="P28" s="78">
        <f t="shared" si="6"/>
        <v>23673.563487612584</v>
      </c>
      <c r="Q28" s="1">
        <f t="shared" si="7"/>
        <v>21817.381571131191</v>
      </c>
      <c r="R28" s="78">
        <f t="shared" si="8"/>
        <v>24241.729011315285</v>
      </c>
      <c r="S28" s="1">
        <f t="shared" si="9"/>
        <v>22624.624689263044</v>
      </c>
      <c r="T28" s="78">
        <f t="shared" si="10"/>
        <v>25138.672984733948</v>
      </c>
      <c r="U28" s="1">
        <f t="shared" si="11"/>
        <v>23258.11418056241</v>
      </c>
      <c r="V28" s="99">
        <f t="shared" si="12"/>
        <v>25842.5558283065</v>
      </c>
      <c r="W28" s="78">
        <f t="shared" si="13"/>
        <v>23606.985893270845</v>
      </c>
      <c r="X28" s="78">
        <f t="shared" si="14"/>
        <v>26230.194165731096</v>
      </c>
      <c r="Y28" s="78">
        <f t="shared" si="15"/>
        <v>23984.697667563178</v>
      </c>
      <c r="Z28" s="78">
        <f t="shared" si="16"/>
        <v>26649.877272382793</v>
      </c>
      <c r="AA28" s="78">
        <f t="shared" si="17"/>
        <v>24440.406923246876</v>
      </c>
      <c r="AB28" s="78">
        <f t="shared" si="18"/>
        <v>27156.224940558062</v>
      </c>
      <c r="AC28" s="1">
        <f t="shared" si="19"/>
        <v>24904.774654788565</v>
      </c>
      <c r="AD28" s="78">
        <f t="shared" si="20"/>
        <v>27672.193214428662</v>
      </c>
      <c r="AE28" s="1">
        <f t="shared" si="21"/>
        <v>25427.774922539124</v>
      </c>
      <c r="AF28" s="78">
        <f t="shared" si="22"/>
        <v>28253.309271931663</v>
      </c>
      <c r="AG28" s="141">
        <f t="shared" si="23"/>
        <v>25758.335996532129</v>
      </c>
      <c r="AH28" s="140">
        <f t="shared" si="24"/>
        <v>28620.60229246677</v>
      </c>
      <c r="AI28" s="141">
        <f t="shared" si="30"/>
        <v>26273.502716462772</v>
      </c>
      <c r="AJ28" s="140">
        <f t="shared" si="25"/>
        <v>29193.014338316105</v>
      </c>
      <c r="AK28" s="141">
        <f t="shared" si="26"/>
        <v>27035.434295240189</v>
      </c>
      <c r="AL28" s="140">
        <f t="shared" si="27"/>
        <v>30039.611754127269</v>
      </c>
      <c r="AM28" s="141">
        <f t="shared" si="28"/>
        <v>28738.666655840319</v>
      </c>
      <c r="AN28" s="141">
        <f t="shared" si="29"/>
        <v>31932.107294637284</v>
      </c>
    </row>
    <row r="29" spans="2:40">
      <c r="B29" s="19">
        <v>420150</v>
      </c>
      <c r="C29" s="18" t="s">
        <v>34</v>
      </c>
      <c r="D29" s="16">
        <v>17000</v>
      </c>
      <c r="E29" s="17">
        <f t="shared" si="31"/>
        <v>17850</v>
      </c>
      <c r="F29" s="57">
        <f>E29*1.045</f>
        <v>18653.25</v>
      </c>
      <c r="G29" s="57">
        <f t="shared" si="1"/>
        <v>19302.383099999999</v>
      </c>
      <c r="H29" s="57">
        <f t="shared" si="2"/>
        <v>21447.263910072001</v>
      </c>
      <c r="I29" s="57">
        <f t="shared" si="3"/>
        <v>19823.547443699998</v>
      </c>
      <c r="J29" s="57">
        <f t="shared" si="3"/>
        <v>22026.340035643942</v>
      </c>
      <c r="K29" s="57">
        <f t="shared" si="4"/>
        <v>20299.312582348797</v>
      </c>
      <c r="L29" s="9">
        <f t="shared" si="4"/>
        <v>22554.972196499395</v>
      </c>
      <c r="M29" s="9">
        <f t="shared" si="5"/>
        <v>20847.394022072214</v>
      </c>
      <c r="N29" s="9">
        <f t="shared" si="5"/>
        <v>23163.956445804877</v>
      </c>
      <c r="O29" s="78">
        <f t="shared" si="6"/>
        <v>21306.036690557805</v>
      </c>
      <c r="P29" s="78">
        <f t="shared" si="6"/>
        <v>23673.563487612584</v>
      </c>
      <c r="Q29" s="1">
        <f t="shared" si="7"/>
        <v>21817.381571131191</v>
      </c>
      <c r="R29" s="78">
        <f t="shared" si="8"/>
        <v>24241.729011315285</v>
      </c>
      <c r="S29" s="1">
        <f t="shared" si="9"/>
        <v>22624.624689263044</v>
      </c>
      <c r="T29" s="78">
        <f t="shared" si="10"/>
        <v>25138.672984733948</v>
      </c>
      <c r="U29" s="1">
        <f t="shared" si="11"/>
        <v>23258.11418056241</v>
      </c>
      <c r="V29" s="99">
        <f t="shared" si="12"/>
        <v>25842.5558283065</v>
      </c>
      <c r="W29" s="78">
        <f t="shared" si="13"/>
        <v>23606.985893270845</v>
      </c>
      <c r="X29" s="78">
        <f t="shared" si="14"/>
        <v>26230.194165731096</v>
      </c>
      <c r="Y29" s="78">
        <f t="shared" si="15"/>
        <v>23984.697667563178</v>
      </c>
      <c r="Z29" s="78">
        <f t="shared" si="16"/>
        <v>26649.877272382793</v>
      </c>
      <c r="AA29" s="78">
        <f t="shared" si="17"/>
        <v>24440.406923246876</v>
      </c>
      <c r="AB29" s="78">
        <f t="shared" si="18"/>
        <v>27156.224940558062</v>
      </c>
      <c r="AC29" s="1">
        <f t="shared" si="19"/>
        <v>24904.774654788565</v>
      </c>
      <c r="AD29" s="78">
        <f t="shared" si="20"/>
        <v>27672.193214428662</v>
      </c>
      <c r="AE29" s="1">
        <f t="shared" si="21"/>
        <v>25427.774922539124</v>
      </c>
      <c r="AF29" s="78">
        <f t="shared" si="22"/>
        <v>28253.309271931663</v>
      </c>
      <c r="AG29" s="141">
        <f t="shared" si="23"/>
        <v>25758.335996532129</v>
      </c>
      <c r="AH29" s="140">
        <f t="shared" si="24"/>
        <v>28620.60229246677</v>
      </c>
      <c r="AI29" s="141">
        <f t="shared" si="30"/>
        <v>26273.502716462772</v>
      </c>
      <c r="AJ29" s="140">
        <f t="shared" si="25"/>
        <v>29193.014338316105</v>
      </c>
      <c r="AK29" s="141">
        <f t="shared" si="26"/>
        <v>27035.434295240189</v>
      </c>
      <c r="AL29" s="140">
        <f t="shared" si="27"/>
        <v>30039.611754127269</v>
      </c>
      <c r="AM29" s="141">
        <f t="shared" si="28"/>
        <v>28738.666655840319</v>
      </c>
      <c r="AN29" s="141">
        <f t="shared" si="29"/>
        <v>31932.107294637284</v>
      </c>
    </row>
    <row r="30" spans="2:40">
      <c r="B30" s="19">
        <v>420131</v>
      </c>
      <c r="C30" s="18" t="s">
        <v>35</v>
      </c>
      <c r="D30" s="16">
        <v>20000</v>
      </c>
      <c r="E30" s="17">
        <f t="shared" si="31"/>
        <v>21000</v>
      </c>
      <c r="F30" s="57">
        <f>E30*1.045</f>
        <v>21945</v>
      </c>
      <c r="G30" s="57">
        <f t="shared" si="1"/>
        <v>22708.685999999998</v>
      </c>
      <c r="H30" s="57">
        <f t="shared" si="2"/>
        <v>25232.075188319999</v>
      </c>
      <c r="I30" s="57">
        <f t="shared" si="3"/>
        <v>23321.820521999995</v>
      </c>
      <c r="J30" s="57">
        <f t="shared" si="3"/>
        <v>25913.341218404636</v>
      </c>
      <c r="K30" s="57">
        <f t="shared" si="4"/>
        <v>23881.544214527996</v>
      </c>
      <c r="L30" s="9">
        <f t="shared" si="4"/>
        <v>26535.261407646347</v>
      </c>
      <c r="M30" s="9">
        <f t="shared" si="5"/>
        <v>24526.345908320251</v>
      </c>
      <c r="N30" s="9">
        <f t="shared" si="5"/>
        <v>27251.713465652796</v>
      </c>
      <c r="O30" s="78">
        <f t="shared" si="6"/>
        <v>25065.925518303298</v>
      </c>
      <c r="P30" s="78">
        <f t="shared" si="6"/>
        <v>27851.251161897158</v>
      </c>
      <c r="Q30" s="1">
        <f t="shared" si="7"/>
        <v>25667.507730742578</v>
      </c>
      <c r="R30" s="78">
        <f t="shared" si="8"/>
        <v>28519.681189782692</v>
      </c>
      <c r="S30" s="1">
        <f t="shared" si="9"/>
        <v>26617.20551678005</v>
      </c>
      <c r="T30" s="78">
        <f t="shared" si="10"/>
        <v>29574.90939380465</v>
      </c>
      <c r="U30" s="1">
        <f t="shared" si="11"/>
        <v>27362.487271249891</v>
      </c>
      <c r="V30" s="99">
        <f t="shared" si="12"/>
        <v>30403.00685683118</v>
      </c>
      <c r="W30" s="78">
        <f t="shared" si="13"/>
        <v>27772.924580318635</v>
      </c>
      <c r="X30" s="78">
        <f t="shared" si="14"/>
        <v>30859.051959683646</v>
      </c>
      <c r="Y30" s="78">
        <f t="shared" si="15"/>
        <v>28217.291373603734</v>
      </c>
      <c r="Z30" s="78">
        <f t="shared" si="16"/>
        <v>31352.796791038585</v>
      </c>
      <c r="AA30" s="78">
        <f t="shared" si="17"/>
        <v>28753.419909702203</v>
      </c>
      <c r="AB30" s="78">
        <f t="shared" si="18"/>
        <v>31948.499930068316</v>
      </c>
      <c r="AC30" s="1">
        <f t="shared" si="19"/>
        <v>29299.734887986542</v>
      </c>
      <c r="AD30" s="78">
        <f t="shared" si="20"/>
        <v>32555.521428739612</v>
      </c>
      <c r="AE30" s="1">
        <f t="shared" si="21"/>
        <v>29915.029320634258</v>
      </c>
      <c r="AF30" s="78">
        <f t="shared" si="22"/>
        <v>33239.18737874314</v>
      </c>
      <c r="AG30" s="141">
        <f t="shared" si="23"/>
        <v>30303.924701802502</v>
      </c>
      <c r="AH30" s="140">
        <f t="shared" si="24"/>
        <v>33671.296814666799</v>
      </c>
      <c r="AI30" s="141">
        <f t="shared" si="30"/>
        <v>30910.003195838552</v>
      </c>
      <c r="AJ30" s="140">
        <f t="shared" si="25"/>
        <v>34344.722750960136</v>
      </c>
      <c r="AK30" s="141">
        <f t="shared" si="26"/>
        <v>31806.393288517866</v>
      </c>
      <c r="AL30" s="140">
        <f t="shared" si="27"/>
        <v>35340.719710737976</v>
      </c>
      <c r="AM30" s="141">
        <f t="shared" si="28"/>
        <v>33810.196065694487</v>
      </c>
      <c r="AN30" s="141">
        <f t="shared" si="29"/>
        <v>37567.185052514469</v>
      </c>
    </row>
    <row r="31" spans="2:40">
      <c r="B31" s="19">
        <v>420303</v>
      </c>
      <c r="C31" s="18" t="s">
        <v>36</v>
      </c>
      <c r="D31" s="16">
        <v>17000</v>
      </c>
      <c r="E31" s="17">
        <f t="shared" si="31"/>
        <v>17850</v>
      </c>
      <c r="F31" s="57">
        <f>E31*1.045</f>
        <v>18653.25</v>
      </c>
      <c r="G31" s="57">
        <f t="shared" si="1"/>
        <v>19302.383099999999</v>
      </c>
      <c r="H31" s="57">
        <f t="shared" si="2"/>
        <v>21447.263910072001</v>
      </c>
      <c r="I31" s="57">
        <f t="shared" si="3"/>
        <v>19823.547443699998</v>
      </c>
      <c r="J31" s="57">
        <f t="shared" si="3"/>
        <v>22026.340035643942</v>
      </c>
      <c r="K31" s="57">
        <f t="shared" si="4"/>
        <v>20299.312582348797</v>
      </c>
      <c r="L31" s="9"/>
      <c r="M31" s="9">
        <f t="shared" si="5"/>
        <v>20847.394022072214</v>
      </c>
      <c r="N31" s="9">
        <f t="shared" si="5"/>
        <v>0</v>
      </c>
      <c r="O31" s="78">
        <f t="shared" si="6"/>
        <v>21306.036690557805</v>
      </c>
      <c r="P31" s="78">
        <f t="shared" si="6"/>
        <v>0</v>
      </c>
      <c r="Q31" s="1">
        <f t="shared" si="7"/>
        <v>21817.381571131191</v>
      </c>
      <c r="R31" s="78"/>
      <c r="S31" s="1">
        <f t="shared" si="9"/>
        <v>22624.624689263044</v>
      </c>
      <c r="T31" s="78"/>
      <c r="U31" s="1">
        <f t="shared" si="11"/>
        <v>23258.11418056241</v>
      </c>
      <c r="V31" s="99"/>
      <c r="W31" s="78">
        <f t="shared" si="13"/>
        <v>23606.985893270845</v>
      </c>
      <c r="X31" s="78"/>
      <c r="Y31" s="78">
        <f t="shared" si="15"/>
        <v>23984.697667563178</v>
      </c>
      <c r="Z31" s="78"/>
      <c r="AA31" s="78">
        <f t="shared" si="17"/>
        <v>24440.406923246876</v>
      </c>
      <c r="AB31" s="78"/>
      <c r="AC31" s="1">
        <f t="shared" si="19"/>
        <v>24904.774654788565</v>
      </c>
      <c r="AD31" s="78"/>
      <c r="AE31" s="1">
        <f t="shared" si="21"/>
        <v>25427.774922539124</v>
      </c>
      <c r="AF31" s="78"/>
      <c r="AG31" s="141">
        <f t="shared" si="23"/>
        <v>25758.335996532129</v>
      </c>
      <c r="AH31" s="140"/>
      <c r="AI31" s="141">
        <f t="shared" si="30"/>
        <v>26273.502716462772</v>
      </c>
      <c r="AJ31" s="140"/>
      <c r="AK31" s="141">
        <f t="shared" si="26"/>
        <v>27035.434295240189</v>
      </c>
      <c r="AL31" s="140"/>
      <c r="AM31" s="141">
        <f t="shared" si="28"/>
        <v>28738.666655840319</v>
      </c>
      <c r="AN31" s="141"/>
    </row>
    <row r="32" spans="2:40">
      <c r="B32" s="155">
        <v>420331</v>
      </c>
      <c r="C32" s="25" t="s">
        <v>37</v>
      </c>
      <c r="D32" s="54">
        <v>20000</v>
      </c>
      <c r="E32" s="55">
        <f t="shared" si="31"/>
        <v>21000</v>
      </c>
      <c r="F32" s="75">
        <f>E32*1.045</f>
        <v>21945</v>
      </c>
      <c r="G32" s="75">
        <f t="shared" si="1"/>
        <v>22708.685999999998</v>
      </c>
      <c r="H32" s="75">
        <f t="shared" si="2"/>
        <v>25232.075188319999</v>
      </c>
      <c r="I32" s="75">
        <f t="shared" si="3"/>
        <v>23321.820521999995</v>
      </c>
      <c r="J32" s="75">
        <f t="shared" si="3"/>
        <v>25913.341218404636</v>
      </c>
      <c r="K32" s="75"/>
      <c r="L32" s="71">
        <f t="shared" si="4"/>
        <v>26535.261407646347</v>
      </c>
      <c r="M32" s="71"/>
      <c r="N32" s="71">
        <f t="shared" si="5"/>
        <v>27251.713465652796</v>
      </c>
      <c r="O32" s="79"/>
      <c r="P32" s="79">
        <f t="shared" si="6"/>
        <v>27851.251161897158</v>
      </c>
      <c r="Q32" s="100"/>
      <c r="R32" s="79">
        <f t="shared" si="8"/>
        <v>28519.681189782692</v>
      </c>
      <c r="S32" s="100"/>
      <c r="T32" s="79">
        <f t="shared" si="10"/>
        <v>29574.90939380465</v>
      </c>
      <c r="U32" s="100"/>
      <c r="V32" s="119">
        <f t="shared" si="12"/>
        <v>30403.00685683118</v>
      </c>
      <c r="W32" s="79"/>
      <c r="X32" s="79">
        <f t="shared" si="14"/>
        <v>30859.051959683646</v>
      </c>
      <c r="Y32" s="79"/>
      <c r="Z32" s="79">
        <f t="shared" si="16"/>
        <v>31352.796791038585</v>
      </c>
      <c r="AA32" s="79"/>
      <c r="AB32" s="79">
        <f t="shared" si="18"/>
        <v>31948.499930068316</v>
      </c>
      <c r="AC32" s="100"/>
      <c r="AD32" s="79">
        <f t="shared" si="20"/>
        <v>32555.521428739612</v>
      </c>
      <c r="AE32" s="100"/>
      <c r="AF32" s="79">
        <f t="shared" si="22"/>
        <v>33239.18737874314</v>
      </c>
      <c r="AG32" s="142"/>
      <c r="AH32" s="174">
        <f t="shared" si="24"/>
        <v>33671.296814666799</v>
      </c>
      <c r="AI32" s="142"/>
      <c r="AJ32" s="174">
        <f t="shared" si="25"/>
        <v>34344.722750960136</v>
      </c>
      <c r="AK32" s="142"/>
      <c r="AL32" s="174">
        <f t="shared" si="27"/>
        <v>35340.719710737976</v>
      </c>
      <c r="AM32" s="142"/>
      <c r="AN32" s="142">
        <f t="shared" si="29"/>
        <v>37567.185052514469</v>
      </c>
    </row>
    <row r="33" spans="1:40" ht="15" customHeight="1">
      <c r="B33" s="180" t="s">
        <v>38</v>
      </c>
      <c r="C33" s="181"/>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0"/>
      <c r="AL33" s="183"/>
      <c r="AM33" s="183"/>
      <c r="AN33" s="181"/>
    </row>
    <row r="34" spans="1:40">
      <c r="B34" s="157">
        <v>190102</v>
      </c>
      <c r="C34" s="31" t="s">
        <v>39</v>
      </c>
      <c r="D34" s="120">
        <v>6800</v>
      </c>
      <c r="E34" s="121">
        <f t="shared" si="31"/>
        <v>7140</v>
      </c>
      <c r="F34" s="122">
        <f>E34*1.045</f>
        <v>7461.2999999999993</v>
      </c>
      <c r="G34" s="122">
        <f t="shared" si="1"/>
        <v>7720.9532399999989</v>
      </c>
      <c r="H34" s="122">
        <f t="shared" si="2"/>
        <v>8578.9055640287988</v>
      </c>
      <c r="I34" s="122">
        <f t="shared" si="3"/>
        <v>7929.4189774799979</v>
      </c>
      <c r="J34" s="122">
        <f t="shared" si="3"/>
        <v>8810.5360142575755</v>
      </c>
      <c r="K34" s="122">
        <f t="shared" si="4"/>
        <v>8119.7250329395183</v>
      </c>
      <c r="L34" s="72">
        <f t="shared" si="4"/>
        <v>9021.9888785997573</v>
      </c>
      <c r="M34" s="72">
        <f t="shared" si="5"/>
        <v>8338.957608828885</v>
      </c>
      <c r="N34" s="72">
        <f t="shared" si="5"/>
        <v>9265.5825783219498</v>
      </c>
      <c r="O34" s="81">
        <f t="shared" si="6"/>
        <v>8522.4146762231212</v>
      </c>
      <c r="P34" s="81">
        <f t="shared" si="6"/>
        <v>9469.4253950450329</v>
      </c>
      <c r="Q34" s="102">
        <f t="shared" si="7"/>
        <v>8726.9526284524763</v>
      </c>
      <c r="R34" s="81">
        <f t="shared" si="8"/>
        <v>9696.6916045261132</v>
      </c>
      <c r="S34" s="102">
        <f t="shared" si="9"/>
        <v>9049.8498757052166</v>
      </c>
      <c r="T34" s="81">
        <f t="shared" si="10"/>
        <v>10055.469193893579</v>
      </c>
      <c r="U34" s="102">
        <f t="shared" si="11"/>
        <v>9303.2456722249626</v>
      </c>
      <c r="V34" s="123">
        <f t="shared" si="12"/>
        <v>10337.0223313226</v>
      </c>
      <c r="W34" s="81">
        <f t="shared" si="13"/>
        <v>9442.7943573083357</v>
      </c>
      <c r="X34" s="81">
        <f t="shared" si="14"/>
        <v>10492.077666292438</v>
      </c>
      <c r="Y34" s="81">
        <f t="shared" si="15"/>
        <v>9593.8790670252693</v>
      </c>
      <c r="Z34" s="81">
        <f t="shared" si="16"/>
        <v>10659.950908953117</v>
      </c>
      <c r="AA34" s="81">
        <f t="shared" si="17"/>
        <v>9776.1627692987477</v>
      </c>
      <c r="AB34" s="81">
        <f t="shared" si="18"/>
        <v>10862.489976223225</v>
      </c>
      <c r="AC34" s="102">
        <f t="shared" si="19"/>
        <v>9961.9098619154229</v>
      </c>
      <c r="AD34" s="81">
        <f t="shared" si="20"/>
        <v>11068.877285771465</v>
      </c>
      <c r="AE34" s="102">
        <f t="shared" si="21"/>
        <v>10171.109969015646</v>
      </c>
      <c r="AF34" s="81">
        <f t="shared" si="22"/>
        <v>11301.323708772665</v>
      </c>
      <c r="AG34" s="144">
        <f t="shared" si="23"/>
        <v>10303.334398612849</v>
      </c>
      <c r="AH34" s="175">
        <f t="shared" si="24"/>
        <v>11448.240916986708</v>
      </c>
      <c r="AI34" s="144">
        <f t="shared" si="30"/>
        <v>10509.401086585107</v>
      </c>
      <c r="AJ34" s="175">
        <f t="shared" si="25"/>
        <v>11677.205735326443</v>
      </c>
      <c r="AK34" s="144">
        <f t="shared" si="26"/>
        <v>10814.173718096074</v>
      </c>
      <c r="AL34" s="175">
        <f t="shared" si="27"/>
        <v>12015.844701650909</v>
      </c>
      <c r="AM34" s="144">
        <f t="shared" si="28"/>
        <v>11495.466662336126</v>
      </c>
      <c r="AN34" s="144">
        <f t="shared" si="29"/>
        <v>12772.842917854916</v>
      </c>
    </row>
    <row r="35" spans="1:40" ht="15" customHeight="1">
      <c r="B35" s="180" t="s">
        <v>40</v>
      </c>
      <c r="C35" s="181"/>
      <c r="D35" s="182"/>
      <c r="E35" s="182"/>
      <c r="F35" s="182"/>
      <c r="G35" s="182"/>
      <c r="H35" s="182"/>
      <c r="I35" s="182"/>
      <c r="J35" s="182"/>
      <c r="K35" s="182"/>
      <c r="L35" s="182"/>
      <c r="M35" s="182"/>
      <c r="N35" s="182"/>
      <c r="O35" s="182"/>
      <c r="P35" s="182"/>
      <c r="Q35" s="182"/>
      <c r="R35" s="182"/>
      <c r="S35" s="182"/>
      <c r="T35" s="182"/>
      <c r="U35" s="182"/>
      <c r="V35" s="182"/>
      <c r="W35" s="182"/>
      <c r="X35" s="182"/>
      <c r="Y35" s="182"/>
      <c r="Z35" s="182"/>
      <c r="AA35" s="182"/>
      <c r="AB35" s="182"/>
      <c r="AC35" s="182"/>
      <c r="AD35" s="182"/>
      <c r="AE35" s="182"/>
      <c r="AF35" s="182"/>
      <c r="AG35" s="182"/>
      <c r="AH35" s="182"/>
      <c r="AI35" s="182"/>
      <c r="AJ35" s="182"/>
      <c r="AK35" s="180"/>
      <c r="AL35" s="183"/>
      <c r="AM35" s="183"/>
      <c r="AN35" s="181"/>
    </row>
    <row r="36" spans="1:40">
      <c r="B36" s="158">
        <v>420162</v>
      </c>
      <c r="C36" s="30" t="s">
        <v>41</v>
      </c>
      <c r="D36" s="112">
        <v>22100</v>
      </c>
      <c r="E36" s="118">
        <f t="shared" si="31"/>
        <v>23205</v>
      </c>
      <c r="F36" s="70">
        <f>E36*1.045</f>
        <v>24249.224999999999</v>
      </c>
      <c r="G36" s="70">
        <f t="shared" si="1"/>
        <v>25093.098029999997</v>
      </c>
      <c r="H36" s="70">
        <f t="shared" si="2"/>
        <v>27881.4430830936</v>
      </c>
      <c r="I36" s="70">
        <f t="shared" si="3"/>
        <v>25770.611676809996</v>
      </c>
      <c r="J36" s="70">
        <f t="shared" si="3"/>
        <v>28634.242046337124</v>
      </c>
      <c r="K36" s="70">
        <f t="shared" si="4"/>
        <v>26389.106357053435</v>
      </c>
      <c r="L36" s="58">
        <f t="shared" si="4"/>
        <v>29321.463855449216</v>
      </c>
      <c r="M36" s="58">
        <f t="shared" si="5"/>
        <v>27101.612228693877</v>
      </c>
      <c r="N36" s="58">
        <f t="shared" si="5"/>
        <v>30113.143379546342</v>
      </c>
      <c r="O36" s="80">
        <f t="shared" si="6"/>
        <v>27697.847697725141</v>
      </c>
      <c r="P36" s="80">
        <f t="shared" si="6"/>
        <v>30775.632533896362</v>
      </c>
      <c r="Q36" s="101">
        <f t="shared" si="7"/>
        <v>28362.596042470544</v>
      </c>
      <c r="R36" s="80">
        <f t="shared" si="8"/>
        <v>31514.247714709876</v>
      </c>
      <c r="S36" s="101">
        <f t="shared" si="9"/>
        <v>29412.012096041952</v>
      </c>
      <c r="T36" s="80">
        <f t="shared" si="10"/>
        <v>32680.274880154138</v>
      </c>
      <c r="U36" s="101">
        <f t="shared" si="11"/>
        <v>30235.548434731129</v>
      </c>
      <c r="V36" s="114">
        <f t="shared" si="12"/>
        <v>33595.322576798455</v>
      </c>
      <c r="W36" s="80">
        <f t="shared" si="13"/>
        <v>30689.081661252094</v>
      </c>
      <c r="X36" s="80">
        <f t="shared" si="14"/>
        <v>34099.252415450428</v>
      </c>
      <c r="Y36" s="80">
        <f t="shared" si="15"/>
        <v>31180.106967832129</v>
      </c>
      <c r="Z36" s="80">
        <f t="shared" si="16"/>
        <v>34644.840454097633</v>
      </c>
      <c r="AA36" s="80">
        <f t="shared" si="17"/>
        <v>31772.529000220937</v>
      </c>
      <c r="AB36" s="80">
        <f t="shared" si="18"/>
        <v>35303.092422725487</v>
      </c>
      <c r="AC36" s="101">
        <f t="shared" si="19"/>
        <v>32376.20705122513</v>
      </c>
      <c r="AD36" s="80">
        <f t="shared" si="20"/>
        <v>35973.851178757272</v>
      </c>
      <c r="AE36" s="101">
        <f t="shared" si="21"/>
        <v>33056.107399300854</v>
      </c>
      <c r="AF36" s="80">
        <f t="shared" si="22"/>
        <v>36729.302053511172</v>
      </c>
      <c r="AG36" s="143">
        <f t="shared" si="23"/>
        <v>33485.836795491763</v>
      </c>
      <c r="AH36" s="152">
        <f t="shared" si="24"/>
        <v>37206.782980206815</v>
      </c>
      <c r="AI36" s="143">
        <f t="shared" si="30"/>
        <v>34155.553531401602</v>
      </c>
      <c r="AJ36" s="152">
        <f t="shared" si="25"/>
        <v>37950.918639810952</v>
      </c>
      <c r="AK36" s="143">
        <f t="shared" si="26"/>
        <v>35146.064583812244</v>
      </c>
      <c r="AL36" s="152">
        <f t="shared" si="27"/>
        <v>39051.495280365467</v>
      </c>
      <c r="AM36" s="143">
        <f t="shared" si="28"/>
        <v>37360.266652592414</v>
      </c>
      <c r="AN36" s="143">
        <f t="shared" si="29"/>
        <v>41511.73948302849</v>
      </c>
    </row>
    <row r="37" spans="1:40">
      <c r="B37" s="159">
        <v>420163</v>
      </c>
      <c r="C37" s="32" t="s">
        <v>42</v>
      </c>
      <c r="D37" s="16">
        <v>22100</v>
      </c>
      <c r="E37" s="17">
        <f t="shared" si="31"/>
        <v>23205</v>
      </c>
      <c r="F37" s="57">
        <f>E37*1.045</f>
        <v>24249.224999999999</v>
      </c>
      <c r="G37" s="57">
        <f t="shared" si="1"/>
        <v>25093.098029999997</v>
      </c>
      <c r="H37" s="57">
        <f t="shared" si="2"/>
        <v>27881.4430830936</v>
      </c>
      <c r="I37" s="57">
        <f t="shared" si="3"/>
        <v>25770.611676809996</v>
      </c>
      <c r="J37" s="57">
        <f t="shared" si="3"/>
        <v>28634.242046337124</v>
      </c>
      <c r="K37" s="57">
        <f t="shared" si="4"/>
        <v>26389.106357053435</v>
      </c>
      <c r="L37" s="9">
        <f t="shared" si="4"/>
        <v>29321.463855449216</v>
      </c>
      <c r="M37" s="9">
        <f t="shared" si="5"/>
        <v>27101.612228693877</v>
      </c>
      <c r="N37" s="9">
        <f t="shared" si="5"/>
        <v>30113.143379546342</v>
      </c>
      <c r="O37" s="78">
        <f t="shared" si="6"/>
        <v>27697.847697725141</v>
      </c>
      <c r="P37" s="78">
        <f t="shared" si="6"/>
        <v>30775.632533896362</v>
      </c>
      <c r="Q37" s="1">
        <f t="shared" si="7"/>
        <v>28362.596042470544</v>
      </c>
      <c r="R37" s="78">
        <f t="shared" si="8"/>
        <v>31514.247714709876</v>
      </c>
      <c r="S37" s="1">
        <f t="shared" si="9"/>
        <v>29412.012096041952</v>
      </c>
      <c r="T37" s="78">
        <f t="shared" si="10"/>
        <v>32680.274880154138</v>
      </c>
      <c r="U37" s="1">
        <f t="shared" si="11"/>
        <v>30235.548434731129</v>
      </c>
      <c r="V37" s="99">
        <f t="shared" si="12"/>
        <v>33595.322576798455</v>
      </c>
      <c r="W37" s="78">
        <f t="shared" si="13"/>
        <v>30689.081661252094</v>
      </c>
      <c r="X37" s="78">
        <f t="shared" si="14"/>
        <v>34099.252415450428</v>
      </c>
      <c r="Y37" s="78">
        <f t="shared" si="15"/>
        <v>31180.106967832129</v>
      </c>
      <c r="Z37" s="78">
        <f t="shared" si="16"/>
        <v>34644.840454097633</v>
      </c>
      <c r="AA37" s="78">
        <f t="shared" si="17"/>
        <v>31772.529000220937</v>
      </c>
      <c r="AB37" s="78">
        <f t="shared" si="18"/>
        <v>35303.092422725487</v>
      </c>
      <c r="AC37" s="1">
        <f t="shared" si="19"/>
        <v>32376.20705122513</v>
      </c>
      <c r="AD37" s="78">
        <f t="shared" si="20"/>
        <v>35973.851178757272</v>
      </c>
      <c r="AE37" s="1">
        <f t="shared" si="21"/>
        <v>33056.107399300854</v>
      </c>
      <c r="AF37" s="78">
        <f t="shared" si="22"/>
        <v>36729.302053511172</v>
      </c>
      <c r="AG37" s="141">
        <f t="shared" si="23"/>
        <v>33485.836795491763</v>
      </c>
      <c r="AH37" s="140">
        <f t="shared" si="24"/>
        <v>37206.782980206815</v>
      </c>
      <c r="AI37" s="141">
        <f t="shared" si="30"/>
        <v>34155.553531401602</v>
      </c>
      <c r="AJ37" s="140">
        <f t="shared" si="25"/>
        <v>37950.918639810952</v>
      </c>
      <c r="AK37" s="141">
        <f t="shared" si="26"/>
        <v>35146.064583812244</v>
      </c>
      <c r="AL37" s="140">
        <f t="shared" si="27"/>
        <v>39051.495280365467</v>
      </c>
      <c r="AM37" s="141">
        <f t="shared" si="28"/>
        <v>37360.266652592414</v>
      </c>
      <c r="AN37" s="141">
        <f t="shared" si="29"/>
        <v>41511.73948302849</v>
      </c>
    </row>
    <row r="38" spans="1:40">
      <c r="B38" s="159">
        <v>420187</v>
      </c>
      <c r="C38" s="32" t="s">
        <v>43</v>
      </c>
      <c r="D38" s="16">
        <v>12750</v>
      </c>
      <c r="E38" s="17">
        <f t="shared" si="31"/>
        <v>13387.5</v>
      </c>
      <c r="F38" s="57">
        <f>E38*1.045</f>
        <v>13989.937499999998</v>
      </c>
      <c r="G38" s="57">
        <f t="shared" si="1"/>
        <v>14476.787324999998</v>
      </c>
      <c r="H38" s="57">
        <f t="shared" si="2"/>
        <v>16085.447932554</v>
      </c>
      <c r="I38" s="57">
        <f t="shared" si="3"/>
        <v>14867.660582774995</v>
      </c>
      <c r="J38" s="57">
        <f t="shared" si="3"/>
        <v>16519.755026732957</v>
      </c>
      <c r="K38" s="57">
        <f t="shared" si="4"/>
        <v>15224.484436761595</v>
      </c>
      <c r="L38" s="9">
        <f t="shared" si="4"/>
        <v>16916.22914737455</v>
      </c>
      <c r="M38" s="9">
        <f t="shared" si="5"/>
        <v>15635.545516554157</v>
      </c>
      <c r="N38" s="9">
        <f t="shared" si="5"/>
        <v>17372.96733435366</v>
      </c>
      <c r="O38" s="78">
        <f t="shared" si="6"/>
        <v>15979.527517918348</v>
      </c>
      <c r="P38" s="78">
        <f t="shared" si="6"/>
        <v>17755.172615709442</v>
      </c>
      <c r="Q38" s="1">
        <f t="shared" si="7"/>
        <v>16363.03617834839</v>
      </c>
      <c r="R38" s="78">
        <f t="shared" si="8"/>
        <v>18181.296758486467</v>
      </c>
      <c r="S38" s="1">
        <f t="shared" si="9"/>
        <v>16968.46851694728</v>
      </c>
      <c r="T38" s="78">
        <f t="shared" si="10"/>
        <v>18854.004738550466</v>
      </c>
      <c r="U38" s="1">
        <f t="shared" si="11"/>
        <v>17443.585635421805</v>
      </c>
      <c r="V38" s="99">
        <f t="shared" si="12"/>
        <v>19381.916871229878</v>
      </c>
      <c r="W38" s="78">
        <f t="shared" si="13"/>
        <v>17705.23941995313</v>
      </c>
      <c r="X38" s="78">
        <f t="shared" si="14"/>
        <v>19672.645624298326</v>
      </c>
      <c r="Y38" s="78">
        <f t="shared" si="15"/>
        <v>17988.523250672381</v>
      </c>
      <c r="Z38" s="78">
        <f t="shared" si="16"/>
        <v>19987.4079542871</v>
      </c>
      <c r="AA38" s="78">
        <f t="shared" si="17"/>
        <v>18330.305192435153</v>
      </c>
      <c r="AB38" s="78">
        <f t="shared" si="18"/>
        <v>20367.168705418553</v>
      </c>
      <c r="AC38" s="1">
        <f t="shared" si="19"/>
        <v>18678.580991091418</v>
      </c>
      <c r="AD38" s="78">
        <f t="shared" si="20"/>
        <v>20754.144910821502</v>
      </c>
      <c r="AE38" s="1">
        <f t="shared" si="21"/>
        <v>19070.831191904337</v>
      </c>
      <c r="AF38" s="78">
        <f t="shared" si="22"/>
        <v>21189.981953948751</v>
      </c>
      <c r="AG38" s="141">
        <f t="shared" si="23"/>
        <v>19318.751997399093</v>
      </c>
      <c r="AH38" s="140">
        <f t="shared" si="24"/>
        <v>21465.451719350083</v>
      </c>
      <c r="AI38" s="141">
        <f t="shared" si="30"/>
        <v>19705.127037347076</v>
      </c>
      <c r="AJ38" s="140">
        <f t="shared" si="25"/>
        <v>21894.760753737086</v>
      </c>
      <c r="AK38" s="141">
        <f t="shared" si="26"/>
        <v>20276.575721430141</v>
      </c>
      <c r="AL38" s="140">
        <f t="shared" si="27"/>
        <v>22529.708815595459</v>
      </c>
      <c r="AM38" s="141">
        <f t="shared" si="28"/>
        <v>21553.999991880239</v>
      </c>
      <c r="AN38" s="141">
        <f t="shared" si="29"/>
        <v>23949.080470977973</v>
      </c>
    </row>
    <row r="39" spans="1:40">
      <c r="B39" s="159">
        <v>330101</v>
      </c>
      <c r="C39" s="32" t="s">
        <v>44</v>
      </c>
      <c r="D39" s="16">
        <v>12750</v>
      </c>
      <c r="E39" s="17">
        <f t="shared" si="31"/>
        <v>13387.5</v>
      </c>
      <c r="F39" s="57">
        <f>E39*1.045</f>
        <v>13989.937499999998</v>
      </c>
      <c r="G39" s="57">
        <f t="shared" si="1"/>
        <v>14476.787324999998</v>
      </c>
      <c r="H39" s="57">
        <f t="shared" si="2"/>
        <v>16085.447932554</v>
      </c>
      <c r="I39" s="57">
        <f t="shared" si="3"/>
        <v>14867.660582774995</v>
      </c>
      <c r="J39" s="57">
        <f t="shared" si="3"/>
        <v>16519.755026732957</v>
      </c>
      <c r="K39" s="57">
        <f t="shared" si="4"/>
        <v>15224.484436761595</v>
      </c>
      <c r="L39" s="9">
        <f t="shared" si="4"/>
        <v>16916.22914737455</v>
      </c>
      <c r="M39" s="9">
        <f t="shared" si="5"/>
        <v>15635.545516554157</v>
      </c>
      <c r="N39" s="9">
        <f t="shared" si="5"/>
        <v>17372.96733435366</v>
      </c>
      <c r="O39" s="78">
        <f t="shared" si="6"/>
        <v>15979.527517918348</v>
      </c>
      <c r="P39" s="78">
        <f t="shared" si="6"/>
        <v>17755.172615709442</v>
      </c>
      <c r="Q39" s="1">
        <f t="shared" si="7"/>
        <v>16363.03617834839</v>
      </c>
      <c r="R39" s="78">
        <f t="shared" si="8"/>
        <v>18181.296758486467</v>
      </c>
      <c r="S39" s="1">
        <f t="shared" si="9"/>
        <v>16968.46851694728</v>
      </c>
      <c r="T39" s="78">
        <f t="shared" si="10"/>
        <v>18854.004738550466</v>
      </c>
      <c r="U39" s="1">
        <f t="shared" si="11"/>
        <v>17443.585635421805</v>
      </c>
      <c r="V39" s="99">
        <f t="shared" si="12"/>
        <v>19381.916871229878</v>
      </c>
      <c r="W39" s="78">
        <f t="shared" si="13"/>
        <v>17705.23941995313</v>
      </c>
      <c r="X39" s="78">
        <f t="shared" si="14"/>
        <v>19672.645624298326</v>
      </c>
      <c r="Y39" s="78">
        <f t="shared" si="15"/>
        <v>17988.523250672381</v>
      </c>
      <c r="Z39" s="78">
        <f t="shared" si="16"/>
        <v>19987.4079542871</v>
      </c>
      <c r="AA39" s="78">
        <f t="shared" si="17"/>
        <v>18330.305192435153</v>
      </c>
      <c r="AB39" s="78">
        <f t="shared" si="18"/>
        <v>20367.168705418553</v>
      </c>
      <c r="AC39" s="1">
        <f t="shared" si="19"/>
        <v>18678.580991091418</v>
      </c>
      <c r="AD39" s="78">
        <f t="shared" si="20"/>
        <v>20754.144910821502</v>
      </c>
      <c r="AE39" s="1">
        <f t="shared" si="21"/>
        <v>19070.831191904337</v>
      </c>
      <c r="AF39" s="78">
        <f t="shared" si="22"/>
        <v>21189.981953948751</v>
      </c>
      <c r="AG39" s="141">
        <f t="shared" si="23"/>
        <v>19318.751997399093</v>
      </c>
      <c r="AH39" s="140">
        <f t="shared" si="24"/>
        <v>21465.451719350083</v>
      </c>
      <c r="AI39" s="141">
        <f t="shared" si="30"/>
        <v>19705.127037347076</v>
      </c>
      <c r="AJ39" s="140">
        <f t="shared" si="25"/>
        <v>21894.760753737086</v>
      </c>
      <c r="AK39" s="141">
        <f t="shared" si="26"/>
        <v>20276.575721430141</v>
      </c>
      <c r="AL39" s="140">
        <f t="shared" si="27"/>
        <v>22529.708815595459</v>
      </c>
      <c r="AM39" s="141">
        <f t="shared" si="28"/>
        <v>21553.999991880239</v>
      </c>
      <c r="AN39" s="141">
        <f t="shared" si="29"/>
        <v>23949.080470977973</v>
      </c>
    </row>
    <row r="40" spans="1:40">
      <c r="B40" s="159">
        <v>330102</v>
      </c>
      <c r="C40" s="32" t="s">
        <v>45</v>
      </c>
      <c r="D40" s="16">
        <v>12750</v>
      </c>
      <c r="E40" s="17">
        <f t="shared" si="31"/>
        <v>13387.5</v>
      </c>
      <c r="F40" s="57">
        <f>E40*1.045</f>
        <v>13989.937499999998</v>
      </c>
      <c r="G40" s="57">
        <f t="shared" si="1"/>
        <v>14476.787324999998</v>
      </c>
      <c r="H40" s="57">
        <f t="shared" si="2"/>
        <v>16085.447932554</v>
      </c>
      <c r="I40" s="57">
        <f t="shared" si="3"/>
        <v>14867.660582774995</v>
      </c>
      <c r="J40" s="57">
        <f t="shared" si="3"/>
        <v>16519.755026732957</v>
      </c>
      <c r="K40" s="57">
        <f t="shared" si="4"/>
        <v>15224.484436761595</v>
      </c>
      <c r="L40" s="9">
        <f t="shared" si="4"/>
        <v>16916.22914737455</v>
      </c>
      <c r="M40" s="9">
        <f t="shared" si="5"/>
        <v>15635.545516554157</v>
      </c>
      <c r="N40" s="9">
        <f t="shared" si="5"/>
        <v>17372.96733435366</v>
      </c>
      <c r="O40" s="78">
        <f t="shared" si="6"/>
        <v>15979.527517918348</v>
      </c>
      <c r="P40" s="78">
        <f t="shared" si="6"/>
        <v>17755.172615709442</v>
      </c>
      <c r="Q40" s="1">
        <f t="shared" si="7"/>
        <v>16363.03617834839</v>
      </c>
      <c r="R40" s="78">
        <f t="shared" si="8"/>
        <v>18181.296758486467</v>
      </c>
      <c r="S40" s="1">
        <f t="shared" si="9"/>
        <v>16968.46851694728</v>
      </c>
      <c r="T40" s="78">
        <f t="shared" si="10"/>
        <v>18854.004738550466</v>
      </c>
      <c r="U40" s="1">
        <f t="shared" si="11"/>
        <v>17443.585635421805</v>
      </c>
      <c r="V40" s="99">
        <f t="shared" si="12"/>
        <v>19381.916871229878</v>
      </c>
      <c r="W40" s="78">
        <f t="shared" si="13"/>
        <v>17705.23941995313</v>
      </c>
      <c r="X40" s="78">
        <f t="shared" si="14"/>
        <v>19672.645624298326</v>
      </c>
      <c r="Y40" s="78">
        <f t="shared" si="15"/>
        <v>17988.523250672381</v>
      </c>
      <c r="Z40" s="78">
        <f t="shared" si="16"/>
        <v>19987.4079542871</v>
      </c>
      <c r="AA40" s="78">
        <f t="shared" si="17"/>
        <v>18330.305192435153</v>
      </c>
      <c r="AB40" s="78">
        <f t="shared" si="18"/>
        <v>20367.168705418553</v>
      </c>
      <c r="AC40" s="1">
        <f t="shared" si="19"/>
        <v>18678.580991091418</v>
      </c>
      <c r="AD40" s="78">
        <f t="shared" si="20"/>
        <v>20754.144910821502</v>
      </c>
      <c r="AE40" s="1">
        <f t="shared" si="21"/>
        <v>19070.831191904337</v>
      </c>
      <c r="AF40" s="78">
        <f t="shared" si="22"/>
        <v>21189.981953948751</v>
      </c>
      <c r="AG40" s="141">
        <f t="shared" si="23"/>
        <v>19318.751997399093</v>
      </c>
      <c r="AH40" s="140">
        <f t="shared" si="24"/>
        <v>21465.451719350083</v>
      </c>
      <c r="AI40" s="141">
        <f t="shared" si="30"/>
        <v>19705.127037347076</v>
      </c>
      <c r="AJ40" s="140">
        <f t="shared" si="25"/>
        <v>21894.760753737086</v>
      </c>
      <c r="AK40" s="141">
        <f t="shared" si="26"/>
        <v>20276.575721430141</v>
      </c>
      <c r="AL40" s="140">
        <f t="shared" si="27"/>
        <v>22529.708815595459</v>
      </c>
      <c r="AM40" s="141">
        <f t="shared" si="28"/>
        <v>21553.999991880239</v>
      </c>
      <c r="AN40" s="141">
        <f t="shared" si="29"/>
        <v>23949.080470977973</v>
      </c>
    </row>
    <row r="41" spans="1:40">
      <c r="B41" s="159">
        <v>330103</v>
      </c>
      <c r="C41" s="32" t="s">
        <v>46</v>
      </c>
      <c r="D41" s="16">
        <v>14450</v>
      </c>
      <c r="E41" s="17">
        <f t="shared" si="31"/>
        <v>15172.5</v>
      </c>
      <c r="F41" s="57">
        <f>E41*1.045</f>
        <v>15855.262499999999</v>
      </c>
      <c r="G41" s="57">
        <f t="shared" si="1"/>
        <v>16407.025634999998</v>
      </c>
      <c r="H41" s="57">
        <f t="shared" si="2"/>
        <v>18230.174323561201</v>
      </c>
      <c r="I41" s="57">
        <f t="shared" si="3"/>
        <v>16850.015327144996</v>
      </c>
      <c r="J41" s="57">
        <f t="shared" si="3"/>
        <v>18722.389030297352</v>
      </c>
      <c r="K41" s="57">
        <f t="shared" si="4"/>
        <v>17254.415694996478</v>
      </c>
      <c r="L41" s="9">
        <f t="shared" si="4"/>
        <v>19171.72636702449</v>
      </c>
      <c r="M41" s="9">
        <f t="shared" si="5"/>
        <v>17720.284918761383</v>
      </c>
      <c r="N41" s="9">
        <f t="shared" si="5"/>
        <v>19689.36297893415</v>
      </c>
      <c r="O41" s="78">
        <f t="shared" si="6"/>
        <v>18110.131186974133</v>
      </c>
      <c r="P41" s="78">
        <f t="shared" si="6"/>
        <v>20122.528964470701</v>
      </c>
      <c r="Q41" s="1">
        <f t="shared" si="7"/>
        <v>18544.774335461512</v>
      </c>
      <c r="R41" s="78">
        <f t="shared" si="8"/>
        <v>20605.469659617997</v>
      </c>
      <c r="S41" s="1">
        <f t="shared" si="9"/>
        <v>19230.930985873587</v>
      </c>
      <c r="T41" s="78">
        <f t="shared" si="10"/>
        <v>21367.872037023863</v>
      </c>
      <c r="U41" s="1">
        <f t="shared" si="11"/>
        <v>19769.397053478049</v>
      </c>
      <c r="V41" s="99">
        <f t="shared" si="12"/>
        <v>21966.172454060532</v>
      </c>
      <c r="W41" s="78">
        <f t="shared" si="13"/>
        <v>20065.938009280217</v>
      </c>
      <c r="X41" s="78">
        <f t="shared" si="14"/>
        <v>22295.665040871438</v>
      </c>
      <c r="Y41" s="78">
        <f t="shared" si="15"/>
        <v>20386.9930174287</v>
      </c>
      <c r="Z41" s="78">
        <f t="shared" si="16"/>
        <v>22652.39568152538</v>
      </c>
      <c r="AA41" s="78">
        <f t="shared" si="17"/>
        <v>20774.345884759845</v>
      </c>
      <c r="AB41" s="78">
        <f t="shared" si="18"/>
        <v>23082.791199474359</v>
      </c>
      <c r="AC41" s="1">
        <f t="shared" si="19"/>
        <v>21169.058456570281</v>
      </c>
      <c r="AD41" s="78">
        <f t="shared" si="20"/>
        <v>23521.364232264368</v>
      </c>
      <c r="AE41" s="1">
        <f t="shared" si="21"/>
        <v>21613.608684158255</v>
      </c>
      <c r="AF41" s="78">
        <f t="shared" si="22"/>
        <v>24015.312881141919</v>
      </c>
      <c r="AG41" s="141">
        <f t="shared" si="23"/>
        <v>21894.585597052308</v>
      </c>
      <c r="AH41" s="140">
        <f t="shared" si="24"/>
        <v>24327.511948596763</v>
      </c>
      <c r="AI41" s="141">
        <f t="shared" si="30"/>
        <v>22332.477308993355</v>
      </c>
      <c r="AJ41" s="140">
        <f t="shared" si="25"/>
        <v>24814.062187568699</v>
      </c>
      <c r="AK41" s="141">
        <f t="shared" si="26"/>
        <v>22980.11915095416</v>
      </c>
      <c r="AL41" s="140">
        <f t="shared" si="27"/>
        <v>25533.669991008188</v>
      </c>
      <c r="AM41" s="141">
        <f t="shared" si="28"/>
        <v>24427.86665746427</v>
      </c>
      <c r="AN41" s="141">
        <f t="shared" si="29"/>
        <v>27142.291200441701</v>
      </c>
    </row>
    <row r="42" spans="1:40">
      <c r="B42" s="159">
        <v>330126</v>
      </c>
      <c r="C42" s="32" t="s">
        <v>47</v>
      </c>
      <c r="D42" s="16">
        <v>12750</v>
      </c>
      <c r="E42" s="17">
        <f t="shared" si="31"/>
        <v>13387.5</v>
      </c>
      <c r="F42" s="57">
        <f>E42*1.045</f>
        <v>13989.937499999998</v>
      </c>
      <c r="G42" s="57">
        <f t="shared" si="1"/>
        <v>14476.787324999998</v>
      </c>
      <c r="H42" s="57">
        <f t="shared" si="2"/>
        <v>16085.447932554</v>
      </c>
      <c r="I42" s="57">
        <f t="shared" si="3"/>
        <v>14867.660582774995</v>
      </c>
      <c r="J42" s="57">
        <f t="shared" si="3"/>
        <v>16519.755026732957</v>
      </c>
      <c r="K42" s="57">
        <f t="shared" si="4"/>
        <v>15224.484436761595</v>
      </c>
      <c r="L42" s="9">
        <f t="shared" si="4"/>
        <v>16916.22914737455</v>
      </c>
      <c r="M42" s="9">
        <f t="shared" si="5"/>
        <v>15635.545516554157</v>
      </c>
      <c r="N42" s="9">
        <f t="shared" si="5"/>
        <v>17372.96733435366</v>
      </c>
      <c r="O42" s="78">
        <f t="shared" si="6"/>
        <v>15979.527517918348</v>
      </c>
      <c r="P42" s="78">
        <f t="shared" si="6"/>
        <v>17755.172615709442</v>
      </c>
      <c r="Q42" s="1">
        <f t="shared" si="7"/>
        <v>16363.03617834839</v>
      </c>
      <c r="R42" s="78">
        <f t="shared" si="8"/>
        <v>18181.296758486467</v>
      </c>
      <c r="S42" s="1">
        <f t="shared" si="9"/>
        <v>16968.46851694728</v>
      </c>
      <c r="T42" s="78">
        <f t="shared" si="10"/>
        <v>18854.004738550466</v>
      </c>
      <c r="U42" s="1">
        <f t="shared" si="11"/>
        <v>17443.585635421805</v>
      </c>
      <c r="V42" s="99">
        <f t="shared" si="12"/>
        <v>19381.916871229878</v>
      </c>
      <c r="W42" s="78">
        <f t="shared" si="13"/>
        <v>17705.23941995313</v>
      </c>
      <c r="X42" s="78">
        <f t="shared" si="14"/>
        <v>19672.645624298326</v>
      </c>
      <c r="Y42" s="78">
        <f t="shared" si="15"/>
        <v>17988.523250672381</v>
      </c>
      <c r="Z42" s="78">
        <f t="shared" si="16"/>
        <v>19987.4079542871</v>
      </c>
      <c r="AA42" s="78">
        <f t="shared" si="17"/>
        <v>18330.305192435153</v>
      </c>
      <c r="AB42" s="78">
        <f t="shared" si="18"/>
        <v>20367.168705418553</v>
      </c>
      <c r="AC42" s="1">
        <f t="shared" si="19"/>
        <v>18678.580991091418</v>
      </c>
      <c r="AD42" s="78">
        <f t="shared" si="20"/>
        <v>20754.144910821502</v>
      </c>
      <c r="AE42" s="1">
        <f t="shared" si="21"/>
        <v>19070.831191904337</v>
      </c>
      <c r="AF42" s="78">
        <f t="shared" si="22"/>
        <v>21189.981953948751</v>
      </c>
      <c r="AG42" s="141">
        <f t="shared" si="23"/>
        <v>19318.751997399093</v>
      </c>
      <c r="AH42" s="140">
        <f t="shared" si="24"/>
        <v>21465.451719350083</v>
      </c>
      <c r="AI42" s="141">
        <f t="shared" si="30"/>
        <v>19705.127037347076</v>
      </c>
      <c r="AJ42" s="140">
        <f t="shared" si="25"/>
        <v>21894.760753737086</v>
      </c>
      <c r="AK42" s="141">
        <f t="shared" si="26"/>
        <v>20276.575721430141</v>
      </c>
      <c r="AL42" s="140">
        <f t="shared" si="27"/>
        <v>22529.708815595459</v>
      </c>
      <c r="AM42" s="141">
        <f t="shared" si="28"/>
        <v>21553.999991880239</v>
      </c>
      <c r="AN42" s="141">
        <f t="shared" si="29"/>
        <v>23949.080470977973</v>
      </c>
    </row>
    <row r="43" spans="1:40">
      <c r="B43" s="160">
        <v>330127</v>
      </c>
      <c r="C43" s="33" t="s">
        <v>48</v>
      </c>
      <c r="D43" s="54">
        <v>11900</v>
      </c>
      <c r="E43" s="55">
        <f t="shared" si="31"/>
        <v>12495</v>
      </c>
      <c r="F43" s="75">
        <f>E43*1.045</f>
        <v>13057.275</v>
      </c>
      <c r="G43" s="75">
        <f t="shared" si="1"/>
        <v>13511.668169999999</v>
      </c>
      <c r="H43" s="75">
        <f t="shared" si="2"/>
        <v>15013.0847370504</v>
      </c>
      <c r="I43" s="75">
        <f t="shared" si="3"/>
        <v>13876.483210589999</v>
      </c>
      <c r="J43" s="75">
        <f t="shared" si="3"/>
        <v>15418.438024950759</v>
      </c>
      <c r="K43" s="75">
        <f t="shared" si="4"/>
        <v>14209.518807644159</v>
      </c>
      <c r="L43" s="71">
        <f t="shared" si="4"/>
        <v>15788.480537549578</v>
      </c>
      <c r="M43" s="71">
        <f t="shared" si="5"/>
        <v>14593.17581545055</v>
      </c>
      <c r="N43" s="71">
        <f t="shared" si="5"/>
        <v>16214.769512063414</v>
      </c>
      <c r="O43" s="79">
        <f t="shared" si="6"/>
        <v>14914.225683390461</v>
      </c>
      <c r="P43" s="79">
        <f t="shared" si="6"/>
        <v>16571.49444132881</v>
      </c>
      <c r="Q43" s="100">
        <f t="shared" si="7"/>
        <v>15272.167099791832</v>
      </c>
      <c r="R43" s="79">
        <f t="shared" si="8"/>
        <v>16969.210307920701</v>
      </c>
      <c r="S43" s="100">
        <f t="shared" si="9"/>
        <v>15837.237282484128</v>
      </c>
      <c r="T43" s="79">
        <f t="shared" si="10"/>
        <v>17597.071089313766</v>
      </c>
      <c r="U43" s="100">
        <f t="shared" si="11"/>
        <v>16280.679926393685</v>
      </c>
      <c r="V43" s="119">
        <f t="shared" si="12"/>
        <v>18089.789079814553</v>
      </c>
      <c r="W43" s="79">
        <f t="shared" si="13"/>
        <v>16524.890125289588</v>
      </c>
      <c r="X43" s="79">
        <f t="shared" si="14"/>
        <v>18361.135916011768</v>
      </c>
      <c r="Y43" s="79">
        <f t="shared" si="15"/>
        <v>16789.288367294223</v>
      </c>
      <c r="Z43" s="79">
        <f t="shared" si="16"/>
        <v>18654.914090667957</v>
      </c>
      <c r="AA43" s="79">
        <f t="shared" si="17"/>
        <v>17108.284846272811</v>
      </c>
      <c r="AB43" s="79">
        <f t="shared" si="18"/>
        <v>19009.357458390645</v>
      </c>
      <c r="AC43" s="100">
        <f t="shared" si="19"/>
        <v>17433.342258351993</v>
      </c>
      <c r="AD43" s="79">
        <f t="shared" si="20"/>
        <v>19370.535250100063</v>
      </c>
      <c r="AE43" s="100">
        <f t="shared" si="21"/>
        <v>17799.442445777382</v>
      </c>
      <c r="AF43" s="79">
        <f t="shared" si="22"/>
        <v>19777.316490352165</v>
      </c>
      <c r="AG43" s="142">
        <f t="shared" si="23"/>
        <v>18030.835197572487</v>
      </c>
      <c r="AH43" s="174">
        <f t="shared" si="24"/>
        <v>20034.42160472674</v>
      </c>
      <c r="AI43" s="142">
        <f t="shared" si="30"/>
        <v>18391.451901523938</v>
      </c>
      <c r="AJ43" s="174">
        <f t="shared" si="25"/>
        <v>20435.110036821276</v>
      </c>
      <c r="AK43" s="142">
        <f t="shared" si="26"/>
        <v>18924.804006668131</v>
      </c>
      <c r="AL43" s="174">
        <f t="shared" si="27"/>
        <v>21027.728227889093</v>
      </c>
      <c r="AM43" s="142">
        <f t="shared" si="28"/>
        <v>20117.066659088221</v>
      </c>
      <c r="AN43" s="142">
        <f t="shared" si="29"/>
        <v>22352.475106246104</v>
      </c>
    </row>
    <row r="44" spans="1:40" ht="15" customHeight="1">
      <c r="B44" s="191" t="s">
        <v>49</v>
      </c>
      <c r="C44" s="192"/>
      <c r="D44" s="189"/>
      <c r="E44" s="189"/>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91"/>
      <c r="AL44" s="193"/>
      <c r="AM44" s="193"/>
      <c r="AN44" s="192"/>
    </row>
    <row r="45" spans="1:40">
      <c r="B45" s="180" t="s">
        <v>50</v>
      </c>
      <c r="C45" s="181"/>
      <c r="D45" s="194"/>
      <c r="E45" s="194"/>
      <c r="F45" s="194"/>
      <c r="G45" s="194"/>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c r="AJ45" s="194"/>
      <c r="AK45" s="180"/>
      <c r="AL45" s="183"/>
      <c r="AM45" s="183"/>
      <c r="AN45" s="181"/>
    </row>
    <row r="46" spans="1:40">
      <c r="A46" s="56">
        <v>140101</v>
      </c>
      <c r="B46" s="156">
        <v>140101</v>
      </c>
      <c r="C46" s="27" t="s">
        <v>51</v>
      </c>
      <c r="D46" s="112">
        <v>12750</v>
      </c>
      <c r="E46" s="118">
        <f t="shared" si="31"/>
        <v>13387.5</v>
      </c>
      <c r="F46" s="70">
        <f>E46*1.045</f>
        <v>13989.937499999998</v>
      </c>
      <c r="G46" s="70">
        <f t="shared" si="1"/>
        <v>14476.787324999998</v>
      </c>
      <c r="H46" s="70">
        <f t="shared" si="2"/>
        <v>16085.447932554</v>
      </c>
      <c r="I46" s="70">
        <f t="shared" si="3"/>
        <v>14867.660582774995</v>
      </c>
      <c r="J46" s="70">
        <f t="shared" si="3"/>
        <v>16519.755026732957</v>
      </c>
      <c r="K46" s="70">
        <f t="shared" si="4"/>
        <v>15224.484436761595</v>
      </c>
      <c r="L46" s="58">
        <f t="shared" si="4"/>
        <v>16916.22914737455</v>
      </c>
      <c r="M46" s="58">
        <f t="shared" si="5"/>
        <v>15635.545516554157</v>
      </c>
      <c r="N46" s="58">
        <f t="shared" si="5"/>
        <v>17372.96733435366</v>
      </c>
      <c r="O46" s="80">
        <f t="shared" si="6"/>
        <v>15979.527517918348</v>
      </c>
      <c r="P46" s="80">
        <f t="shared" si="6"/>
        <v>17755.172615709442</v>
      </c>
      <c r="Q46" s="101">
        <f t="shared" si="7"/>
        <v>16363.03617834839</v>
      </c>
      <c r="R46" s="80">
        <f t="shared" si="8"/>
        <v>18181.296758486467</v>
      </c>
      <c r="S46" s="101">
        <f t="shared" si="9"/>
        <v>16968.46851694728</v>
      </c>
      <c r="T46" s="80">
        <f t="shared" si="10"/>
        <v>18854.004738550466</v>
      </c>
      <c r="U46" s="101">
        <f t="shared" si="11"/>
        <v>17443.585635421805</v>
      </c>
      <c r="V46" s="114">
        <f t="shared" si="12"/>
        <v>19381.916871229878</v>
      </c>
      <c r="W46" s="80">
        <f t="shared" si="13"/>
        <v>17705.23941995313</v>
      </c>
      <c r="X46" s="80">
        <f t="shared" si="14"/>
        <v>19672.645624298326</v>
      </c>
      <c r="Y46" s="80">
        <f t="shared" si="15"/>
        <v>17988.523250672381</v>
      </c>
      <c r="Z46" s="80">
        <f t="shared" si="16"/>
        <v>19987.4079542871</v>
      </c>
      <c r="AA46" s="80">
        <f t="shared" si="17"/>
        <v>18330.305192435153</v>
      </c>
      <c r="AB46" s="80">
        <f t="shared" si="18"/>
        <v>20367.168705418553</v>
      </c>
      <c r="AC46" s="101">
        <f t="shared" si="19"/>
        <v>18678.580991091418</v>
      </c>
      <c r="AD46" s="80">
        <f t="shared" si="20"/>
        <v>20754.144910821502</v>
      </c>
      <c r="AE46" s="101">
        <f t="shared" si="21"/>
        <v>19070.831191904337</v>
      </c>
      <c r="AF46" s="80">
        <f t="shared" si="22"/>
        <v>21189.981953948751</v>
      </c>
      <c r="AG46" s="143">
        <f t="shared" si="23"/>
        <v>19318.751997399093</v>
      </c>
      <c r="AH46" s="152">
        <f t="shared" si="24"/>
        <v>21465.451719350083</v>
      </c>
      <c r="AI46" s="143">
        <f t="shared" si="30"/>
        <v>19705.127037347076</v>
      </c>
      <c r="AJ46" s="152">
        <f t="shared" si="25"/>
        <v>21894.760753737086</v>
      </c>
      <c r="AK46" s="143">
        <f t="shared" si="26"/>
        <v>20276.575721430141</v>
      </c>
      <c r="AL46" s="152">
        <f t="shared" si="27"/>
        <v>22529.708815595459</v>
      </c>
      <c r="AM46" s="143">
        <f t="shared" si="28"/>
        <v>21553.999991880239</v>
      </c>
      <c r="AN46" s="143">
        <f t="shared" si="29"/>
        <v>23949.080470977973</v>
      </c>
    </row>
    <row r="47" spans="1:40">
      <c r="A47" s="56">
        <v>140103</v>
      </c>
      <c r="B47" s="155">
        <v>140103</v>
      </c>
      <c r="C47" s="25" t="s">
        <v>52</v>
      </c>
      <c r="D47" s="54">
        <v>21250</v>
      </c>
      <c r="E47" s="55">
        <f t="shared" si="31"/>
        <v>22312.5</v>
      </c>
      <c r="F47" s="75">
        <f>E47*1.045</f>
        <v>23316.5625</v>
      </c>
      <c r="G47" s="75">
        <f t="shared" si="1"/>
        <v>24127.978874999997</v>
      </c>
      <c r="H47" s="75">
        <f t="shared" si="2"/>
        <v>26809.07988759</v>
      </c>
      <c r="I47" s="75">
        <f t="shared" si="3"/>
        <v>24779.434304624996</v>
      </c>
      <c r="J47" s="75">
        <f t="shared" si="3"/>
        <v>27532.925044554926</v>
      </c>
      <c r="K47" s="75">
        <f t="shared" si="4"/>
        <v>25374.140727935996</v>
      </c>
      <c r="L47" s="71">
        <f t="shared" si="4"/>
        <v>28193.715245624244</v>
      </c>
      <c r="M47" s="71">
        <f t="shared" si="5"/>
        <v>26059.242527590264</v>
      </c>
      <c r="N47" s="71">
        <f t="shared" si="5"/>
        <v>28954.945557256095</v>
      </c>
      <c r="O47" s="79">
        <f t="shared" si="6"/>
        <v>26632.545863197251</v>
      </c>
      <c r="P47" s="79">
        <f t="shared" si="6"/>
        <v>29591.95435951573</v>
      </c>
      <c r="Q47" s="100">
        <f t="shared" si="7"/>
        <v>27271.726963913985</v>
      </c>
      <c r="R47" s="79">
        <f t="shared" si="8"/>
        <v>30302.16126414411</v>
      </c>
      <c r="S47" s="100">
        <f t="shared" si="9"/>
        <v>28280.780861578802</v>
      </c>
      <c r="T47" s="79">
        <f t="shared" si="10"/>
        <v>31423.341230917438</v>
      </c>
      <c r="U47" s="100">
        <f t="shared" si="11"/>
        <v>29072.642725703008</v>
      </c>
      <c r="V47" s="119">
        <f t="shared" si="12"/>
        <v>32303.194785383126</v>
      </c>
      <c r="W47" s="79">
        <f t="shared" si="13"/>
        <v>29508.732366588549</v>
      </c>
      <c r="X47" s="79">
        <f t="shared" si="14"/>
        <v>32787.742707163867</v>
      </c>
      <c r="Y47" s="79">
        <f t="shared" si="15"/>
        <v>29980.872084453968</v>
      </c>
      <c r="Z47" s="79">
        <f t="shared" si="16"/>
        <v>33312.34659047849</v>
      </c>
      <c r="AA47" s="79">
        <f t="shared" si="17"/>
        <v>30550.508654058591</v>
      </c>
      <c r="AB47" s="79">
        <f t="shared" si="18"/>
        <v>33945.281175697579</v>
      </c>
      <c r="AC47" s="100">
        <f t="shared" si="19"/>
        <v>31130.968318485702</v>
      </c>
      <c r="AD47" s="79">
        <f t="shared" si="20"/>
        <v>34590.241518035829</v>
      </c>
      <c r="AE47" s="100">
        <f t="shared" si="21"/>
        <v>31784.718653173899</v>
      </c>
      <c r="AF47" s="79">
        <f t="shared" si="22"/>
        <v>35316.636589914582</v>
      </c>
      <c r="AG47" s="142">
        <f t="shared" si="23"/>
        <v>32197.919995665157</v>
      </c>
      <c r="AH47" s="174">
        <f t="shared" si="24"/>
        <v>35775.752865583469</v>
      </c>
      <c r="AI47" s="142">
        <f t="shared" si="30"/>
        <v>32841.87839557846</v>
      </c>
      <c r="AJ47" s="174">
        <f t="shared" si="25"/>
        <v>36491.267922895138</v>
      </c>
      <c r="AK47" s="142">
        <f t="shared" si="26"/>
        <v>33794.29286905023</v>
      </c>
      <c r="AL47" s="174">
        <f t="shared" si="27"/>
        <v>37549.514692659097</v>
      </c>
      <c r="AM47" s="142">
        <f t="shared" si="28"/>
        <v>35923.333319800397</v>
      </c>
      <c r="AN47" s="142">
        <f t="shared" si="29"/>
        <v>39915.134118296621</v>
      </c>
    </row>
    <row r="48" spans="1:40" ht="15" customHeight="1">
      <c r="B48" s="180" t="s">
        <v>53</v>
      </c>
      <c r="C48" s="181"/>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82"/>
      <c r="AC48" s="182"/>
      <c r="AD48" s="182"/>
      <c r="AE48" s="182"/>
      <c r="AF48" s="182"/>
      <c r="AG48" s="182"/>
      <c r="AH48" s="182"/>
      <c r="AI48" s="182"/>
      <c r="AJ48" s="182"/>
      <c r="AK48" s="180"/>
      <c r="AL48" s="183"/>
      <c r="AM48" s="183"/>
      <c r="AN48" s="181"/>
    </row>
    <row r="49" spans="1:40" ht="24.75">
      <c r="B49" s="156" t="s">
        <v>54</v>
      </c>
      <c r="C49" s="27" t="s">
        <v>55</v>
      </c>
      <c r="D49" s="112">
        <v>343.4</v>
      </c>
      <c r="E49" s="118">
        <f t="shared" si="31"/>
        <v>360.57</v>
      </c>
      <c r="F49" s="70">
        <f>E49*1.045</f>
        <v>376.79564999999997</v>
      </c>
      <c r="G49" s="70">
        <f t="shared" si="1"/>
        <v>389.90813861999993</v>
      </c>
      <c r="H49" s="70">
        <f t="shared" si="2"/>
        <v>433.23473098345437</v>
      </c>
      <c r="I49" s="70">
        <f t="shared" si="3"/>
        <v>400.4356583627399</v>
      </c>
      <c r="J49" s="70">
        <f t="shared" si="3"/>
        <v>444.93206872000758</v>
      </c>
      <c r="K49" s="70">
        <f t="shared" si="4"/>
        <v>410.04611416344568</v>
      </c>
      <c r="L49" s="58">
        <f t="shared" si="4"/>
        <v>455.61043836928775</v>
      </c>
      <c r="M49" s="58">
        <f t="shared" si="5"/>
        <v>421.11735924585867</v>
      </c>
      <c r="N49" s="58">
        <f t="shared" si="5"/>
        <v>467.91192020525847</v>
      </c>
      <c r="O49" s="80">
        <f t="shared" si="6"/>
        <v>430.38194114926756</v>
      </c>
      <c r="P49" s="80">
        <f t="shared" si="6"/>
        <v>478.20598244977418</v>
      </c>
      <c r="Q49" s="101">
        <f t="shared" si="7"/>
        <v>440.71110773685001</v>
      </c>
      <c r="R49" s="80">
        <f t="shared" si="8"/>
        <v>489.68292602856877</v>
      </c>
      <c r="S49" s="101">
        <f t="shared" si="9"/>
        <v>457.01741872311345</v>
      </c>
      <c r="T49" s="80">
        <f t="shared" si="10"/>
        <v>507.80119429162579</v>
      </c>
      <c r="U49" s="101">
        <f t="shared" si="11"/>
        <v>469.81390644736064</v>
      </c>
      <c r="V49" s="114">
        <f t="shared" si="12"/>
        <v>522.01962773179127</v>
      </c>
      <c r="W49" s="80">
        <f t="shared" si="13"/>
        <v>476.86111504407103</v>
      </c>
      <c r="X49" s="80">
        <f t="shared" si="14"/>
        <v>529.8499221477681</v>
      </c>
      <c r="Y49" s="80">
        <f t="shared" si="15"/>
        <v>484.49089288477614</v>
      </c>
      <c r="Z49" s="80">
        <f t="shared" si="16"/>
        <v>538.32752090213239</v>
      </c>
      <c r="AA49" s="80">
        <f t="shared" si="17"/>
        <v>493.69621984958684</v>
      </c>
      <c r="AB49" s="80">
        <f t="shared" si="18"/>
        <v>548.55574379927282</v>
      </c>
      <c r="AC49" s="101">
        <f t="shared" si="19"/>
        <v>503.07644802672894</v>
      </c>
      <c r="AD49" s="80">
        <f t="shared" si="20"/>
        <v>558.97830293145898</v>
      </c>
      <c r="AE49" s="101">
        <f t="shared" si="21"/>
        <v>513.64105343529025</v>
      </c>
      <c r="AF49" s="80">
        <f t="shared" si="22"/>
        <v>570.71684729301955</v>
      </c>
      <c r="AG49" s="143">
        <f t="shared" si="23"/>
        <v>520.31838712994897</v>
      </c>
      <c r="AH49" s="152">
        <f t="shared" si="24"/>
        <v>578.13616630782872</v>
      </c>
      <c r="AI49" s="143">
        <f t="shared" si="30"/>
        <v>530.72475487254792</v>
      </c>
      <c r="AJ49" s="152">
        <f t="shared" si="25"/>
        <v>589.69888963398535</v>
      </c>
      <c r="AK49" s="143">
        <f t="shared" si="26"/>
        <v>546.11577276385174</v>
      </c>
      <c r="AL49" s="152">
        <f t="shared" si="27"/>
        <v>606.80015743337083</v>
      </c>
      <c r="AM49" s="143">
        <f t="shared" si="28"/>
        <v>580.52106644797436</v>
      </c>
      <c r="AN49" s="143">
        <f t="shared" si="29"/>
        <v>645.02856735167313</v>
      </c>
    </row>
    <row r="50" spans="1:40">
      <c r="B50" s="19">
        <v>150312</v>
      </c>
      <c r="C50" s="18" t="s">
        <v>56</v>
      </c>
      <c r="D50" s="16">
        <v>34000</v>
      </c>
      <c r="E50" s="17">
        <f t="shared" si="31"/>
        <v>35700</v>
      </c>
      <c r="F50" s="57">
        <f>E50*1.045</f>
        <v>37306.5</v>
      </c>
      <c r="G50" s="57">
        <f t="shared" si="1"/>
        <v>38604.766199999998</v>
      </c>
      <c r="H50" s="57">
        <f t="shared" si="2"/>
        <v>42894.527820144001</v>
      </c>
      <c r="I50" s="57">
        <f t="shared" si="3"/>
        <v>39647.094887399995</v>
      </c>
      <c r="J50" s="57">
        <f t="shared" si="3"/>
        <v>44052.680071287883</v>
      </c>
      <c r="K50" s="57">
        <f t="shared" si="4"/>
        <v>40598.625164697594</v>
      </c>
      <c r="L50" s="9">
        <f t="shared" si="4"/>
        <v>45109.94439299879</v>
      </c>
      <c r="M50" s="9">
        <f t="shared" si="5"/>
        <v>41694.788044144429</v>
      </c>
      <c r="N50" s="9">
        <f t="shared" si="5"/>
        <v>46327.912891609754</v>
      </c>
      <c r="O50" s="78">
        <f t="shared" si="6"/>
        <v>42612.07338111561</v>
      </c>
      <c r="P50" s="78">
        <f t="shared" si="6"/>
        <v>47347.126975225168</v>
      </c>
      <c r="Q50" s="1">
        <f t="shared" si="7"/>
        <v>43634.763142262382</v>
      </c>
      <c r="R50" s="78">
        <f t="shared" si="8"/>
        <v>48483.45802263057</v>
      </c>
      <c r="S50" s="1">
        <f t="shared" si="9"/>
        <v>45249.249378526089</v>
      </c>
      <c r="T50" s="78">
        <f t="shared" si="10"/>
        <v>50277.345969467897</v>
      </c>
      <c r="U50" s="1">
        <f t="shared" si="11"/>
        <v>46516.22836112482</v>
      </c>
      <c r="V50" s="99">
        <f t="shared" si="12"/>
        <v>51685.111656613</v>
      </c>
      <c r="W50" s="78">
        <f t="shared" si="13"/>
        <v>47213.97178654169</v>
      </c>
      <c r="X50" s="78">
        <f t="shared" si="14"/>
        <v>52460.388331462193</v>
      </c>
      <c r="Y50" s="78">
        <f t="shared" si="15"/>
        <v>47969.395335126355</v>
      </c>
      <c r="Z50" s="78">
        <f t="shared" si="16"/>
        <v>53299.754544765587</v>
      </c>
      <c r="AA50" s="78">
        <f t="shared" si="17"/>
        <v>48880.813846493751</v>
      </c>
      <c r="AB50" s="78">
        <f t="shared" si="18"/>
        <v>54312.449881116125</v>
      </c>
      <c r="AC50" s="1">
        <f t="shared" si="19"/>
        <v>49809.549309577131</v>
      </c>
      <c r="AD50" s="78">
        <f t="shared" si="20"/>
        <v>55344.386428857324</v>
      </c>
      <c r="AE50" s="1">
        <f t="shared" si="21"/>
        <v>50855.549845078247</v>
      </c>
      <c r="AF50" s="78">
        <f t="shared" si="22"/>
        <v>56506.618543863326</v>
      </c>
      <c r="AG50" s="141">
        <f t="shared" si="23"/>
        <v>51516.671993064258</v>
      </c>
      <c r="AH50" s="140">
        <f t="shared" si="24"/>
        <v>57241.204584933541</v>
      </c>
      <c r="AI50" s="141">
        <f t="shared" si="30"/>
        <v>52547.005432925544</v>
      </c>
      <c r="AJ50" s="140">
        <f t="shared" si="25"/>
        <v>58386.02867663221</v>
      </c>
      <c r="AK50" s="141">
        <f t="shared" si="26"/>
        <v>54070.868590480379</v>
      </c>
      <c r="AL50" s="140">
        <f t="shared" si="27"/>
        <v>60079.223508254538</v>
      </c>
      <c r="AM50" s="141">
        <f t="shared" si="28"/>
        <v>57477.333311680639</v>
      </c>
      <c r="AN50" s="141">
        <f t="shared" si="29"/>
        <v>63864.214589274568</v>
      </c>
    </row>
    <row r="51" spans="1:40">
      <c r="B51" s="155"/>
      <c r="C51" s="25" t="s">
        <v>57</v>
      </c>
      <c r="D51" s="54">
        <v>34000</v>
      </c>
      <c r="E51" s="55">
        <f t="shared" si="31"/>
        <v>35700</v>
      </c>
      <c r="F51" s="75">
        <f>E51*1.045</f>
        <v>37306.5</v>
      </c>
      <c r="G51" s="75">
        <f t="shared" si="1"/>
        <v>38604.766199999998</v>
      </c>
      <c r="H51" s="75">
        <f t="shared" si="2"/>
        <v>42894.527820144001</v>
      </c>
      <c r="I51" s="75">
        <f t="shared" si="3"/>
        <v>39647.094887399995</v>
      </c>
      <c r="J51" s="75">
        <f t="shared" si="3"/>
        <v>44052.680071287883</v>
      </c>
      <c r="K51" s="75">
        <f t="shared" si="4"/>
        <v>40598.625164697594</v>
      </c>
      <c r="L51" s="71">
        <f t="shared" si="4"/>
        <v>45109.94439299879</v>
      </c>
      <c r="M51" s="71">
        <f t="shared" si="5"/>
        <v>41694.788044144429</v>
      </c>
      <c r="N51" s="71">
        <f t="shared" si="5"/>
        <v>46327.912891609754</v>
      </c>
      <c r="O51" s="79">
        <f t="shared" si="6"/>
        <v>42612.07338111561</v>
      </c>
      <c r="P51" s="79">
        <f t="shared" si="6"/>
        <v>47347.126975225168</v>
      </c>
      <c r="Q51" s="100">
        <f t="shared" si="7"/>
        <v>43634.763142262382</v>
      </c>
      <c r="R51" s="79">
        <f t="shared" si="8"/>
        <v>48483.45802263057</v>
      </c>
      <c r="S51" s="100">
        <f t="shared" si="9"/>
        <v>45249.249378526089</v>
      </c>
      <c r="T51" s="79">
        <f t="shared" si="10"/>
        <v>50277.345969467897</v>
      </c>
      <c r="U51" s="100">
        <f t="shared" si="11"/>
        <v>46516.22836112482</v>
      </c>
      <c r="V51" s="119">
        <f t="shared" si="12"/>
        <v>51685.111656613</v>
      </c>
      <c r="W51" s="79">
        <f t="shared" si="13"/>
        <v>47213.97178654169</v>
      </c>
      <c r="X51" s="79">
        <f t="shared" si="14"/>
        <v>52460.388331462193</v>
      </c>
      <c r="Y51" s="79">
        <f t="shared" si="15"/>
        <v>47969.395335126355</v>
      </c>
      <c r="Z51" s="79">
        <f t="shared" si="16"/>
        <v>53299.754544765587</v>
      </c>
      <c r="AA51" s="79">
        <f t="shared" si="17"/>
        <v>48880.813846493751</v>
      </c>
      <c r="AB51" s="79">
        <f t="shared" si="18"/>
        <v>54312.449881116125</v>
      </c>
      <c r="AC51" s="100">
        <f t="shared" si="19"/>
        <v>49809.549309577131</v>
      </c>
      <c r="AD51" s="79">
        <f t="shared" si="20"/>
        <v>55344.386428857324</v>
      </c>
      <c r="AE51" s="100">
        <f t="shared" si="21"/>
        <v>50855.549845078247</v>
      </c>
      <c r="AF51" s="79">
        <f t="shared" si="22"/>
        <v>56506.618543863326</v>
      </c>
      <c r="AG51" s="142">
        <f t="shared" si="23"/>
        <v>51516.671993064258</v>
      </c>
      <c r="AH51" s="174">
        <f t="shared" si="24"/>
        <v>57241.204584933541</v>
      </c>
      <c r="AI51" s="142">
        <f t="shared" si="30"/>
        <v>52547.005432925544</v>
      </c>
      <c r="AJ51" s="174">
        <f t="shared" si="25"/>
        <v>58386.02867663221</v>
      </c>
      <c r="AK51" s="142">
        <f t="shared" si="26"/>
        <v>54070.868590480379</v>
      </c>
      <c r="AL51" s="174">
        <f t="shared" si="27"/>
        <v>60079.223508254538</v>
      </c>
      <c r="AM51" s="142">
        <f t="shared" si="28"/>
        <v>57477.333311680639</v>
      </c>
      <c r="AN51" s="142">
        <f t="shared" si="29"/>
        <v>63864.214589274568</v>
      </c>
    </row>
    <row r="52" spans="1:40" ht="15" customHeight="1">
      <c r="B52" s="180" t="s">
        <v>58</v>
      </c>
      <c r="C52" s="181"/>
      <c r="D52" s="182"/>
      <c r="E52" s="182"/>
      <c r="F52" s="182"/>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c r="AF52" s="182"/>
      <c r="AG52" s="182"/>
      <c r="AH52" s="182"/>
      <c r="AI52" s="182"/>
      <c r="AJ52" s="182"/>
      <c r="AK52" s="180"/>
      <c r="AL52" s="183"/>
      <c r="AM52" s="183"/>
      <c r="AN52" s="181"/>
    </row>
    <row r="53" spans="1:40" ht="24.75">
      <c r="B53" s="156">
        <v>133006</v>
      </c>
      <c r="C53" s="27" t="s">
        <v>59</v>
      </c>
      <c r="D53" s="112">
        <v>28900</v>
      </c>
      <c r="E53" s="118">
        <f t="shared" si="31"/>
        <v>30345</v>
      </c>
      <c r="F53" s="70">
        <f>E53*1.045</f>
        <v>31710.524999999998</v>
      </c>
      <c r="G53" s="70">
        <f t="shared" si="1"/>
        <v>32814.051269999996</v>
      </c>
      <c r="H53" s="70">
        <f t="shared" si="2"/>
        <v>36460.348647122402</v>
      </c>
      <c r="I53" s="70">
        <f t="shared" si="3"/>
        <v>33700.030654289993</v>
      </c>
      <c r="J53" s="70">
        <f t="shared" si="3"/>
        <v>37444.778060594705</v>
      </c>
      <c r="K53" s="70">
        <f t="shared" si="4"/>
        <v>34508.831389992956</v>
      </c>
      <c r="L53" s="58">
        <f t="shared" si="4"/>
        <v>38343.45273404898</v>
      </c>
      <c r="M53" s="58">
        <f t="shared" si="5"/>
        <v>35440.569837522766</v>
      </c>
      <c r="N53" s="58">
        <f t="shared" si="5"/>
        <v>39378.725957868301</v>
      </c>
      <c r="O53" s="80">
        <f t="shared" si="6"/>
        <v>36220.262373948266</v>
      </c>
      <c r="P53" s="80">
        <f t="shared" si="6"/>
        <v>40245.057928941402</v>
      </c>
      <c r="Q53" s="101">
        <f t="shared" si="7"/>
        <v>37089.548670923024</v>
      </c>
      <c r="R53" s="80">
        <f t="shared" si="8"/>
        <v>41210.939319235993</v>
      </c>
      <c r="S53" s="101">
        <f t="shared" si="9"/>
        <v>38461.861971747174</v>
      </c>
      <c r="T53" s="80">
        <f t="shared" si="10"/>
        <v>42735.744074047725</v>
      </c>
      <c r="U53" s="101">
        <f t="shared" si="11"/>
        <v>39538.794106956098</v>
      </c>
      <c r="V53" s="114">
        <f t="shared" si="12"/>
        <v>43932.344908121064</v>
      </c>
      <c r="W53" s="80">
        <f t="shared" si="13"/>
        <v>40131.876018560433</v>
      </c>
      <c r="X53" s="80">
        <f t="shared" si="14"/>
        <v>44591.330081742875</v>
      </c>
      <c r="Y53" s="80">
        <f t="shared" si="15"/>
        <v>40773.9860348574</v>
      </c>
      <c r="Z53" s="80">
        <f t="shared" si="16"/>
        <v>45304.791363050761</v>
      </c>
      <c r="AA53" s="80">
        <f t="shared" si="17"/>
        <v>41548.69176951969</v>
      </c>
      <c r="AB53" s="80">
        <f t="shared" si="18"/>
        <v>46165.582398948718</v>
      </c>
      <c r="AC53" s="101">
        <f t="shared" si="19"/>
        <v>42338.116913140562</v>
      </c>
      <c r="AD53" s="80">
        <f t="shared" si="20"/>
        <v>47042.728464528736</v>
      </c>
      <c r="AE53" s="101">
        <f t="shared" si="21"/>
        <v>43227.217368316509</v>
      </c>
      <c r="AF53" s="80">
        <f t="shared" si="22"/>
        <v>48030.625762283838</v>
      </c>
      <c r="AG53" s="143">
        <f t="shared" si="23"/>
        <v>43789.171194104616</v>
      </c>
      <c r="AH53" s="152">
        <f t="shared" si="24"/>
        <v>48655.023897193525</v>
      </c>
      <c r="AI53" s="143">
        <f t="shared" si="30"/>
        <v>44664.95461798671</v>
      </c>
      <c r="AJ53" s="152">
        <f t="shared" si="25"/>
        <v>49628.124375137399</v>
      </c>
      <c r="AK53" s="143">
        <f t="shared" si="26"/>
        <v>45960.238301908321</v>
      </c>
      <c r="AL53" s="152">
        <f t="shared" si="27"/>
        <v>51067.339982016376</v>
      </c>
      <c r="AM53" s="143">
        <f t="shared" si="28"/>
        <v>48855.73331492854</v>
      </c>
      <c r="AN53" s="143">
        <f t="shared" si="29"/>
        <v>54284.582400883402</v>
      </c>
    </row>
    <row r="54" spans="1:40">
      <c r="A54" s="56">
        <v>170101</v>
      </c>
      <c r="B54" s="19">
        <v>170101</v>
      </c>
      <c r="C54" s="18" t="s">
        <v>60</v>
      </c>
      <c r="D54" s="16">
        <v>8500</v>
      </c>
      <c r="E54" s="17">
        <f t="shared" si="31"/>
        <v>8925</v>
      </c>
      <c r="F54" s="57">
        <f>E54*1.045</f>
        <v>9326.625</v>
      </c>
      <c r="G54" s="57">
        <f t="shared" si="1"/>
        <v>9651.1915499999996</v>
      </c>
      <c r="H54" s="57">
        <f t="shared" si="2"/>
        <v>10723.631955036</v>
      </c>
      <c r="I54" s="57">
        <f t="shared" si="3"/>
        <v>9911.7737218499988</v>
      </c>
      <c r="J54" s="57">
        <f t="shared" si="3"/>
        <v>11013.170017821971</v>
      </c>
      <c r="K54" s="57">
        <f t="shared" si="4"/>
        <v>10149.656291174399</v>
      </c>
      <c r="L54" s="9">
        <f t="shared" si="4"/>
        <v>11277.486098249698</v>
      </c>
      <c r="M54" s="9">
        <f t="shared" si="5"/>
        <v>10423.697011036107</v>
      </c>
      <c r="N54" s="9">
        <f t="shared" si="5"/>
        <v>11581.978222902439</v>
      </c>
      <c r="O54" s="78">
        <f t="shared" si="6"/>
        <v>10653.018345278902</v>
      </c>
      <c r="P54" s="78">
        <f t="shared" si="6"/>
        <v>11836.781743806292</v>
      </c>
      <c r="Q54" s="1">
        <f t="shared" si="7"/>
        <v>10908.690785565595</v>
      </c>
      <c r="R54" s="78">
        <f t="shared" si="8"/>
        <v>12120.864505657642</v>
      </c>
      <c r="S54" s="1">
        <f t="shared" si="9"/>
        <v>11312.312344631522</v>
      </c>
      <c r="T54" s="78">
        <f t="shared" si="10"/>
        <v>12569.336492366974</v>
      </c>
      <c r="U54" s="1">
        <f t="shared" si="11"/>
        <v>11629.057090281205</v>
      </c>
      <c r="V54" s="99">
        <f t="shared" si="12"/>
        <v>12921.27791415325</v>
      </c>
      <c r="W54" s="78">
        <f t="shared" si="13"/>
        <v>11803.492946635422</v>
      </c>
      <c r="X54" s="78">
        <f t="shared" si="14"/>
        <v>13115.097082865548</v>
      </c>
      <c r="Y54" s="78">
        <f t="shared" si="15"/>
        <v>11992.348833781589</v>
      </c>
      <c r="Z54" s="78">
        <f t="shared" si="16"/>
        <v>13324.938636191397</v>
      </c>
      <c r="AA54" s="78">
        <f t="shared" si="17"/>
        <v>12220.203461623438</v>
      </c>
      <c r="AB54" s="78">
        <f t="shared" si="18"/>
        <v>13578.112470279031</v>
      </c>
      <c r="AC54" s="1">
        <f t="shared" si="19"/>
        <v>12452.387327394283</v>
      </c>
      <c r="AD54" s="78">
        <f t="shared" si="20"/>
        <v>13836.096607214331</v>
      </c>
      <c r="AE54" s="1">
        <f t="shared" si="21"/>
        <v>12713.887461269562</v>
      </c>
      <c r="AF54" s="78">
        <f t="shared" si="22"/>
        <v>14126.654635965831</v>
      </c>
      <c r="AG54" s="141">
        <f t="shared" si="23"/>
        <v>12879.167998266064</v>
      </c>
      <c r="AH54" s="140">
        <f t="shared" si="24"/>
        <v>14310.301146233385</v>
      </c>
      <c r="AI54" s="141">
        <f t="shared" si="30"/>
        <v>13136.751358231386</v>
      </c>
      <c r="AJ54" s="140">
        <f t="shared" si="25"/>
        <v>14596.507169158052</v>
      </c>
      <c r="AK54" s="141">
        <f t="shared" si="26"/>
        <v>13517.717147620095</v>
      </c>
      <c r="AL54" s="140">
        <f t="shared" si="27"/>
        <v>15019.805877063634</v>
      </c>
      <c r="AM54" s="141">
        <f t="shared" si="28"/>
        <v>14369.33332792016</v>
      </c>
      <c r="AN54" s="141">
        <f t="shared" si="29"/>
        <v>15966.053647318642</v>
      </c>
    </row>
    <row r="55" spans="1:40">
      <c r="A55" s="56">
        <v>170111</v>
      </c>
      <c r="B55" s="19">
        <v>170111</v>
      </c>
      <c r="C55" s="18" t="s">
        <v>61</v>
      </c>
      <c r="D55" s="16">
        <v>25500</v>
      </c>
      <c r="E55" s="17">
        <f t="shared" si="31"/>
        <v>26775</v>
      </c>
      <c r="F55" s="57">
        <f>E55*1.045</f>
        <v>27979.874999999996</v>
      </c>
      <c r="G55" s="57">
        <f t="shared" si="1"/>
        <v>28953.574649999995</v>
      </c>
      <c r="H55" s="57">
        <f t="shared" si="2"/>
        <v>32170.895865107999</v>
      </c>
      <c r="I55" s="57">
        <f t="shared" si="3"/>
        <v>29735.321165549991</v>
      </c>
      <c r="J55" s="57">
        <f t="shared" si="3"/>
        <v>33039.510053465914</v>
      </c>
      <c r="K55" s="57">
        <f t="shared" si="4"/>
        <v>30448.96887352319</v>
      </c>
      <c r="L55" s="9">
        <f t="shared" si="4"/>
        <v>33832.4582947491</v>
      </c>
      <c r="M55" s="9">
        <f t="shared" si="5"/>
        <v>31271.091033108314</v>
      </c>
      <c r="N55" s="9">
        <f t="shared" si="5"/>
        <v>34745.934668707319</v>
      </c>
      <c r="O55" s="78">
        <f t="shared" si="6"/>
        <v>31959.055035836696</v>
      </c>
      <c r="P55" s="78">
        <f t="shared" si="6"/>
        <v>35510.345231418883</v>
      </c>
      <c r="Q55" s="1">
        <f t="shared" si="7"/>
        <v>32726.072356696779</v>
      </c>
      <c r="R55" s="78">
        <f t="shared" si="8"/>
        <v>36362.593516972935</v>
      </c>
      <c r="S55" s="1">
        <f t="shared" si="9"/>
        <v>33936.937033894559</v>
      </c>
      <c r="T55" s="78">
        <f t="shared" si="10"/>
        <v>37708.009477100932</v>
      </c>
      <c r="U55" s="1">
        <f t="shared" si="11"/>
        <v>34887.17127084361</v>
      </c>
      <c r="V55" s="99">
        <f t="shared" si="12"/>
        <v>38763.833742459756</v>
      </c>
      <c r="W55" s="78">
        <f t="shared" si="13"/>
        <v>35410.47883990626</v>
      </c>
      <c r="X55" s="78">
        <f t="shared" si="14"/>
        <v>39345.291248596652</v>
      </c>
      <c r="Y55" s="78">
        <f t="shared" si="15"/>
        <v>35977.046501344761</v>
      </c>
      <c r="Z55" s="78">
        <f t="shared" si="16"/>
        <v>39974.815908574201</v>
      </c>
      <c r="AA55" s="78">
        <f t="shared" si="17"/>
        <v>36660.610384870306</v>
      </c>
      <c r="AB55" s="78">
        <f t="shared" si="18"/>
        <v>40734.337410837106</v>
      </c>
      <c r="AC55" s="1">
        <f t="shared" si="19"/>
        <v>37357.161982182835</v>
      </c>
      <c r="AD55" s="78">
        <f t="shared" si="20"/>
        <v>41508.289821643004</v>
      </c>
      <c r="AE55" s="1">
        <f t="shared" si="21"/>
        <v>38141.662383808674</v>
      </c>
      <c r="AF55" s="78">
        <f t="shared" si="22"/>
        <v>42379.963907897501</v>
      </c>
      <c r="AG55" s="141">
        <f t="shared" si="23"/>
        <v>38637.503994798186</v>
      </c>
      <c r="AH55" s="140">
        <f t="shared" si="24"/>
        <v>42930.903438700167</v>
      </c>
      <c r="AI55" s="141">
        <f t="shared" si="30"/>
        <v>39410.254074694152</v>
      </c>
      <c r="AJ55" s="140">
        <f t="shared" si="25"/>
        <v>43789.521507474172</v>
      </c>
      <c r="AK55" s="141">
        <f t="shared" si="26"/>
        <v>40553.151442860282</v>
      </c>
      <c r="AL55" s="140">
        <f t="shared" si="27"/>
        <v>45059.417631190918</v>
      </c>
      <c r="AM55" s="141">
        <f t="shared" si="28"/>
        <v>43107.999983760477</v>
      </c>
      <c r="AN55" s="141">
        <f t="shared" si="29"/>
        <v>47898.160941955946</v>
      </c>
    </row>
    <row r="56" spans="1:40">
      <c r="A56" s="56">
        <v>170118</v>
      </c>
      <c r="B56" s="19">
        <v>170118</v>
      </c>
      <c r="C56" s="18" t="s">
        <v>62</v>
      </c>
      <c r="D56" s="16">
        <v>42500</v>
      </c>
      <c r="E56" s="17">
        <f t="shared" si="31"/>
        <v>44625</v>
      </c>
      <c r="F56" s="57">
        <f>E56*1.045</f>
        <v>46633.125</v>
      </c>
      <c r="G56" s="57">
        <f t="shared" si="1"/>
        <v>48255.957749999994</v>
      </c>
      <c r="H56" s="57">
        <f t="shared" si="2"/>
        <v>53618.15977518</v>
      </c>
      <c r="I56" s="57">
        <f t="shared" si="3"/>
        <v>49558.868609249992</v>
      </c>
      <c r="J56" s="57">
        <f t="shared" si="3"/>
        <v>55065.850089109852</v>
      </c>
      <c r="K56" s="57">
        <f t="shared" si="4"/>
        <v>50748.281455871991</v>
      </c>
      <c r="L56" s="9">
        <f t="shared" si="4"/>
        <v>56387.430491248488</v>
      </c>
      <c r="M56" s="9">
        <f t="shared" si="5"/>
        <v>52118.485055180528</v>
      </c>
      <c r="N56" s="9">
        <f t="shared" si="5"/>
        <v>57909.891114512189</v>
      </c>
      <c r="O56" s="78">
        <f t="shared" si="6"/>
        <v>53265.091726394501</v>
      </c>
      <c r="P56" s="78">
        <f t="shared" si="6"/>
        <v>59183.90871903146</v>
      </c>
      <c r="Q56" s="1">
        <f t="shared" si="7"/>
        <v>54543.45392782797</v>
      </c>
      <c r="R56" s="78">
        <f t="shared" si="8"/>
        <v>60604.322528288219</v>
      </c>
      <c r="S56" s="1">
        <f t="shared" si="9"/>
        <v>56561.561723157603</v>
      </c>
      <c r="T56" s="78">
        <f t="shared" si="10"/>
        <v>62846.682461834876</v>
      </c>
      <c r="U56" s="1">
        <f t="shared" si="11"/>
        <v>58145.285451406016</v>
      </c>
      <c r="V56" s="99">
        <f t="shared" si="12"/>
        <v>64606.389570766252</v>
      </c>
      <c r="W56" s="78">
        <f t="shared" si="13"/>
        <v>59017.464733177098</v>
      </c>
      <c r="X56" s="78">
        <f t="shared" si="14"/>
        <v>65575.485414327733</v>
      </c>
      <c r="Y56" s="78">
        <f t="shared" si="15"/>
        <v>59961.744168907935</v>
      </c>
      <c r="Z56" s="78">
        <f t="shared" si="16"/>
        <v>66624.69318095698</v>
      </c>
      <c r="AA56" s="78">
        <f t="shared" si="17"/>
        <v>61101.017308117182</v>
      </c>
      <c r="AB56" s="78">
        <f t="shared" si="18"/>
        <v>67890.562351395158</v>
      </c>
      <c r="AC56" s="1">
        <f t="shared" si="19"/>
        <v>62261.936636971404</v>
      </c>
      <c r="AD56" s="78">
        <f t="shared" si="20"/>
        <v>69180.483036071659</v>
      </c>
      <c r="AE56" s="1">
        <f t="shared" si="21"/>
        <v>63569.437306347798</v>
      </c>
      <c r="AF56" s="78">
        <f t="shared" si="22"/>
        <v>70633.273179829164</v>
      </c>
      <c r="AG56" s="141">
        <f t="shared" si="23"/>
        <v>64395.839991330315</v>
      </c>
      <c r="AH56" s="140">
        <f t="shared" si="24"/>
        <v>71551.505731166937</v>
      </c>
      <c r="AI56" s="141">
        <f t="shared" si="30"/>
        <v>65683.75679115692</v>
      </c>
      <c r="AJ56" s="140">
        <f t="shared" si="25"/>
        <v>72982.535845790277</v>
      </c>
      <c r="AK56" s="141">
        <f t="shared" si="26"/>
        <v>67588.585738100461</v>
      </c>
      <c r="AL56" s="140">
        <f t="shared" si="27"/>
        <v>75099.029385318194</v>
      </c>
      <c r="AM56" s="141">
        <f t="shared" si="28"/>
        <v>71846.666639600793</v>
      </c>
      <c r="AN56" s="141">
        <f t="shared" si="29"/>
        <v>79830.268236593241</v>
      </c>
    </row>
    <row r="57" spans="1:40">
      <c r="A57" s="56">
        <v>170120</v>
      </c>
      <c r="B57" s="19">
        <v>170120</v>
      </c>
      <c r="C57" s="18" t="s">
        <v>63</v>
      </c>
      <c r="D57" s="16">
        <v>38250</v>
      </c>
      <c r="E57" s="17">
        <f t="shared" si="31"/>
        <v>40162.5</v>
      </c>
      <c r="F57" s="57">
        <f>E57*1.045</f>
        <v>41969.8125</v>
      </c>
      <c r="G57" s="57">
        <f t="shared" si="1"/>
        <v>43430.361975</v>
      </c>
      <c r="H57" s="57">
        <f t="shared" si="2"/>
        <v>48256.343797662004</v>
      </c>
      <c r="I57" s="57">
        <f t="shared" si="3"/>
        <v>44602.981748324994</v>
      </c>
      <c r="J57" s="57">
        <f t="shared" si="3"/>
        <v>49559.265080198871</v>
      </c>
      <c r="K57" s="57">
        <f t="shared" si="4"/>
        <v>45673.453310284793</v>
      </c>
      <c r="L57" s="9">
        <f t="shared" si="4"/>
        <v>50748.687442123643</v>
      </c>
      <c r="M57" s="9">
        <f t="shared" si="5"/>
        <v>46906.636549662479</v>
      </c>
      <c r="N57" s="9">
        <f t="shared" si="5"/>
        <v>52118.902003060975</v>
      </c>
      <c r="O57" s="78">
        <f t="shared" si="6"/>
        <v>47938.582553755055</v>
      </c>
      <c r="P57" s="78">
        <f t="shared" si="6"/>
        <v>53265.517847128314</v>
      </c>
      <c r="Q57" s="1">
        <f t="shared" si="7"/>
        <v>49089.108535045176</v>
      </c>
      <c r="R57" s="78">
        <f t="shared" si="8"/>
        <v>54543.890275459395</v>
      </c>
      <c r="S57" s="1">
        <f t="shared" si="9"/>
        <v>50905.405550841846</v>
      </c>
      <c r="T57" s="78">
        <f t="shared" si="10"/>
        <v>56562.01421565139</v>
      </c>
      <c r="U57" s="1">
        <f t="shared" si="11"/>
        <v>52330.756906265422</v>
      </c>
      <c r="V57" s="99">
        <f t="shared" si="12"/>
        <v>58145.750613689634</v>
      </c>
      <c r="W57" s="78">
        <f t="shared" si="13"/>
        <v>53115.718259859401</v>
      </c>
      <c r="X57" s="78">
        <f t="shared" si="14"/>
        <v>59017.93687289497</v>
      </c>
      <c r="Y57" s="78">
        <f t="shared" si="15"/>
        <v>53965.569752017152</v>
      </c>
      <c r="Z57" s="78">
        <f t="shared" si="16"/>
        <v>59962.22386286129</v>
      </c>
      <c r="AA57" s="78">
        <f t="shared" si="17"/>
        <v>54990.915577305474</v>
      </c>
      <c r="AB57" s="78">
        <f t="shared" si="18"/>
        <v>61101.506116255652</v>
      </c>
      <c r="AC57" s="1">
        <f t="shared" si="19"/>
        <v>56035.742973274275</v>
      </c>
      <c r="AD57" s="78">
        <f t="shared" si="20"/>
        <v>62262.434732464506</v>
      </c>
      <c r="AE57" s="1">
        <f t="shared" si="21"/>
        <v>57212.49357571303</v>
      </c>
      <c r="AF57" s="78">
        <f t="shared" si="22"/>
        <v>63569.945861846252</v>
      </c>
      <c r="AG57" s="141">
        <f t="shared" si="23"/>
        <v>57956.255992197293</v>
      </c>
      <c r="AH57" s="140">
        <f t="shared" si="24"/>
        <v>64396.355158050246</v>
      </c>
      <c r="AI57" s="141">
        <f t="shared" si="30"/>
        <v>59115.381112041243</v>
      </c>
      <c r="AJ57" s="140">
        <f t="shared" si="25"/>
        <v>65684.28226121125</v>
      </c>
      <c r="AK57" s="141">
        <f t="shared" si="26"/>
        <v>60829.727164290431</v>
      </c>
      <c r="AL57" s="140">
        <f t="shared" si="27"/>
        <v>67589.126446786366</v>
      </c>
      <c r="AM57" s="141">
        <f t="shared" si="28"/>
        <v>64661.999975640727</v>
      </c>
      <c r="AN57" s="141">
        <f t="shared" si="29"/>
        <v>71847.241412933901</v>
      </c>
    </row>
    <row r="58" spans="1:40">
      <c r="A58" s="56">
        <v>170119</v>
      </c>
      <c r="B58" s="155">
        <v>170119</v>
      </c>
      <c r="C58" s="25" t="s">
        <v>64</v>
      </c>
      <c r="D58" s="54">
        <v>42500</v>
      </c>
      <c r="E58" s="55">
        <f t="shared" si="31"/>
        <v>44625</v>
      </c>
      <c r="F58" s="75">
        <f>E58*1.045</f>
        <v>46633.125</v>
      </c>
      <c r="G58" s="75">
        <f t="shared" si="1"/>
        <v>48255.957749999994</v>
      </c>
      <c r="H58" s="75">
        <f t="shared" si="2"/>
        <v>53618.15977518</v>
      </c>
      <c r="I58" s="75">
        <f t="shared" si="3"/>
        <v>49558.868609249992</v>
      </c>
      <c r="J58" s="75">
        <f t="shared" si="3"/>
        <v>55065.850089109852</v>
      </c>
      <c r="K58" s="75">
        <f t="shared" si="4"/>
        <v>50748.281455871991</v>
      </c>
      <c r="L58" s="71">
        <f t="shared" si="4"/>
        <v>56387.430491248488</v>
      </c>
      <c r="M58" s="71">
        <f t="shared" si="5"/>
        <v>52118.485055180528</v>
      </c>
      <c r="N58" s="71">
        <f t="shared" si="5"/>
        <v>57909.891114512189</v>
      </c>
      <c r="O58" s="79">
        <f t="shared" si="6"/>
        <v>53265.091726394501</v>
      </c>
      <c r="P58" s="79">
        <f t="shared" si="6"/>
        <v>59183.90871903146</v>
      </c>
      <c r="Q58" s="100">
        <f t="shared" si="7"/>
        <v>54543.45392782797</v>
      </c>
      <c r="R58" s="79">
        <f t="shared" si="8"/>
        <v>60604.322528288219</v>
      </c>
      <c r="S58" s="100">
        <f t="shared" si="9"/>
        <v>56561.561723157603</v>
      </c>
      <c r="T58" s="79">
        <f t="shared" si="10"/>
        <v>62846.682461834876</v>
      </c>
      <c r="U58" s="100">
        <f t="shared" si="11"/>
        <v>58145.285451406016</v>
      </c>
      <c r="V58" s="119">
        <f t="shared" si="12"/>
        <v>64606.389570766252</v>
      </c>
      <c r="W58" s="79">
        <f t="shared" si="13"/>
        <v>59017.464733177098</v>
      </c>
      <c r="X58" s="79">
        <f t="shared" si="14"/>
        <v>65575.485414327733</v>
      </c>
      <c r="Y58" s="79">
        <f t="shared" si="15"/>
        <v>59961.744168907935</v>
      </c>
      <c r="Z58" s="79">
        <f t="shared" si="16"/>
        <v>66624.69318095698</v>
      </c>
      <c r="AA58" s="79">
        <f t="shared" si="17"/>
        <v>61101.017308117182</v>
      </c>
      <c r="AB58" s="79">
        <f t="shared" si="18"/>
        <v>67890.562351395158</v>
      </c>
      <c r="AC58" s="100">
        <f t="shared" si="19"/>
        <v>62261.936636971404</v>
      </c>
      <c r="AD58" s="79">
        <f t="shared" si="20"/>
        <v>69180.483036071659</v>
      </c>
      <c r="AE58" s="100">
        <f t="shared" si="21"/>
        <v>63569.437306347798</v>
      </c>
      <c r="AF58" s="79">
        <f t="shared" si="22"/>
        <v>70633.273179829164</v>
      </c>
      <c r="AG58" s="142">
        <f t="shared" si="23"/>
        <v>64395.839991330315</v>
      </c>
      <c r="AH58" s="174">
        <f t="shared" si="24"/>
        <v>71551.505731166937</v>
      </c>
      <c r="AI58" s="142">
        <f t="shared" si="30"/>
        <v>65683.75679115692</v>
      </c>
      <c r="AJ58" s="174">
        <f t="shared" si="25"/>
        <v>72982.535845790277</v>
      </c>
      <c r="AK58" s="142">
        <f t="shared" si="26"/>
        <v>67588.585738100461</v>
      </c>
      <c r="AL58" s="174">
        <f t="shared" si="27"/>
        <v>75099.029385318194</v>
      </c>
      <c r="AM58" s="142">
        <f t="shared" si="28"/>
        <v>71846.666639600793</v>
      </c>
      <c r="AN58" s="142">
        <f t="shared" si="29"/>
        <v>79830.268236593241</v>
      </c>
    </row>
    <row r="59" spans="1:40" ht="15" customHeight="1">
      <c r="B59" s="180" t="s">
        <v>65</v>
      </c>
      <c r="C59" s="181"/>
      <c r="D59" s="182"/>
      <c r="E59" s="182"/>
      <c r="F59" s="182"/>
      <c r="G59" s="182"/>
      <c r="H59" s="182"/>
      <c r="I59" s="182"/>
      <c r="J59" s="182"/>
      <c r="K59" s="182"/>
      <c r="L59" s="182"/>
      <c r="M59" s="182"/>
      <c r="N59" s="182"/>
      <c r="O59" s="182"/>
      <c r="P59" s="182"/>
      <c r="Q59" s="182"/>
      <c r="R59" s="182"/>
      <c r="S59" s="182"/>
      <c r="T59" s="182"/>
      <c r="U59" s="182"/>
      <c r="V59" s="182"/>
      <c r="W59" s="182"/>
      <c r="X59" s="182"/>
      <c r="Y59" s="182"/>
      <c r="Z59" s="182"/>
      <c r="AA59" s="182"/>
      <c r="AB59" s="182"/>
      <c r="AC59" s="182"/>
      <c r="AD59" s="182"/>
      <c r="AE59" s="182"/>
      <c r="AF59" s="182"/>
      <c r="AG59" s="182"/>
      <c r="AH59" s="182"/>
      <c r="AI59" s="182"/>
      <c r="AJ59" s="182"/>
      <c r="AK59" s="180"/>
      <c r="AL59" s="183"/>
      <c r="AM59" s="183"/>
      <c r="AN59" s="181"/>
    </row>
    <row r="60" spans="1:40">
      <c r="B60" s="156">
        <v>180604</v>
      </c>
      <c r="C60" s="27" t="s">
        <v>66</v>
      </c>
      <c r="D60" s="112">
        <v>44200</v>
      </c>
      <c r="E60" s="118">
        <f t="shared" si="31"/>
        <v>46410</v>
      </c>
      <c r="F60" s="70">
        <f>E60*1.045</f>
        <v>48498.45</v>
      </c>
      <c r="G60" s="70">
        <f t="shared" si="1"/>
        <v>50186.196059999995</v>
      </c>
      <c r="H60" s="70">
        <f t="shared" si="2"/>
        <v>55762.8861661872</v>
      </c>
      <c r="I60" s="70">
        <f t="shared" si="3"/>
        <v>51541.223353619993</v>
      </c>
      <c r="J60" s="70">
        <f t="shared" si="3"/>
        <v>57268.484092674247</v>
      </c>
      <c r="K60" s="70">
        <f t="shared" si="4"/>
        <v>52778.21271410687</v>
      </c>
      <c r="L60" s="58">
        <f t="shared" si="4"/>
        <v>58642.927710898432</v>
      </c>
      <c r="M60" s="58">
        <f t="shared" si="5"/>
        <v>54203.224457387754</v>
      </c>
      <c r="N60" s="58">
        <f t="shared" si="5"/>
        <v>60226.286759092683</v>
      </c>
      <c r="O60" s="80">
        <f t="shared" si="6"/>
        <v>55395.695395450282</v>
      </c>
      <c r="P60" s="80">
        <f t="shared" si="6"/>
        <v>61551.265067792723</v>
      </c>
      <c r="Q60" s="101">
        <f t="shared" si="7"/>
        <v>56725.192084941089</v>
      </c>
      <c r="R60" s="80">
        <f t="shared" si="8"/>
        <v>63028.495429419752</v>
      </c>
      <c r="S60" s="101">
        <f t="shared" si="9"/>
        <v>58824.024192083903</v>
      </c>
      <c r="T60" s="80">
        <f t="shared" si="10"/>
        <v>65360.549760308277</v>
      </c>
      <c r="U60" s="101">
        <f t="shared" si="11"/>
        <v>60471.096869462257</v>
      </c>
      <c r="V60" s="114">
        <f t="shared" si="12"/>
        <v>67190.64515359691</v>
      </c>
      <c r="W60" s="80">
        <f t="shared" si="13"/>
        <v>61378.163322504188</v>
      </c>
      <c r="X60" s="80">
        <f t="shared" si="14"/>
        <v>68198.504830900856</v>
      </c>
      <c r="Y60" s="80">
        <f t="shared" si="15"/>
        <v>62360.213935664258</v>
      </c>
      <c r="Z60" s="80">
        <f t="shared" si="16"/>
        <v>69289.680908195267</v>
      </c>
      <c r="AA60" s="80">
        <f t="shared" si="17"/>
        <v>63545.058000441873</v>
      </c>
      <c r="AB60" s="80">
        <f t="shared" si="18"/>
        <v>70606.184845450975</v>
      </c>
      <c r="AC60" s="101">
        <f t="shared" si="19"/>
        <v>64752.414102450261</v>
      </c>
      <c r="AD60" s="80">
        <f t="shared" si="20"/>
        <v>71947.702357514543</v>
      </c>
      <c r="AE60" s="101">
        <f t="shared" si="21"/>
        <v>66112.214798601708</v>
      </c>
      <c r="AF60" s="80">
        <f t="shared" si="22"/>
        <v>73458.604107022344</v>
      </c>
      <c r="AG60" s="143">
        <f t="shared" si="23"/>
        <v>66971.673590983526</v>
      </c>
      <c r="AH60" s="152">
        <f t="shared" si="24"/>
        <v>74413.565960413631</v>
      </c>
      <c r="AI60" s="143">
        <f t="shared" si="30"/>
        <v>68311.107062803203</v>
      </c>
      <c r="AJ60" s="152">
        <f t="shared" si="25"/>
        <v>75901.837279621905</v>
      </c>
      <c r="AK60" s="143">
        <f t="shared" si="26"/>
        <v>70292.129167624487</v>
      </c>
      <c r="AL60" s="152">
        <f t="shared" si="27"/>
        <v>78102.990560730934</v>
      </c>
      <c r="AM60" s="143">
        <f t="shared" si="28"/>
        <v>74720.533305184828</v>
      </c>
      <c r="AN60" s="143">
        <f t="shared" si="29"/>
        <v>83023.47896605698</v>
      </c>
    </row>
    <row r="61" spans="1:40">
      <c r="B61" s="19">
        <v>180605</v>
      </c>
      <c r="C61" s="18" t="s">
        <v>67</v>
      </c>
      <c r="D61" s="16">
        <v>44200</v>
      </c>
      <c r="E61" s="17">
        <f t="shared" si="31"/>
        <v>46410</v>
      </c>
      <c r="F61" s="57">
        <f>E61*1.045</f>
        <v>48498.45</v>
      </c>
      <c r="G61" s="57">
        <f t="shared" si="1"/>
        <v>50186.196059999995</v>
      </c>
      <c r="H61" s="57">
        <f t="shared" si="2"/>
        <v>55762.8861661872</v>
      </c>
      <c r="I61" s="57">
        <f t="shared" si="3"/>
        <v>51541.223353619993</v>
      </c>
      <c r="J61" s="57">
        <f t="shared" si="3"/>
        <v>57268.484092674247</v>
      </c>
      <c r="K61" s="57">
        <f t="shared" si="4"/>
        <v>52778.21271410687</v>
      </c>
      <c r="L61" s="9">
        <f t="shared" si="4"/>
        <v>58642.927710898432</v>
      </c>
      <c r="M61" s="9">
        <f t="shared" si="5"/>
        <v>54203.224457387754</v>
      </c>
      <c r="N61" s="9">
        <f t="shared" si="5"/>
        <v>60226.286759092683</v>
      </c>
      <c r="O61" s="78">
        <f t="shared" si="6"/>
        <v>55395.695395450282</v>
      </c>
      <c r="P61" s="78">
        <f t="shared" si="6"/>
        <v>61551.265067792723</v>
      </c>
      <c r="Q61" s="1">
        <f t="shared" si="7"/>
        <v>56725.192084941089</v>
      </c>
      <c r="R61" s="78">
        <f t="shared" si="8"/>
        <v>63028.495429419752</v>
      </c>
      <c r="S61" s="1">
        <f t="shared" si="9"/>
        <v>58824.024192083903</v>
      </c>
      <c r="T61" s="78">
        <f t="shared" si="10"/>
        <v>65360.549760308277</v>
      </c>
      <c r="U61" s="1">
        <f t="shared" si="11"/>
        <v>60471.096869462257</v>
      </c>
      <c r="V61" s="99">
        <f t="shared" si="12"/>
        <v>67190.64515359691</v>
      </c>
      <c r="W61" s="78">
        <f t="shared" si="13"/>
        <v>61378.163322504188</v>
      </c>
      <c r="X61" s="78">
        <f t="shared" si="14"/>
        <v>68198.504830900856</v>
      </c>
      <c r="Y61" s="78">
        <f t="shared" si="15"/>
        <v>62360.213935664258</v>
      </c>
      <c r="Z61" s="78">
        <f t="shared" si="16"/>
        <v>69289.680908195267</v>
      </c>
      <c r="AA61" s="78">
        <f t="shared" si="17"/>
        <v>63545.058000441873</v>
      </c>
      <c r="AB61" s="78">
        <f t="shared" si="18"/>
        <v>70606.184845450975</v>
      </c>
      <c r="AC61" s="1">
        <f t="shared" si="19"/>
        <v>64752.414102450261</v>
      </c>
      <c r="AD61" s="78">
        <f t="shared" si="20"/>
        <v>71947.702357514543</v>
      </c>
      <c r="AE61" s="1">
        <f t="shared" si="21"/>
        <v>66112.214798601708</v>
      </c>
      <c r="AF61" s="78">
        <f t="shared" si="22"/>
        <v>73458.604107022344</v>
      </c>
      <c r="AG61" s="141">
        <f t="shared" si="23"/>
        <v>66971.673590983526</v>
      </c>
      <c r="AH61" s="140">
        <f t="shared" si="24"/>
        <v>74413.565960413631</v>
      </c>
      <c r="AI61" s="141">
        <f t="shared" si="30"/>
        <v>68311.107062803203</v>
      </c>
      <c r="AJ61" s="140">
        <f t="shared" si="25"/>
        <v>75901.837279621905</v>
      </c>
      <c r="AK61" s="141">
        <f t="shared" si="26"/>
        <v>70292.129167624487</v>
      </c>
      <c r="AL61" s="140">
        <f t="shared" si="27"/>
        <v>78102.990560730934</v>
      </c>
      <c r="AM61" s="141">
        <f t="shared" si="28"/>
        <v>74720.533305184828</v>
      </c>
      <c r="AN61" s="141">
        <f t="shared" si="29"/>
        <v>83023.47896605698</v>
      </c>
    </row>
    <row r="62" spans="1:40">
      <c r="B62" s="19">
        <v>180504</v>
      </c>
      <c r="C62" s="18" t="s">
        <v>68</v>
      </c>
      <c r="D62" s="16">
        <v>77350</v>
      </c>
      <c r="E62" s="17">
        <f t="shared" si="31"/>
        <v>81217.5</v>
      </c>
      <c r="F62" s="57">
        <f>E62*1.045</f>
        <v>84872.287499999991</v>
      </c>
      <c r="G62" s="57">
        <f t="shared" si="1"/>
        <v>87825.843104999993</v>
      </c>
      <c r="H62" s="57">
        <f t="shared" si="2"/>
        <v>97585.050790827605</v>
      </c>
      <c r="I62" s="57">
        <f t="shared" si="3"/>
        <v>90197.140868834991</v>
      </c>
      <c r="J62" s="57">
        <f t="shared" si="3"/>
        <v>100219.84716217994</v>
      </c>
      <c r="K62" s="57">
        <f t="shared" si="4"/>
        <v>92361.872249687032</v>
      </c>
      <c r="L62" s="9">
        <f t="shared" si="4"/>
        <v>102625.12349407226</v>
      </c>
      <c r="M62" s="9">
        <f t="shared" si="5"/>
        <v>94855.64280042857</v>
      </c>
      <c r="N62" s="9">
        <f t="shared" si="5"/>
        <v>105396.00182841221</v>
      </c>
      <c r="O62" s="78">
        <f t="shared" si="6"/>
        <v>96942.466942037994</v>
      </c>
      <c r="P62" s="78">
        <f t="shared" si="6"/>
        <v>107714.71386863728</v>
      </c>
      <c r="Q62" s="1">
        <f t="shared" si="7"/>
        <v>99269.086148646908</v>
      </c>
      <c r="R62" s="78">
        <f t="shared" si="8"/>
        <v>110299.86700148457</v>
      </c>
      <c r="S62" s="1">
        <f t="shared" si="9"/>
        <v>102942.04233614684</v>
      </c>
      <c r="T62" s="78">
        <f t="shared" si="10"/>
        <v>114380.9620805395</v>
      </c>
      <c r="U62" s="1">
        <f t="shared" si="11"/>
        <v>105824.41952155896</v>
      </c>
      <c r="V62" s="99">
        <f t="shared" si="12"/>
        <v>117583.6290187946</v>
      </c>
      <c r="W62" s="78">
        <f t="shared" si="13"/>
        <v>107411.78581438233</v>
      </c>
      <c r="X62" s="78">
        <f t="shared" si="14"/>
        <v>119347.38345407651</v>
      </c>
      <c r="Y62" s="78">
        <f t="shared" si="15"/>
        <v>109130.37438741245</v>
      </c>
      <c r="Z62" s="78">
        <f t="shared" si="16"/>
        <v>121256.94158934173</v>
      </c>
      <c r="AA62" s="78">
        <f t="shared" si="17"/>
        <v>111203.85150077328</v>
      </c>
      <c r="AB62" s="78">
        <f t="shared" si="18"/>
        <v>123560.82347953922</v>
      </c>
      <c r="AC62" s="1">
        <f t="shared" si="19"/>
        <v>113316.72467928796</v>
      </c>
      <c r="AD62" s="78">
        <f t="shared" si="20"/>
        <v>125908.47912565045</v>
      </c>
      <c r="AE62" s="1">
        <f t="shared" si="21"/>
        <v>115696.37589755299</v>
      </c>
      <c r="AF62" s="78">
        <f t="shared" si="22"/>
        <v>128552.5571872891</v>
      </c>
      <c r="AG62" s="141">
        <f t="shared" si="23"/>
        <v>117200.42878422116</v>
      </c>
      <c r="AH62" s="140">
        <f t="shared" si="24"/>
        <v>130223.74043072385</v>
      </c>
      <c r="AI62" s="141">
        <f t="shared" si="30"/>
        <v>119544.43735990558</v>
      </c>
      <c r="AJ62" s="140">
        <f t="shared" si="25"/>
        <v>132828.21523933831</v>
      </c>
      <c r="AK62" s="141">
        <f t="shared" si="26"/>
        <v>123011.22604334283</v>
      </c>
      <c r="AL62" s="140">
        <f t="shared" si="27"/>
        <v>136680.23348127911</v>
      </c>
      <c r="AM62" s="141">
        <f t="shared" si="28"/>
        <v>130760.93328407343</v>
      </c>
      <c r="AN62" s="141">
        <f t="shared" si="29"/>
        <v>145291.08819059969</v>
      </c>
    </row>
    <row r="63" spans="1:40">
      <c r="B63" s="19">
        <v>180302</v>
      </c>
      <c r="C63" s="18" t="s">
        <v>69</v>
      </c>
      <c r="D63" s="16">
        <v>59500</v>
      </c>
      <c r="E63" s="17">
        <f t="shared" si="31"/>
        <v>62475</v>
      </c>
      <c r="F63" s="57">
        <f>E63*1.045</f>
        <v>65286.374999999993</v>
      </c>
      <c r="G63" s="57">
        <f t="shared" si="1"/>
        <v>67558.340849999993</v>
      </c>
      <c r="H63" s="57">
        <f t="shared" si="2"/>
        <v>75065.423685251997</v>
      </c>
      <c r="I63" s="57">
        <f t="shared" si="3"/>
        <v>69382.416052949993</v>
      </c>
      <c r="J63" s="57">
        <f t="shared" si="3"/>
        <v>77092.19012475379</v>
      </c>
      <c r="K63" s="57">
        <f t="shared" si="4"/>
        <v>71047.594038220792</v>
      </c>
      <c r="L63" s="9">
        <f t="shared" si="4"/>
        <v>78942.402687747875</v>
      </c>
      <c r="M63" s="9">
        <f t="shared" si="5"/>
        <v>72965.879077252743</v>
      </c>
      <c r="N63" s="9">
        <f t="shared" si="5"/>
        <v>81073.847560317066</v>
      </c>
      <c r="O63" s="78">
        <f t="shared" si="6"/>
        <v>74571.128416952299</v>
      </c>
      <c r="P63" s="78">
        <f t="shared" si="6"/>
        <v>82857.472206644044</v>
      </c>
      <c r="Q63" s="1">
        <f t="shared" si="7"/>
        <v>76360.835498959161</v>
      </c>
      <c r="R63" s="78">
        <f t="shared" si="8"/>
        <v>84846.051539603504</v>
      </c>
      <c r="S63" s="1">
        <f t="shared" si="9"/>
        <v>79186.186412420648</v>
      </c>
      <c r="T63" s="78">
        <f t="shared" si="10"/>
        <v>87985.355446568821</v>
      </c>
      <c r="U63" s="1">
        <f t="shared" si="11"/>
        <v>81403.399631968423</v>
      </c>
      <c r="V63" s="99">
        <f t="shared" si="12"/>
        <v>90448.945399072749</v>
      </c>
      <c r="W63" s="78">
        <f t="shared" si="13"/>
        <v>82624.450626447942</v>
      </c>
      <c r="X63" s="78">
        <f t="shared" si="14"/>
        <v>91805.67958005883</v>
      </c>
      <c r="Y63" s="78">
        <f t="shared" si="15"/>
        <v>83946.441836471116</v>
      </c>
      <c r="Z63" s="78">
        <f t="shared" si="16"/>
        <v>93274.570453339766</v>
      </c>
      <c r="AA63" s="78">
        <f t="shared" si="17"/>
        <v>85541.424231364057</v>
      </c>
      <c r="AB63" s="78">
        <f t="shared" si="18"/>
        <v>95046.787291953209</v>
      </c>
      <c r="AC63" s="1">
        <f t="shared" si="19"/>
        <v>87166.711291759959</v>
      </c>
      <c r="AD63" s="78">
        <f t="shared" si="20"/>
        <v>96852.676250500313</v>
      </c>
      <c r="AE63" s="1">
        <f t="shared" si="21"/>
        <v>88997.212228886914</v>
      </c>
      <c r="AF63" s="78">
        <f t="shared" si="22"/>
        <v>98886.582451760813</v>
      </c>
      <c r="AG63" s="141">
        <f t="shared" si="23"/>
        <v>90154.175987862429</v>
      </c>
      <c r="AH63" s="140">
        <f t="shared" si="24"/>
        <v>100172.1080236337</v>
      </c>
      <c r="AI63" s="141">
        <f t="shared" si="30"/>
        <v>91957.259507619674</v>
      </c>
      <c r="AJ63" s="140">
        <f t="shared" si="25"/>
        <v>102175.55018410638</v>
      </c>
      <c r="AK63" s="141">
        <f t="shared" si="26"/>
        <v>94624.020033340639</v>
      </c>
      <c r="AL63" s="140">
        <f t="shared" si="27"/>
        <v>105138.64113944546</v>
      </c>
      <c r="AM63" s="141">
        <f t="shared" si="28"/>
        <v>100585.33329544109</v>
      </c>
      <c r="AN63" s="141">
        <f t="shared" si="29"/>
        <v>111762.37553123051</v>
      </c>
    </row>
    <row r="64" spans="1:40">
      <c r="B64" s="19">
        <v>180301</v>
      </c>
      <c r="C64" s="18" t="s">
        <v>70</v>
      </c>
      <c r="D64" s="16">
        <v>45050</v>
      </c>
      <c r="E64" s="17">
        <f t="shared" si="31"/>
        <v>47302.5</v>
      </c>
      <c r="F64" s="57">
        <f>E64*1.045</f>
        <v>49431.112499999996</v>
      </c>
      <c r="G64" s="57">
        <f t="shared" si="1"/>
        <v>51151.315214999995</v>
      </c>
      <c r="H64" s="57">
        <f t="shared" si="2"/>
        <v>56835.249361690803</v>
      </c>
      <c r="I64" s="57">
        <f t="shared" si="3"/>
        <v>52532.40072580499</v>
      </c>
      <c r="J64" s="57">
        <f t="shared" si="3"/>
        <v>58369.801094456452</v>
      </c>
      <c r="K64" s="57">
        <f t="shared" si="4"/>
        <v>53793.17834322431</v>
      </c>
      <c r="L64" s="9">
        <f t="shared" si="4"/>
        <v>59770.676320723411</v>
      </c>
      <c r="M64" s="9">
        <f t="shared" si="5"/>
        <v>55245.59415849136</v>
      </c>
      <c r="N64" s="9">
        <f t="shared" si="5"/>
        <v>61384.484581382938</v>
      </c>
      <c r="O64" s="78">
        <f t="shared" si="6"/>
        <v>56460.997229978173</v>
      </c>
      <c r="P64" s="78">
        <f t="shared" si="6"/>
        <v>62734.943242173365</v>
      </c>
      <c r="Q64" s="1">
        <f t="shared" si="7"/>
        <v>57816.061163497652</v>
      </c>
      <c r="R64" s="78">
        <f t="shared" si="8"/>
        <v>64240.581879985526</v>
      </c>
      <c r="S64" s="1">
        <f t="shared" si="9"/>
        <v>59955.255426547061</v>
      </c>
      <c r="T64" s="78">
        <f t="shared" si="10"/>
        <v>66617.483409544991</v>
      </c>
      <c r="U64" s="1">
        <f t="shared" si="11"/>
        <v>61634.002578490377</v>
      </c>
      <c r="V64" s="99">
        <f t="shared" si="12"/>
        <v>68482.772945012257</v>
      </c>
      <c r="W64" s="78">
        <f t="shared" si="13"/>
        <v>62558.512617167726</v>
      </c>
      <c r="X64" s="78">
        <f t="shared" si="14"/>
        <v>69510.014539187439</v>
      </c>
      <c r="Y64" s="78">
        <f t="shared" si="15"/>
        <v>63559.448819042409</v>
      </c>
      <c r="Z64" s="78">
        <f t="shared" si="16"/>
        <v>70622.174771814432</v>
      </c>
      <c r="AA64" s="78">
        <f t="shared" si="17"/>
        <v>64767.078346604212</v>
      </c>
      <c r="AB64" s="78">
        <f t="shared" si="18"/>
        <v>71963.996092478905</v>
      </c>
      <c r="AC64" s="1">
        <f t="shared" si="19"/>
        <v>65997.652835189685</v>
      </c>
      <c r="AD64" s="78">
        <f t="shared" si="20"/>
        <v>73331.312018236</v>
      </c>
      <c r="AE64" s="1">
        <f t="shared" si="21"/>
        <v>67383.603544728656</v>
      </c>
      <c r="AF64" s="78">
        <f t="shared" si="22"/>
        <v>74871.269570618955</v>
      </c>
      <c r="AG64" s="141">
        <f t="shared" si="23"/>
        <v>68259.590390810117</v>
      </c>
      <c r="AH64" s="140">
        <f t="shared" si="24"/>
        <v>75844.596075037</v>
      </c>
      <c r="AI64" s="141">
        <f t="shared" si="30"/>
        <v>69624.782198626315</v>
      </c>
      <c r="AJ64" s="140">
        <f t="shared" si="25"/>
        <v>77361.487996537748</v>
      </c>
      <c r="AK64" s="141">
        <f t="shared" si="26"/>
        <v>71643.900882386471</v>
      </c>
      <c r="AL64" s="140">
        <f t="shared" si="27"/>
        <v>79604.97114843734</v>
      </c>
      <c r="AM64" s="141">
        <f t="shared" si="28"/>
        <v>76157.466637976817</v>
      </c>
      <c r="AN64" s="141">
        <f t="shared" si="29"/>
        <v>84620.084330788886</v>
      </c>
    </row>
    <row r="65" spans="2:40">
      <c r="B65" s="19">
        <v>180212</v>
      </c>
      <c r="C65" s="18" t="s">
        <v>71</v>
      </c>
      <c r="D65" s="16">
        <v>102000</v>
      </c>
      <c r="E65" s="17">
        <f t="shared" si="31"/>
        <v>107100</v>
      </c>
      <c r="F65" s="57">
        <f>E65*1.045</f>
        <v>111919.49999999999</v>
      </c>
      <c r="G65" s="57">
        <f t="shared" si="1"/>
        <v>115814.29859999998</v>
      </c>
      <c r="H65" s="57">
        <f t="shared" si="2"/>
        <v>128683.583460432</v>
      </c>
      <c r="I65" s="57">
        <f t="shared" si="3"/>
        <v>118941.28466219996</v>
      </c>
      <c r="J65" s="57">
        <f t="shared" si="3"/>
        <v>132158.04021386366</v>
      </c>
      <c r="K65" s="57">
        <f t="shared" si="4"/>
        <v>121795.87549409276</v>
      </c>
      <c r="L65" s="9">
        <f t="shared" si="4"/>
        <v>135329.8331789964</v>
      </c>
      <c r="M65" s="9">
        <f t="shared" si="5"/>
        <v>125084.36413243326</v>
      </c>
      <c r="N65" s="9">
        <f t="shared" si="5"/>
        <v>138983.73867482928</v>
      </c>
      <c r="O65" s="78">
        <f t="shared" si="6"/>
        <v>127836.22014334679</v>
      </c>
      <c r="P65" s="78">
        <f t="shared" si="6"/>
        <v>142041.38092567553</v>
      </c>
      <c r="Q65" s="1">
        <f t="shared" si="7"/>
        <v>130904.28942678712</v>
      </c>
      <c r="R65" s="78">
        <f t="shared" si="8"/>
        <v>145450.37406789174</v>
      </c>
      <c r="S65" s="1">
        <f t="shared" si="9"/>
        <v>135747.74813557824</v>
      </c>
      <c r="T65" s="78">
        <f t="shared" si="10"/>
        <v>150832.03790840373</v>
      </c>
      <c r="U65" s="1">
        <f t="shared" si="11"/>
        <v>139548.68508337444</v>
      </c>
      <c r="V65" s="99">
        <f t="shared" si="12"/>
        <v>155055.33496983902</v>
      </c>
      <c r="W65" s="78">
        <f t="shared" si="13"/>
        <v>141641.91535962504</v>
      </c>
      <c r="X65" s="78">
        <f t="shared" si="14"/>
        <v>157381.16499438661</v>
      </c>
      <c r="Y65" s="78">
        <f t="shared" si="15"/>
        <v>143908.18600537904</v>
      </c>
      <c r="Z65" s="78">
        <f t="shared" si="16"/>
        <v>159899.2636342968</v>
      </c>
      <c r="AA65" s="78">
        <f t="shared" si="17"/>
        <v>146642.44153948122</v>
      </c>
      <c r="AB65" s="78">
        <f t="shared" si="18"/>
        <v>162937.34964334843</v>
      </c>
      <c r="AC65" s="1">
        <f t="shared" si="19"/>
        <v>149428.64792873134</v>
      </c>
      <c r="AD65" s="78">
        <f t="shared" si="20"/>
        <v>166033.15928657202</v>
      </c>
      <c r="AE65" s="1">
        <f t="shared" si="21"/>
        <v>152566.6495352347</v>
      </c>
      <c r="AF65" s="78">
        <f t="shared" si="22"/>
        <v>169519.85563159001</v>
      </c>
      <c r="AG65" s="141">
        <f t="shared" si="23"/>
        <v>154550.01597919274</v>
      </c>
      <c r="AH65" s="140">
        <f t="shared" si="24"/>
        <v>171723.61375480067</v>
      </c>
      <c r="AI65" s="141">
        <f t="shared" si="30"/>
        <v>157641.01629877661</v>
      </c>
      <c r="AJ65" s="140">
        <f t="shared" si="25"/>
        <v>175158.08602989669</v>
      </c>
      <c r="AK65" s="141">
        <f t="shared" si="26"/>
        <v>162212.60577144113</v>
      </c>
      <c r="AL65" s="140">
        <f t="shared" si="27"/>
        <v>180237.67052476367</v>
      </c>
      <c r="AM65" s="141">
        <f t="shared" si="28"/>
        <v>172431.99993504191</v>
      </c>
      <c r="AN65" s="141">
        <f t="shared" si="29"/>
        <v>191592.64376782379</v>
      </c>
    </row>
    <row r="66" spans="2:40">
      <c r="B66" s="19">
        <v>180202</v>
      </c>
      <c r="C66" s="18" t="s">
        <v>72</v>
      </c>
      <c r="D66" s="16">
        <v>45900</v>
      </c>
      <c r="E66" s="17">
        <f t="shared" si="31"/>
        <v>48195</v>
      </c>
      <c r="F66" s="57">
        <f>E66*1.045</f>
        <v>50363.774999999994</v>
      </c>
      <c r="G66" s="57">
        <f t="shared" si="1"/>
        <v>52116.434369999988</v>
      </c>
      <c r="H66" s="57">
        <f t="shared" si="2"/>
        <v>57907.612557194392</v>
      </c>
      <c r="I66" s="57">
        <f t="shared" si="3"/>
        <v>53523.578097989986</v>
      </c>
      <c r="J66" s="57">
        <f t="shared" si="3"/>
        <v>59471.118096238635</v>
      </c>
      <c r="K66" s="57">
        <f t="shared" si="4"/>
        <v>54808.14397234175</v>
      </c>
      <c r="L66" s="9">
        <f t="shared" si="4"/>
        <v>60898.424930548361</v>
      </c>
      <c r="M66" s="9">
        <f t="shared" si="5"/>
        <v>56287.963859594973</v>
      </c>
      <c r="N66" s="9">
        <f t="shared" si="5"/>
        <v>62542.682403673163</v>
      </c>
      <c r="O66" s="78">
        <f t="shared" si="6"/>
        <v>57526.299064506064</v>
      </c>
      <c r="P66" s="78">
        <f t="shared" si="6"/>
        <v>63918.621416553971</v>
      </c>
      <c r="Q66" s="1">
        <f t="shared" si="7"/>
        <v>58906.930242054208</v>
      </c>
      <c r="R66" s="78">
        <f t="shared" si="8"/>
        <v>65452.668330551271</v>
      </c>
      <c r="S66" s="1">
        <f t="shared" si="9"/>
        <v>61086.486661010211</v>
      </c>
      <c r="T66" s="78">
        <f t="shared" si="10"/>
        <v>67874.417058781662</v>
      </c>
      <c r="U66" s="1">
        <f t="shared" si="11"/>
        <v>62796.908287518498</v>
      </c>
      <c r="V66" s="99">
        <f t="shared" si="12"/>
        <v>69774.900736427546</v>
      </c>
      <c r="W66" s="78">
        <f t="shared" si="13"/>
        <v>63738.861911831271</v>
      </c>
      <c r="X66" s="78">
        <f t="shared" si="14"/>
        <v>70821.52424747395</v>
      </c>
      <c r="Y66" s="78">
        <f t="shared" si="15"/>
        <v>64758.683702420574</v>
      </c>
      <c r="Z66" s="78">
        <f t="shared" si="16"/>
        <v>71954.66863543354</v>
      </c>
      <c r="AA66" s="78">
        <f t="shared" si="17"/>
        <v>65989.098692766565</v>
      </c>
      <c r="AB66" s="78">
        <f t="shared" si="18"/>
        <v>73321.807339506777</v>
      </c>
      <c r="AC66" s="1">
        <f t="shared" si="19"/>
        <v>67242.891567929124</v>
      </c>
      <c r="AD66" s="78">
        <f t="shared" si="20"/>
        <v>74714.921678957398</v>
      </c>
      <c r="AE66" s="1">
        <f t="shared" si="21"/>
        <v>68654.992290855633</v>
      </c>
      <c r="AF66" s="78">
        <f t="shared" si="22"/>
        <v>76283.935034215494</v>
      </c>
      <c r="AG66" s="141">
        <f t="shared" si="23"/>
        <v>69547.507190636752</v>
      </c>
      <c r="AH66" s="140">
        <f t="shared" si="24"/>
        <v>77275.626189660281</v>
      </c>
      <c r="AI66" s="141">
        <f t="shared" si="30"/>
        <v>70938.457334449486</v>
      </c>
      <c r="AJ66" s="140">
        <f t="shared" si="25"/>
        <v>78821.138713453489</v>
      </c>
      <c r="AK66" s="141">
        <f t="shared" si="26"/>
        <v>72995.672597148514</v>
      </c>
      <c r="AL66" s="140">
        <f t="shared" si="27"/>
        <v>81106.95173614363</v>
      </c>
      <c r="AM66" s="141">
        <f t="shared" si="28"/>
        <v>77594.399970768864</v>
      </c>
      <c r="AN66" s="141">
        <f t="shared" si="29"/>
        <v>86216.689695520676</v>
      </c>
    </row>
    <row r="67" spans="2:40">
      <c r="B67" s="19">
        <v>189120</v>
      </c>
      <c r="C67" s="18" t="s">
        <v>73</v>
      </c>
      <c r="D67" s="16">
        <v>45900</v>
      </c>
      <c r="E67" s="17">
        <f t="shared" si="31"/>
        <v>48195</v>
      </c>
      <c r="F67" s="57">
        <f>E67*1.045</f>
        <v>50363.774999999994</v>
      </c>
      <c r="G67" s="57">
        <f t="shared" si="1"/>
        <v>52116.434369999988</v>
      </c>
      <c r="H67" s="57">
        <f t="shared" si="2"/>
        <v>57907.612557194392</v>
      </c>
      <c r="I67" s="57">
        <f t="shared" si="3"/>
        <v>53523.578097989986</v>
      </c>
      <c r="J67" s="57">
        <f t="shared" si="3"/>
        <v>59471.118096238635</v>
      </c>
      <c r="K67" s="57">
        <f t="shared" si="4"/>
        <v>54808.14397234175</v>
      </c>
      <c r="L67" s="9">
        <f t="shared" si="4"/>
        <v>60898.424930548361</v>
      </c>
      <c r="M67" s="9">
        <f t="shared" si="5"/>
        <v>56287.963859594973</v>
      </c>
      <c r="N67" s="9">
        <f t="shared" si="5"/>
        <v>62542.682403673163</v>
      </c>
      <c r="O67" s="78">
        <f t="shared" si="6"/>
        <v>57526.299064506064</v>
      </c>
      <c r="P67" s="78">
        <f t="shared" si="6"/>
        <v>63918.621416553971</v>
      </c>
      <c r="Q67" s="1">
        <f t="shared" si="7"/>
        <v>58906.930242054208</v>
      </c>
      <c r="R67" s="78">
        <f t="shared" si="8"/>
        <v>65452.668330551271</v>
      </c>
      <c r="S67" s="1">
        <f t="shared" si="9"/>
        <v>61086.486661010211</v>
      </c>
      <c r="T67" s="78">
        <f t="shared" si="10"/>
        <v>67874.417058781662</v>
      </c>
      <c r="U67" s="1">
        <f t="shared" si="11"/>
        <v>62796.908287518498</v>
      </c>
      <c r="V67" s="99">
        <f t="shared" si="12"/>
        <v>69774.900736427546</v>
      </c>
      <c r="W67" s="78">
        <f t="shared" si="13"/>
        <v>63738.861911831271</v>
      </c>
      <c r="X67" s="78">
        <f t="shared" si="14"/>
        <v>70821.52424747395</v>
      </c>
      <c r="Y67" s="78">
        <f t="shared" si="15"/>
        <v>64758.683702420574</v>
      </c>
      <c r="Z67" s="78">
        <f t="shared" si="16"/>
        <v>71954.66863543354</v>
      </c>
      <c r="AA67" s="78">
        <f t="shared" si="17"/>
        <v>65989.098692766565</v>
      </c>
      <c r="AB67" s="78">
        <f t="shared" si="18"/>
        <v>73321.807339506777</v>
      </c>
      <c r="AC67" s="1">
        <f t="shared" si="19"/>
        <v>67242.891567929124</v>
      </c>
      <c r="AD67" s="78">
        <f t="shared" si="20"/>
        <v>74714.921678957398</v>
      </c>
      <c r="AE67" s="1">
        <f t="shared" si="21"/>
        <v>68654.992290855633</v>
      </c>
      <c r="AF67" s="78">
        <f t="shared" si="22"/>
        <v>76283.935034215494</v>
      </c>
      <c r="AG67" s="141">
        <f t="shared" si="23"/>
        <v>69547.507190636752</v>
      </c>
      <c r="AH67" s="140">
        <f t="shared" si="24"/>
        <v>77275.626189660281</v>
      </c>
      <c r="AI67" s="141">
        <f t="shared" si="30"/>
        <v>70938.457334449486</v>
      </c>
      <c r="AJ67" s="140">
        <f t="shared" si="25"/>
        <v>78821.138713453489</v>
      </c>
      <c r="AK67" s="141">
        <f t="shared" si="26"/>
        <v>72995.672597148514</v>
      </c>
      <c r="AL67" s="140">
        <f t="shared" si="27"/>
        <v>81106.95173614363</v>
      </c>
      <c r="AM67" s="141">
        <f t="shared" si="28"/>
        <v>77594.399970768864</v>
      </c>
      <c r="AN67" s="141">
        <f t="shared" si="29"/>
        <v>86216.689695520676</v>
      </c>
    </row>
    <row r="68" spans="2:40">
      <c r="B68" s="19">
        <v>180607</v>
      </c>
      <c r="C68" s="18" t="s">
        <v>74</v>
      </c>
      <c r="D68" s="16">
        <v>45900</v>
      </c>
      <c r="E68" s="17">
        <f t="shared" si="31"/>
        <v>48195</v>
      </c>
      <c r="F68" s="57">
        <f>E68*1.045</f>
        <v>50363.774999999994</v>
      </c>
      <c r="G68" s="57">
        <f t="shared" si="1"/>
        <v>52116.434369999988</v>
      </c>
      <c r="H68" s="57">
        <f t="shared" si="2"/>
        <v>57907.612557194392</v>
      </c>
      <c r="I68" s="57">
        <f t="shared" si="3"/>
        <v>53523.578097989986</v>
      </c>
      <c r="J68" s="57">
        <f t="shared" si="3"/>
        <v>59471.118096238635</v>
      </c>
      <c r="K68" s="57">
        <f t="shared" si="4"/>
        <v>54808.14397234175</v>
      </c>
      <c r="L68" s="9">
        <f t="shared" si="4"/>
        <v>60898.424930548361</v>
      </c>
      <c r="M68" s="9">
        <f t="shared" si="5"/>
        <v>56287.963859594973</v>
      </c>
      <c r="N68" s="9">
        <f t="shared" si="5"/>
        <v>62542.682403673163</v>
      </c>
      <c r="O68" s="78">
        <f t="shared" si="6"/>
        <v>57526.299064506064</v>
      </c>
      <c r="P68" s="78">
        <f t="shared" si="6"/>
        <v>63918.621416553971</v>
      </c>
      <c r="Q68" s="1">
        <f t="shared" si="7"/>
        <v>58906.930242054208</v>
      </c>
      <c r="R68" s="78">
        <f t="shared" si="8"/>
        <v>65452.668330551271</v>
      </c>
      <c r="S68" s="1">
        <f t="shared" si="9"/>
        <v>61086.486661010211</v>
      </c>
      <c r="T68" s="78">
        <f t="shared" si="10"/>
        <v>67874.417058781662</v>
      </c>
      <c r="U68" s="1">
        <f t="shared" si="11"/>
        <v>62796.908287518498</v>
      </c>
      <c r="V68" s="99">
        <f t="shared" si="12"/>
        <v>69774.900736427546</v>
      </c>
      <c r="W68" s="78">
        <f t="shared" si="13"/>
        <v>63738.861911831271</v>
      </c>
      <c r="X68" s="78">
        <f t="shared" si="14"/>
        <v>70821.52424747395</v>
      </c>
      <c r="Y68" s="78">
        <f t="shared" si="15"/>
        <v>64758.683702420574</v>
      </c>
      <c r="Z68" s="78">
        <f t="shared" si="16"/>
        <v>71954.66863543354</v>
      </c>
      <c r="AA68" s="78">
        <f t="shared" si="17"/>
        <v>65989.098692766565</v>
      </c>
      <c r="AB68" s="78">
        <f t="shared" si="18"/>
        <v>73321.807339506777</v>
      </c>
      <c r="AC68" s="1">
        <f t="shared" si="19"/>
        <v>67242.891567929124</v>
      </c>
      <c r="AD68" s="78">
        <f t="shared" si="20"/>
        <v>74714.921678957398</v>
      </c>
      <c r="AE68" s="1">
        <f t="shared" si="21"/>
        <v>68654.992290855633</v>
      </c>
      <c r="AF68" s="78">
        <f t="shared" si="22"/>
        <v>76283.935034215494</v>
      </c>
      <c r="AG68" s="141">
        <f t="shared" si="23"/>
        <v>69547.507190636752</v>
      </c>
      <c r="AH68" s="140">
        <f t="shared" si="24"/>
        <v>77275.626189660281</v>
      </c>
      <c r="AI68" s="141">
        <f t="shared" si="30"/>
        <v>70938.457334449486</v>
      </c>
      <c r="AJ68" s="140">
        <f t="shared" si="25"/>
        <v>78821.138713453489</v>
      </c>
      <c r="AK68" s="141">
        <f t="shared" si="26"/>
        <v>72995.672597148514</v>
      </c>
      <c r="AL68" s="140">
        <f t="shared" si="27"/>
        <v>81106.95173614363</v>
      </c>
      <c r="AM68" s="141">
        <f t="shared" si="28"/>
        <v>77594.399970768864</v>
      </c>
      <c r="AN68" s="141">
        <f t="shared" si="29"/>
        <v>86216.689695520676</v>
      </c>
    </row>
    <row r="69" spans="2:40">
      <c r="B69" s="155">
        <v>180214</v>
      </c>
      <c r="C69" s="25" t="s">
        <v>75</v>
      </c>
      <c r="D69" s="54">
        <v>45900</v>
      </c>
      <c r="E69" s="55">
        <f t="shared" si="31"/>
        <v>48195</v>
      </c>
      <c r="F69" s="75">
        <f>E69*1.045</f>
        <v>50363.774999999994</v>
      </c>
      <c r="G69" s="75">
        <f t="shared" si="1"/>
        <v>52116.434369999988</v>
      </c>
      <c r="H69" s="75">
        <f t="shared" si="2"/>
        <v>57907.612557194392</v>
      </c>
      <c r="I69" s="75">
        <f t="shared" si="3"/>
        <v>53523.578097989986</v>
      </c>
      <c r="J69" s="75">
        <f t="shared" si="3"/>
        <v>59471.118096238635</v>
      </c>
      <c r="K69" s="75">
        <f t="shared" si="4"/>
        <v>54808.14397234175</v>
      </c>
      <c r="L69" s="71">
        <f t="shared" si="4"/>
        <v>60898.424930548361</v>
      </c>
      <c r="M69" s="71">
        <f t="shared" si="5"/>
        <v>56287.963859594973</v>
      </c>
      <c r="N69" s="71">
        <f t="shared" si="5"/>
        <v>62542.682403673163</v>
      </c>
      <c r="O69" s="79">
        <f t="shared" si="6"/>
        <v>57526.299064506064</v>
      </c>
      <c r="P69" s="79">
        <f t="shared" si="6"/>
        <v>63918.621416553971</v>
      </c>
      <c r="Q69" s="100">
        <f t="shared" si="7"/>
        <v>58906.930242054208</v>
      </c>
      <c r="R69" s="79">
        <f t="shared" si="8"/>
        <v>65452.668330551271</v>
      </c>
      <c r="S69" s="100">
        <f t="shared" si="9"/>
        <v>61086.486661010211</v>
      </c>
      <c r="T69" s="79">
        <f t="shared" si="10"/>
        <v>67874.417058781662</v>
      </c>
      <c r="U69" s="100">
        <f t="shared" si="11"/>
        <v>62796.908287518498</v>
      </c>
      <c r="V69" s="119">
        <f t="shared" si="12"/>
        <v>69774.900736427546</v>
      </c>
      <c r="W69" s="79">
        <f t="shared" si="13"/>
        <v>63738.861911831271</v>
      </c>
      <c r="X69" s="79">
        <f t="shared" si="14"/>
        <v>70821.52424747395</v>
      </c>
      <c r="Y69" s="79">
        <f t="shared" si="15"/>
        <v>64758.683702420574</v>
      </c>
      <c r="Z69" s="79">
        <f t="shared" si="16"/>
        <v>71954.66863543354</v>
      </c>
      <c r="AA69" s="79">
        <f t="shared" si="17"/>
        <v>65989.098692766565</v>
      </c>
      <c r="AB69" s="79">
        <f t="shared" si="18"/>
        <v>73321.807339506777</v>
      </c>
      <c r="AC69" s="100">
        <f t="shared" si="19"/>
        <v>67242.891567929124</v>
      </c>
      <c r="AD69" s="79">
        <f t="shared" si="20"/>
        <v>74714.921678957398</v>
      </c>
      <c r="AE69" s="100">
        <f t="shared" si="21"/>
        <v>68654.992290855633</v>
      </c>
      <c r="AF69" s="79">
        <f t="shared" si="22"/>
        <v>76283.935034215494</v>
      </c>
      <c r="AG69" s="142">
        <f t="shared" si="23"/>
        <v>69547.507190636752</v>
      </c>
      <c r="AH69" s="174">
        <f t="shared" si="24"/>
        <v>77275.626189660281</v>
      </c>
      <c r="AI69" s="142">
        <f t="shared" si="30"/>
        <v>70938.457334449486</v>
      </c>
      <c r="AJ69" s="174">
        <f t="shared" si="25"/>
        <v>78821.138713453489</v>
      </c>
      <c r="AK69" s="142">
        <f t="shared" si="26"/>
        <v>72995.672597148514</v>
      </c>
      <c r="AL69" s="174">
        <f t="shared" si="27"/>
        <v>81106.95173614363</v>
      </c>
      <c r="AM69" s="142">
        <f t="shared" si="28"/>
        <v>77594.399970768864</v>
      </c>
      <c r="AN69" s="142">
        <f t="shared" si="29"/>
        <v>86216.689695520676</v>
      </c>
    </row>
    <row r="70" spans="2:40" ht="15" customHeight="1">
      <c r="B70" s="180" t="s">
        <v>76</v>
      </c>
      <c r="C70" s="181"/>
      <c r="D70" s="182"/>
      <c r="E70" s="182"/>
      <c r="F70" s="182"/>
      <c r="G70" s="182"/>
      <c r="H70" s="182"/>
      <c r="I70" s="182"/>
      <c r="J70" s="182"/>
      <c r="K70" s="182"/>
      <c r="L70" s="182"/>
      <c r="M70" s="182"/>
      <c r="N70" s="182"/>
      <c r="O70" s="182"/>
      <c r="P70" s="182"/>
      <c r="Q70" s="182"/>
      <c r="R70" s="182"/>
      <c r="S70" s="182"/>
      <c r="T70" s="182"/>
      <c r="U70" s="182"/>
      <c r="V70" s="182"/>
      <c r="W70" s="182"/>
      <c r="X70" s="182"/>
      <c r="Y70" s="182"/>
      <c r="Z70" s="182"/>
      <c r="AA70" s="182"/>
      <c r="AB70" s="182"/>
      <c r="AC70" s="182"/>
      <c r="AD70" s="182"/>
      <c r="AE70" s="182"/>
      <c r="AF70" s="182"/>
      <c r="AG70" s="182"/>
      <c r="AH70" s="182"/>
      <c r="AI70" s="182"/>
      <c r="AJ70" s="182"/>
      <c r="AK70" s="180"/>
      <c r="AL70" s="183"/>
      <c r="AM70" s="183"/>
      <c r="AN70" s="181"/>
    </row>
    <row r="71" spans="2:40">
      <c r="B71" s="156">
        <v>430306</v>
      </c>
      <c r="C71" s="27" t="s">
        <v>77</v>
      </c>
      <c r="D71" s="112">
        <v>8500</v>
      </c>
      <c r="E71" s="118">
        <f t="shared" si="31"/>
        <v>8925</v>
      </c>
      <c r="F71" s="70">
        <f>E71*1.045</f>
        <v>9326.625</v>
      </c>
      <c r="G71" s="70">
        <f t="shared" ref="G71:G134" si="32">F71*1.0348</f>
        <v>9651.1915499999996</v>
      </c>
      <c r="H71" s="70">
        <f t="shared" ref="H71:H134" si="33">G71*1.11112</f>
        <v>10723.631955036</v>
      </c>
      <c r="I71" s="70">
        <f t="shared" ref="I71:J134" si="34">G71*1.027</f>
        <v>9911.7737218499988</v>
      </c>
      <c r="J71" s="70">
        <f t="shared" si="34"/>
        <v>11013.170017821971</v>
      </c>
      <c r="K71" s="70">
        <f t="shared" ref="K71:L134" si="35">I71*1.024</f>
        <v>10149.656291174399</v>
      </c>
      <c r="L71" s="58">
        <f t="shared" si="35"/>
        <v>11277.486098249698</v>
      </c>
      <c r="M71" s="58">
        <f t="shared" ref="M71:N134" si="36">K71*1.027</f>
        <v>10423.697011036107</v>
      </c>
      <c r="N71" s="58">
        <f t="shared" si="36"/>
        <v>11581.978222902439</v>
      </c>
      <c r="O71" s="80">
        <f t="shared" ref="O71:P134" si="37">M71*1.022</f>
        <v>10653.018345278902</v>
      </c>
      <c r="P71" s="80">
        <f t="shared" si="37"/>
        <v>11836.781743806292</v>
      </c>
      <c r="Q71" s="101">
        <f t="shared" si="7"/>
        <v>10908.690785565595</v>
      </c>
      <c r="R71" s="80">
        <f t="shared" si="8"/>
        <v>12120.864505657642</v>
      </c>
      <c r="S71" s="101">
        <f t="shared" si="9"/>
        <v>11312.312344631522</v>
      </c>
      <c r="T71" s="80">
        <f t="shared" si="10"/>
        <v>12569.336492366974</v>
      </c>
      <c r="U71" s="101">
        <f t="shared" si="11"/>
        <v>11629.057090281205</v>
      </c>
      <c r="V71" s="114">
        <f t="shared" si="12"/>
        <v>12921.27791415325</v>
      </c>
      <c r="W71" s="80">
        <f t="shared" si="13"/>
        <v>11803.492946635422</v>
      </c>
      <c r="X71" s="80">
        <f t="shared" si="14"/>
        <v>13115.097082865548</v>
      </c>
      <c r="Y71" s="80">
        <f t="shared" si="15"/>
        <v>11992.348833781589</v>
      </c>
      <c r="Z71" s="80">
        <f t="shared" si="16"/>
        <v>13324.938636191397</v>
      </c>
      <c r="AA71" s="80">
        <f t="shared" si="17"/>
        <v>12220.203461623438</v>
      </c>
      <c r="AB71" s="80">
        <f t="shared" si="18"/>
        <v>13578.112470279031</v>
      </c>
      <c r="AC71" s="101">
        <f t="shared" si="19"/>
        <v>12452.387327394283</v>
      </c>
      <c r="AD71" s="80">
        <f t="shared" si="20"/>
        <v>13836.096607214331</v>
      </c>
      <c r="AE71" s="101">
        <f t="shared" si="21"/>
        <v>12713.887461269562</v>
      </c>
      <c r="AF71" s="80">
        <f t="shared" si="22"/>
        <v>14126.654635965831</v>
      </c>
      <c r="AG71" s="143">
        <f t="shared" si="23"/>
        <v>12879.167998266064</v>
      </c>
      <c r="AH71" s="152">
        <f t="shared" si="24"/>
        <v>14310.301146233385</v>
      </c>
      <c r="AI71" s="143">
        <f t="shared" si="30"/>
        <v>13136.751358231386</v>
      </c>
      <c r="AJ71" s="152">
        <f t="shared" si="25"/>
        <v>14596.507169158052</v>
      </c>
      <c r="AK71" s="143">
        <f t="shared" si="26"/>
        <v>13517.717147620095</v>
      </c>
      <c r="AL71" s="152">
        <f t="shared" si="27"/>
        <v>15019.805877063634</v>
      </c>
      <c r="AM71" s="143">
        <f t="shared" si="28"/>
        <v>14369.33332792016</v>
      </c>
      <c r="AN71" s="143">
        <f t="shared" si="29"/>
        <v>15966.053647318642</v>
      </c>
    </row>
    <row r="72" spans="2:40">
      <c r="B72" s="19">
        <v>430301</v>
      </c>
      <c r="C72" s="18" t="s">
        <v>78</v>
      </c>
      <c r="D72" s="16">
        <v>8500</v>
      </c>
      <c r="E72" s="17">
        <f t="shared" si="31"/>
        <v>8925</v>
      </c>
      <c r="F72" s="57">
        <f>E72*1.045</f>
        <v>9326.625</v>
      </c>
      <c r="G72" s="57">
        <f t="shared" si="32"/>
        <v>9651.1915499999996</v>
      </c>
      <c r="H72" s="57">
        <f t="shared" si="33"/>
        <v>10723.631955036</v>
      </c>
      <c r="I72" s="57">
        <f t="shared" si="34"/>
        <v>9911.7737218499988</v>
      </c>
      <c r="J72" s="57">
        <f t="shared" si="34"/>
        <v>11013.170017821971</v>
      </c>
      <c r="K72" s="57">
        <f t="shared" si="35"/>
        <v>10149.656291174399</v>
      </c>
      <c r="L72" s="9">
        <f t="shared" si="35"/>
        <v>11277.486098249698</v>
      </c>
      <c r="M72" s="9">
        <f t="shared" si="36"/>
        <v>10423.697011036107</v>
      </c>
      <c r="N72" s="9">
        <f t="shared" si="36"/>
        <v>11581.978222902439</v>
      </c>
      <c r="O72" s="78">
        <f t="shared" si="37"/>
        <v>10653.018345278902</v>
      </c>
      <c r="P72" s="78">
        <f t="shared" si="37"/>
        <v>11836.781743806292</v>
      </c>
      <c r="Q72" s="1">
        <f t="shared" si="7"/>
        <v>10908.690785565595</v>
      </c>
      <c r="R72" s="78">
        <f t="shared" si="8"/>
        <v>12120.864505657642</v>
      </c>
      <c r="S72" s="1">
        <f t="shared" si="9"/>
        <v>11312.312344631522</v>
      </c>
      <c r="T72" s="78">
        <f t="shared" si="10"/>
        <v>12569.336492366974</v>
      </c>
      <c r="U72" s="1">
        <f t="shared" si="11"/>
        <v>11629.057090281205</v>
      </c>
      <c r="V72" s="99">
        <f t="shared" si="12"/>
        <v>12921.27791415325</v>
      </c>
      <c r="W72" s="78">
        <f t="shared" si="13"/>
        <v>11803.492946635422</v>
      </c>
      <c r="X72" s="78">
        <f t="shared" si="14"/>
        <v>13115.097082865548</v>
      </c>
      <c r="Y72" s="78">
        <f t="shared" si="15"/>
        <v>11992.348833781589</v>
      </c>
      <c r="Z72" s="78">
        <f t="shared" si="16"/>
        <v>13324.938636191397</v>
      </c>
      <c r="AA72" s="78">
        <f t="shared" si="17"/>
        <v>12220.203461623438</v>
      </c>
      <c r="AB72" s="78">
        <f t="shared" si="18"/>
        <v>13578.112470279031</v>
      </c>
      <c r="AC72" s="1">
        <f t="shared" si="19"/>
        <v>12452.387327394283</v>
      </c>
      <c r="AD72" s="78">
        <f t="shared" si="20"/>
        <v>13836.096607214331</v>
      </c>
      <c r="AE72" s="1">
        <f t="shared" si="21"/>
        <v>12713.887461269562</v>
      </c>
      <c r="AF72" s="78">
        <f t="shared" si="22"/>
        <v>14126.654635965831</v>
      </c>
      <c r="AG72" s="141">
        <f t="shared" si="23"/>
        <v>12879.167998266064</v>
      </c>
      <c r="AH72" s="140">
        <f t="shared" si="24"/>
        <v>14310.301146233385</v>
      </c>
      <c r="AI72" s="141">
        <f t="shared" si="30"/>
        <v>13136.751358231386</v>
      </c>
      <c r="AJ72" s="140">
        <f t="shared" si="25"/>
        <v>14596.507169158052</v>
      </c>
      <c r="AK72" s="141">
        <f t="shared" si="26"/>
        <v>13517.717147620095</v>
      </c>
      <c r="AL72" s="140">
        <f t="shared" si="27"/>
        <v>15019.805877063634</v>
      </c>
      <c r="AM72" s="141">
        <f t="shared" si="28"/>
        <v>14369.33332792016</v>
      </c>
      <c r="AN72" s="141">
        <f t="shared" si="29"/>
        <v>15966.053647318642</v>
      </c>
    </row>
    <row r="73" spans="2:40">
      <c r="B73" s="19">
        <v>430302</v>
      </c>
      <c r="C73" s="18" t="s">
        <v>79</v>
      </c>
      <c r="D73" s="16">
        <v>8500</v>
      </c>
      <c r="E73" s="17">
        <f t="shared" si="31"/>
        <v>8925</v>
      </c>
      <c r="F73" s="57">
        <f>E73*1.045</f>
        <v>9326.625</v>
      </c>
      <c r="G73" s="57">
        <f t="shared" si="32"/>
        <v>9651.1915499999996</v>
      </c>
      <c r="H73" s="57">
        <f t="shared" si="33"/>
        <v>10723.631955036</v>
      </c>
      <c r="I73" s="57">
        <f t="shared" si="34"/>
        <v>9911.7737218499988</v>
      </c>
      <c r="J73" s="57">
        <f t="shared" si="34"/>
        <v>11013.170017821971</v>
      </c>
      <c r="K73" s="57">
        <f t="shared" si="35"/>
        <v>10149.656291174399</v>
      </c>
      <c r="L73" s="9">
        <f t="shared" si="35"/>
        <v>11277.486098249698</v>
      </c>
      <c r="M73" s="9">
        <f t="shared" si="36"/>
        <v>10423.697011036107</v>
      </c>
      <c r="N73" s="9">
        <f t="shared" si="36"/>
        <v>11581.978222902439</v>
      </c>
      <c r="O73" s="78">
        <f t="shared" si="37"/>
        <v>10653.018345278902</v>
      </c>
      <c r="P73" s="78">
        <f t="shared" si="37"/>
        <v>11836.781743806292</v>
      </c>
      <c r="Q73" s="1">
        <f t="shared" ref="Q73:Q136" si="38">O73*1.024</f>
        <v>10908.690785565595</v>
      </c>
      <c r="R73" s="78">
        <f t="shared" ref="R73:R136" si="39">P73*1.024</f>
        <v>12120.864505657642</v>
      </c>
      <c r="S73" s="1">
        <f t="shared" ref="S73:S136" si="40">Q73*1.037</f>
        <v>11312.312344631522</v>
      </c>
      <c r="T73" s="78">
        <f t="shared" ref="T73:T136" si="41">R73*1.037</f>
        <v>12569.336492366974</v>
      </c>
      <c r="U73" s="1">
        <f t="shared" ref="U73:U136" si="42">S73*1.028</f>
        <v>11629.057090281205</v>
      </c>
      <c r="V73" s="99">
        <f t="shared" ref="V73:V136" si="43">T73*1.028</f>
        <v>12921.27791415325</v>
      </c>
      <c r="W73" s="78">
        <f t="shared" ref="W73:X136" si="44">U73*1.015</f>
        <v>11803.492946635422</v>
      </c>
      <c r="X73" s="78">
        <f t="shared" ref="X73:X136" si="45">V73*1.015</f>
        <v>13115.097082865548</v>
      </c>
      <c r="Y73" s="78">
        <f t="shared" ref="Y73:Y136" si="46">W73*1.016</f>
        <v>11992.348833781589</v>
      </c>
      <c r="Z73" s="78">
        <f t="shared" ref="Z73:Z136" si="47">X73*1.016</f>
        <v>13324.938636191397</v>
      </c>
      <c r="AA73" s="78">
        <f t="shared" ref="AA73:AA136" si="48">Y73*1.019</f>
        <v>12220.203461623438</v>
      </c>
      <c r="AB73" s="78">
        <f t="shared" ref="AB73:AB136" si="49">Z73*1.019</f>
        <v>13578.112470279031</v>
      </c>
      <c r="AC73" s="1">
        <f t="shared" ref="AC73:AC136" si="50">AA73*1.019</f>
        <v>12452.387327394283</v>
      </c>
      <c r="AD73" s="78">
        <f t="shared" ref="AD73:AD136" si="51">AB73*1.019</f>
        <v>13836.096607214331</v>
      </c>
      <c r="AE73" s="1">
        <f t="shared" ref="AE73:AE136" si="52">AC73*1.021</f>
        <v>12713.887461269562</v>
      </c>
      <c r="AF73" s="78">
        <f t="shared" ref="AF73:AF136" si="53">AD73*1.021</f>
        <v>14126.654635965831</v>
      </c>
      <c r="AG73" s="141">
        <f t="shared" ref="AG73:AG136" si="54">AE73*1.013</f>
        <v>12879.167998266064</v>
      </c>
      <c r="AH73" s="140">
        <f t="shared" ref="AH73:AH136" si="55">AF73*1.013</f>
        <v>14310.301146233385</v>
      </c>
      <c r="AI73" s="141">
        <f t="shared" ref="AI73:AI136" si="56">AG73*1.02</f>
        <v>13136.751358231386</v>
      </c>
      <c r="AJ73" s="140">
        <f t="shared" ref="AJ73:AJ136" si="57">AH73*1.02</f>
        <v>14596.507169158052</v>
      </c>
      <c r="AK73" s="141">
        <f t="shared" ref="AK73:AK136" si="58">AI73*1.029</f>
        <v>13517.717147620095</v>
      </c>
      <c r="AL73" s="140">
        <f t="shared" ref="AL73:AL136" si="59">AJ73*1.029</f>
        <v>15019.805877063634</v>
      </c>
      <c r="AM73" s="141">
        <f t="shared" ref="AM73:AM136" si="60">AK73*1.063</f>
        <v>14369.33332792016</v>
      </c>
      <c r="AN73" s="141">
        <f t="shared" ref="AN73:AN136" si="61">AL73*1.063</f>
        <v>15966.053647318642</v>
      </c>
    </row>
    <row r="74" spans="2:40">
      <c r="B74" s="19">
        <v>430308</v>
      </c>
      <c r="C74" s="18" t="s">
        <v>80</v>
      </c>
      <c r="D74" s="16">
        <v>8500</v>
      </c>
      <c r="E74" s="17">
        <f t="shared" si="31"/>
        <v>8925</v>
      </c>
      <c r="F74" s="57">
        <f>E74*1.045</f>
        <v>9326.625</v>
      </c>
      <c r="G74" s="57">
        <f t="shared" si="32"/>
        <v>9651.1915499999996</v>
      </c>
      <c r="H74" s="57">
        <f t="shared" si="33"/>
        <v>10723.631955036</v>
      </c>
      <c r="I74" s="57">
        <f t="shared" si="34"/>
        <v>9911.7737218499988</v>
      </c>
      <c r="J74" s="57">
        <f t="shared" si="34"/>
        <v>11013.170017821971</v>
      </c>
      <c r="K74" s="57">
        <f t="shared" si="35"/>
        <v>10149.656291174399</v>
      </c>
      <c r="L74" s="9">
        <f t="shared" si="35"/>
        <v>11277.486098249698</v>
      </c>
      <c r="M74" s="9">
        <f t="shared" si="36"/>
        <v>10423.697011036107</v>
      </c>
      <c r="N74" s="9">
        <f t="shared" si="36"/>
        <v>11581.978222902439</v>
      </c>
      <c r="O74" s="78">
        <f t="shared" si="37"/>
        <v>10653.018345278902</v>
      </c>
      <c r="P74" s="78">
        <f t="shared" si="37"/>
        <v>11836.781743806292</v>
      </c>
      <c r="Q74" s="1">
        <f t="shared" si="38"/>
        <v>10908.690785565595</v>
      </c>
      <c r="R74" s="78">
        <f t="shared" si="39"/>
        <v>12120.864505657642</v>
      </c>
      <c r="S74" s="1">
        <f t="shared" si="40"/>
        <v>11312.312344631522</v>
      </c>
      <c r="T74" s="78">
        <f t="shared" si="41"/>
        <v>12569.336492366974</v>
      </c>
      <c r="U74" s="1">
        <f t="shared" si="42"/>
        <v>11629.057090281205</v>
      </c>
      <c r="V74" s="99">
        <f t="shared" si="43"/>
        <v>12921.27791415325</v>
      </c>
      <c r="W74" s="78">
        <f t="shared" si="44"/>
        <v>11803.492946635422</v>
      </c>
      <c r="X74" s="78">
        <f t="shared" si="45"/>
        <v>13115.097082865548</v>
      </c>
      <c r="Y74" s="78">
        <f t="shared" si="46"/>
        <v>11992.348833781589</v>
      </c>
      <c r="Z74" s="78">
        <f t="shared" si="47"/>
        <v>13324.938636191397</v>
      </c>
      <c r="AA74" s="78">
        <f t="shared" si="48"/>
        <v>12220.203461623438</v>
      </c>
      <c r="AB74" s="78">
        <f t="shared" si="49"/>
        <v>13578.112470279031</v>
      </c>
      <c r="AC74" s="1">
        <f t="shared" si="50"/>
        <v>12452.387327394283</v>
      </c>
      <c r="AD74" s="78">
        <f t="shared" si="51"/>
        <v>13836.096607214331</v>
      </c>
      <c r="AE74" s="1">
        <f t="shared" si="52"/>
        <v>12713.887461269562</v>
      </c>
      <c r="AF74" s="78">
        <f t="shared" si="53"/>
        <v>14126.654635965831</v>
      </c>
      <c r="AG74" s="141">
        <f t="shared" si="54"/>
        <v>12879.167998266064</v>
      </c>
      <c r="AH74" s="140">
        <f t="shared" si="55"/>
        <v>14310.301146233385</v>
      </c>
      <c r="AI74" s="141">
        <f t="shared" si="56"/>
        <v>13136.751358231386</v>
      </c>
      <c r="AJ74" s="140">
        <f t="shared" si="57"/>
        <v>14596.507169158052</v>
      </c>
      <c r="AK74" s="141">
        <f t="shared" si="58"/>
        <v>13517.717147620095</v>
      </c>
      <c r="AL74" s="140">
        <f t="shared" si="59"/>
        <v>15019.805877063634</v>
      </c>
      <c r="AM74" s="141">
        <f t="shared" si="60"/>
        <v>14369.33332792016</v>
      </c>
      <c r="AN74" s="141">
        <f t="shared" si="61"/>
        <v>15966.053647318642</v>
      </c>
    </row>
    <row r="75" spans="2:40">
      <c r="B75" s="19">
        <v>430201</v>
      </c>
      <c r="C75" s="18" t="s">
        <v>81</v>
      </c>
      <c r="D75" s="16">
        <v>8500</v>
      </c>
      <c r="E75" s="17">
        <f t="shared" si="31"/>
        <v>8925</v>
      </c>
      <c r="F75" s="57">
        <f>E75*1.045</f>
        <v>9326.625</v>
      </c>
      <c r="G75" s="57">
        <f t="shared" si="32"/>
        <v>9651.1915499999996</v>
      </c>
      <c r="H75" s="57">
        <f t="shared" si="33"/>
        <v>10723.631955036</v>
      </c>
      <c r="I75" s="57">
        <f t="shared" si="34"/>
        <v>9911.7737218499988</v>
      </c>
      <c r="J75" s="57">
        <f t="shared" si="34"/>
        <v>11013.170017821971</v>
      </c>
      <c r="K75" s="57">
        <f t="shared" si="35"/>
        <v>10149.656291174399</v>
      </c>
      <c r="L75" s="9">
        <f t="shared" si="35"/>
        <v>11277.486098249698</v>
      </c>
      <c r="M75" s="9">
        <f t="shared" si="36"/>
        <v>10423.697011036107</v>
      </c>
      <c r="N75" s="9">
        <f t="shared" si="36"/>
        <v>11581.978222902439</v>
      </c>
      <c r="O75" s="78">
        <f t="shared" si="37"/>
        <v>10653.018345278902</v>
      </c>
      <c r="P75" s="78">
        <f t="shared" si="37"/>
        <v>11836.781743806292</v>
      </c>
      <c r="Q75" s="1">
        <f t="shared" si="38"/>
        <v>10908.690785565595</v>
      </c>
      <c r="R75" s="78">
        <f t="shared" si="39"/>
        <v>12120.864505657642</v>
      </c>
      <c r="S75" s="1">
        <f t="shared" si="40"/>
        <v>11312.312344631522</v>
      </c>
      <c r="T75" s="78">
        <f t="shared" si="41"/>
        <v>12569.336492366974</v>
      </c>
      <c r="U75" s="1">
        <f t="shared" si="42"/>
        <v>11629.057090281205</v>
      </c>
      <c r="V75" s="99">
        <f t="shared" si="43"/>
        <v>12921.27791415325</v>
      </c>
      <c r="W75" s="78">
        <f t="shared" si="44"/>
        <v>11803.492946635422</v>
      </c>
      <c r="X75" s="78">
        <f t="shared" si="45"/>
        <v>13115.097082865548</v>
      </c>
      <c r="Y75" s="78">
        <f t="shared" si="46"/>
        <v>11992.348833781589</v>
      </c>
      <c r="Z75" s="78">
        <f t="shared" si="47"/>
        <v>13324.938636191397</v>
      </c>
      <c r="AA75" s="78">
        <f t="shared" si="48"/>
        <v>12220.203461623438</v>
      </c>
      <c r="AB75" s="78">
        <f t="shared" si="49"/>
        <v>13578.112470279031</v>
      </c>
      <c r="AC75" s="1">
        <f t="shared" si="50"/>
        <v>12452.387327394283</v>
      </c>
      <c r="AD75" s="78">
        <f t="shared" si="51"/>
        <v>13836.096607214331</v>
      </c>
      <c r="AE75" s="1">
        <f t="shared" si="52"/>
        <v>12713.887461269562</v>
      </c>
      <c r="AF75" s="78">
        <f t="shared" si="53"/>
        <v>14126.654635965831</v>
      </c>
      <c r="AG75" s="141">
        <f t="shared" si="54"/>
        <v>12879.167998266064</v>
      </c>
      <c r="AH75" s="140">
        <f t="shared" si="55"/>
        <v>14310.301146233385</v>
      </c>
      <c r="AI75" s="141">
        <f t="shared" si="56"/>
        <v>13136.751358231386</v>
      </c>
      <c r="AJ75" s="140">
        <f t="shared" si="57"/>
        <v>14596.507169158052</v>
      </c>
      <c r="AK75" s="141">
        <f t="shared" si="58"/>
        <v>13517.717147620095</v>
      </c>
      <c r="AL75" s="140">
        <f t="shared" si="59"/>
        <v>15019.805877063634</v>
      </c>
      <c r="AM75" s="141">
        <f t="shared" si="60"/>
        <v>14369.33332792016</v>
      </c>
      <c r="AN75" s="141">
        <f t="shared" si="61"/>
        <v>15966.053647318642</v>
      </c>
    </row>
    <row r="76" spans="2:40">
      <c r="B76" s="19">
        <v>430202</v>
      </c>
      <c r="C76" s="18" t="s">
        <v>82</v>
      </c>
      <c r="D76" s="16">
        <v>12750</v>
      </c>
      <c r="E76" s="17">
        <f t="shared" si="31"/>
        <v>13387.5</v>
      </c>
      <c r="F76" s="57">
        <f>E76*1.045</f>
        <v>13989.937499999998</v>
      </c>
      <c r="G76" s="57">
        <f t="shared" si="32"/>
        <v>14476.787324999998</v>
      </c>
      <c r="H76" s="57">
        <f t="shared" si="33"/>
        <v>16085.447932554</v>
      </c>
      <c r="I76" s="57">
        <f t="shared" si="34"/>
        <v>14867.660582774995</v>
      </c>
      <c r="J76" s="57">
        <f t="shared" si="34"/>
        <v>16519.755026732957</v>
      </c>
      <c r="K76" s="57">
        <f t="shared" si="35"/>
        <v>15224.484436761595</v>
      </c>
      <c r="L76" s="9">
        <f t="shared" si="35"/>
        <v>16916.22914737455</v>
      </c>
      <c r="M76" s="9">
        <f t="shared" si="36"/>
        <v>15635.545516554157</v>
      </c>
      <c r="N76" s="9">
        <f t="shared" si="36"/>
        <v>17372.96733435366</v>
      </c>
      <c r="O76" s="78">
        <f t="shared" si="37"/>
        <v>15979.527517918348</v>
      </c>
      <c r="P76" s="78">
        <f t="shared" si="37"/>
        <v>17755.172615709442</v>
      </c>
      <c r="Q76" s="1">
        <f t="shared" si="38"/>
        <v>16363.03617834839</v>
      </c>
      <c r="R76" s="78">
        <f t="shared" si="39"/>
        <v>18181.296758486467</v>
      </c>
      <c r="S76" s="1">
        <f t="shared" si="40"/>
        <v>16968.46851694728</v>
      </c>
      <c r="T76" s="78">
        <f t="shared" si="41"/>
        <v>18854.004738550466</v>
      </c>
      <c r="U76" s="1">
        <f t="shared" si="42"/>
        <v>17443.585635421805</v>
      </c>
      <c r="V76" s="99">
        <f t="shared" si="43"/>
        <v>19381.916871229878</v>
      </c>
      <c r="W76" s="78">
        <f t="shared" si="44"/>
        <v>17705.23941995313</v>
      </c>
      <c r="X76" s="78">
        <f t="shared" si="45"/>
        <v>19672.645624298326</v>
      </c>
      <c r="Y76" s="78">
        <f t="shared" si="46"/>
        <v>17988.523250672381</v>
      </c>
      <c r="Z76" s="78">
        <f t="shared" si="47"/>
        <v>19987.4079542871</v>
      </c>
      <c r="AA76" s="78">
        <f t="shared" si="48"/>
        <v>18330.305192435153</v>
      </c>
      <c r="AB76" s="78">
        <f t="shared" si="49"/>
        <v>20367.168705418553</v>
      </c>
      <c r="AC76" s="1">
        <f t="shared" si="50"/>
        <v>18678.580991091418</v>
      </c>
      <c r="AD76" s="78">
        <f t="shared" si="51"/>
        <v>20754.144910821502</v>
      </c>
      <c r="AE76" s="1">
        <f t="shared" si="52"/>
        <v>19070.831191904337</v>
      </c>
      <c r="AF76" s="78">
        <f t="shared" si="53"/>
        <v>21189.981953948751</v>
      </c>
      <c r="AG76" s="141">
        <f t="shared" si="54"/>
        <v>19318.751997399093</v>
      </c>
      <c r="AH76" s="140">
        <f t="shared" si="55"/>
        <v>21465.451719350083</v>
      </c>
      <c r="AI76" s="141">
        <f t="shared" si="56"/>
        <v>19705.127037347076</v>
      </c>
      <c r="AJ76" s="140">
        <f t="shared" si="57"/>
        <v>21894.760753737086</v>
      </c>
      <c r="AK76" s="141">
        <f t="shared" si="58"/>
        <v>20276.575721430141</v>
      </c>
      <c r="AL76" s="140">
        <f t="shared" si="59"/>
        <v>22529.708815595459</v>
      </c>
      <c r="AM76" s="141">
        <f t="shared" si="60"/>
        <v>21553.999991880239</v>
      </c>
      <c r="AN76" s="141">
        <f t="shared" si="61"/>
        <v>23949.080470977973</v>
      </c>
    </row>
    <row r="77" spans="2:40">
      <c r="B77" s="19">
        <v>430401</v>
      </c>
      <c r="C77" s="18" t="s">
        <v>83</v>
      </c>
      <c r="D77" s="16">
        <v>8500</v>
      </c>
      <c r="E77" s="17">
        <f t="shared" si="31"/>
        <v>8925</v>
      </c>
      <c r="F77" s="57">
        <f>E77*1.045</f>
        <v>9326.625</v>
      </c>
      <c r="G77" s="57">
        <f t="shared" si="32"/>
        <v>9651.1915499999996</v>
      </c>
      <c r="H77" s="57">
        <f t="shared" si="33"/>
        <v>10723.631955036</v>
      </c>
      <c r="I77" s="57">
        <f t="shared" si="34"/>
        <v>9911.7737218499988</v>
      </c>
      <c r="J77" s="57">
        <f t="shared" si="34"/>
        <v>11013.170017821971</v>
      </c>
      <c r="K77" s="57">
        <f t="shared" si="35"/>
        <v>10149.656291174399</v>
      </c>
      <c r="L77" s="9">
        <f t="shared" si="35"/>
        <v>11277.486098249698</v>
      </c>
      <c r="M77" s="9">
        <f t="shared" si="36"/>
        <v>10423.697011036107</v>
      </c>
      <c r="N77" s="9">
        <f t="shared" si="36"/>
        <v>11581.978222902439</v>
      </c>
      <c r="O77" s="78">
        <f t="shared" si="37"/>
        <v>10653.018345278902</v>
      </c>
      <c r="P77" s="78">
        <f t="shared" si="37"/>
        <v>11836.781743806292</v>
      </c>
      <c r="Q77" s="1">
        <f t="shared" si="38"/>
        <v>10908.690785565595</v>
      </c>
      <c r="R77" s="78">
        <f t="shared" si="39"/>
        <v>12120.864505657642</v>
      </c>
      <c r="S77" s="1">
        <f t="shared" si="40"/>
        <v>11312.312344631522</v>
      </c>
      <c r="T77" s="78">
        <f t="shared" si="41"/>
        <v>12569.336492366974</v>
      </c>
      <c r="U77" s="1">
        <f t="shared" si="42"/>
        <v>11629.057090281205</v>
      </c>
      <c r="V77" s="99">
        <f t="shared" si="43"/>
        <v>12921.27791415325</v>
      </c>
      <c r="W77" s="78">
        <f t="shared" si="44"/>
        <v>11803.492946635422</v>
      </c>
      <c r="X77" s="78">
        <f t="shared" si="45"/>
        <v>13115.097082865548</v>
      </c>
      <c r="Y77" s="78">
        <f t="shared" si="46"/>
        <v>11992.348833781589</v>
      </c>
      <c r="Z77" s="78">
        <f t="shared" si="47"/>
        <v>13324.938636191397</v>
      </c>
      <c r="AA77" s="78">
        <f t="shared" si="48"/>
        <v>12220.203461623438</v>
      </c>
      <c r="AB77" s="78">
        <f t="shared" si="49"/>
        <v>13578.112470279031</v>
      </c>
      <c r="AC77" s="1">
        <f t="shared" si="50"/>
        <v>12452.387327394283</v>
      </c>
      <c r="AD77" s="78">
        <f t="shared" si="51"/>
        <v>13836.096607214331</v>
      </c>
      <c r="AE77" s="1">
        <f t="shared" si="52"/>
        <v>12713.887461269562</v>
      </c>
      <c r="AF77" s="78">
        <f t="shared" si="53"/>
        <v>14126.654635965831</v>
      </c>
      <c r="AG77" s="141">
        <f t="shared" si="54"/>
        <v>12879.167998266064</v>
      </c>
      <c r="AH77" s="140">
        <f t="shared" si="55"/>
        <v>14310.301146233385</v>
      </c>
      <c r="AI77" s="141">
        <f t="shared" si="56"/>
        <v>13136.751358231386</v>
      </c>
      <c r="AJ77" s="140">
        <f t="shared" si="57"/>
        <v>14596.507169158052</v>
      </c>
      <c r="AK77" s="141">
        <f t="shared" si="58"/>
        <v>13517.717147620095</v>
      </c>
      <c r="AL77" s="140">
        <f t="shared" si="59"/>
        <v>15019.805877063634</v>
      </c>
      <c r="AM77" s="141">
        <f t="shared" si="60"/>
        <v>14369.33332792016</v>
      </c>
      <c r="AN77" s="141">
        <f t="shared" si="61"/>
        <v>15966.053647318642</v>
      </c>
    </row>
    <row r="78" spans="2:40">
      <c r="B78" s="19">
        <v>430309</v>
      </c>
      <c r="C78" s="18" t="s">
        <v>84</v>
      </c>
      <c r="D78" s="16">
        <v>21250</v>
      </c>
      <c r="E78" s="17">
        <f t="shared" si="31"/>
        <v>22312.5</v>
      </c>
      <c r="F78" s="57">
        <f>E78*1.045</f>
        <v>23316.5625</v>
      </c>
      <c r="G78" s="57">
        <f t="shared" si="32"/>
        <v>24127.978874999997</v>
      </c>
      <c r="H78" s="57">
        <f t="shared" si="33"/>
        <v>26809.07988759</v>
      </c>
      <c r="I78" s="57">
        <f t="shared" si="34"/>
        <v>24779.434304624996</v>
      </c>
      <c r="J78" s="57">
        <f t="shared" si="34"/>
        <v>27532.925044554926</v>
      </c>
      <c r="K78" s="57">
        <f t="shared" si="35"/>
        <v>25374.140727935996</v>
      </c>
      <c r="L78" s="9">
        <f t="shared" si="35"/>
        <v>28193.715245624244</v>
      </c>
      <c r="M78" s="9">
        <f t="shared" si="36"/>
        <v>26059.242527590264</v>
      </c>
      <c r="N78" s="9">
        <f t="shared" si="36"/>
        <v>28954.945557256095</v>
      </c>
      <c r="O78" s="78">
        <f t="shared" si="37"/>
        <v>26632.545863197251</v>
      </c>
      <c r="P78" s="78">
        <f t="shared" si="37"/>
        <v>29591.95435951573</v>
      </c>
      <c r="Q78" s="1">
        <f t="shared" si="38"/>
        <v>27271.726963913985</v>
      </c>
      <c r="R78" s="78">
        <f t="shared" si="39"/>
        <v>30302.16126414411</v>
      </c>
      <c r="S78" s="1">
        <f t="shared" si="40"/>
        <v>28280.780861578802</v>
      </c>
      <c r="T78" s="78">
        <f t="shared" si="41"/>
        <v>31423.341230917438</v>
      </c>
      <c r="U78" s="1">
        <f t="shared" si="42"/>
        <v>29072.642725703008</v>
      </c>
      <c r="V78" s="99">
        <f t="shared" si="43"/>
        <v>32303.194785383126</v>
      </c>
      <c r="W78" s="78">
        <f t="shared" si="44"/>
        <v>29508.732366588549</v>
      </c>
      <c r="X78" s="78">
        <f t="shared" si="45"/>
        <v>32787.742707163867</v>
      </c>
      <c r="Y78" s="78">
        <f t="shared" si="46"/>
        <v>29980.872084453968</v>
      </c>
      <c r="Z78" s="78">
        <f t="shared" si="47"/>
        <v>33312.34659047849</v>
      </c>
      <c r="AA78" s="78">
        <f t="shared" si="48"/>
        <v>30550.508654058591</v>
      </c>
      <c r="AB78" s="78">
        <f t="shared" si="49"/>
        <v>33945.281175697579</v>
      </c>
      <c r="AC78" s="1">
        <f t="shared" si="50"/>
        <v>31130.968318485702</v>
      </c>
      <c r="AD78" s="78">
        <f t="shared" si="51"/>
        <v>34590.241518035829</v>
      </c>
      <c r="AE78" s="1">
        <f t="shared" si="52"/>
        <v>31784.718653173899</v>
      </c>
      <c r="AF78" s="78">
        <f t="shared" si="53"/>
        <v>35316.636589914582</v>
      </c>
      <c r="AG78" s="141">
        <f t="shared" si="54"/>
        <v>32197.919995665157</v>
      </c>
      <c r="AH78" s="140">
        <f t="shared" si="55"/>
        <v>35775.752865583469</v>
      </c>
      <c r="AI78" s="141">
        <f t="shared" si="56"/>
        <v>32841.87839557846</v>
      </c>
      <c r="AJ78" s="140">
        <f t="shared" si="57"/>
        <v>36491.267922895138</v>
      </c>
      <c r="AK78" s="141">
        <f t="shared" si="58"/>
        <v>33794.29286905023</v>
      </c>
      <c r="AL78" s="140">
        <f t="shared" si="59"/>
        <v>37549.514692659097</v>
      </c>
      <c r="AM78" s="141">
        <f t="shared" si="60"/>
        <v>35923.333319800397</v>
      </c>
      <c r="AN78" s="141">
        <f t="shared" si="61"/>
        <v>39915.134118296621</v>
      </c>
    </row>
    <row r="79" spans="2:40">
      <c r="B79" s="19">
        <v>430307</v>
      </c>
      <c r="C79" s="18" t="s">
        <v>85</v>
      </c>
      <c r="D79" s="16">
        <v>12750</v>
      </c>
      <c r="E79" s="17">
        <f t="shared" si="31"/>
        <v>13387.5</v>
      </c>
      <c r="F79" s="57">
        <f>E79*1.045</f>
        <v>13989.937499999998</v>
      </c>
      <c r="G79" s="57">
        <f t="shared" si="32"/>
        <v>14476.787324999998</v>
      </c>
      <c r="H79" s="57">
        <f t="shared" si="33"/>
        <v>16085.447932554</v>
      </c>
      <c r="I79" s="57">
        <f t="shared" si="34"/>
        <v>14867.660582774995</v>
      </c>
      <c r="J79" s="57">
        <f t="shared" si="34"/>
        <v>16519.755026732957</v>
      </c>
      <c r="K79" s="57">
        <f t="shared" si="35"/>
        <v>15224.484436761595</v>
      </c>
      <c r="L79" s="9">
        <f t="shared" si="35"/>
        <v>16916.22914737455</v>
      </c>
      <c r="M79" s="9">
        <f t="shared" si="36"/>
        <v>15635.545516554157</v>
      </c>
      <c r="N79" s="9">
        <f t="shared" si="36"/>
        <v>17372.96733435366</v>
      </c>
      <c r="O79" s="78">
        <f t="shared" si="37"/>
        <v>15979.527517918348</v>
      </c>
      <c r="P79" s="78">
        <f t="shared" si="37"/>
        <v>17755.172615709442</v>
      </c>
      <c r="Q79" s="1">
        <f t="shared" si="38"/>
        <v>16363.03617834839</v>
      </c>
      <c r="R79" s="78">
        <f t="shared" si="39"/>
        <v>18181.296758486467</v>
      </c>
      <c r="S79" s="1">
        <f t="shared" si="40"/>
        <v>16968.46851694728</v>
      </c>
      <c r="T79" s="78">
        <f t="shared" si="41"/>
        <v>18854.004738550466</v>
      </c>
      <c r="U79" s="1">
        <f t="shared" si="42"/>
        <v>17443.585635421805</v>
      </c>
      <c r="V79" s="99">
        <f t="shared" si="43"/>
        <v>19381.916871229878</v>
      </c>
      <c r="W79" s="78">
        <f t="shared" si="44"/>
        <v>17705.23941995313</v>
      </c>
      <c r="X79" s="78">
        <f t="shared" si="45"/>
        <v>19672.645624298326</v>
      </c>
      <c r="Y79" s="78">
        <f t="shared" si="46"/>
        <v>17988.523250672381</v>
      </c>
      <c r="Z79" s="78">
        <f t="shared" si="47"/>
        <v>19987.4079542871</v>
      </c>
      <c r="AA79" s="78">
        <f t="shared" si="48"/>
        <v>18330.305192435153</v>
      </c>
      <c r="AB79" s="78">
        <f t="shared" si="49"/>
        <v>20367.168705418553</v>
      </c>
      <c r="AC79" s="1">
        <f t="shared" si="50"/>
        <v>18678.580991091418</v>
      </c>
      <c r="AD79" s="78">
        <f t="shared" si="51"/>
        <v>20754.144910821502</v>
      </c>
      <c r="AE79" s="1">
        <f t="shared" si="52"/>
        <v>19070.831191904337</v>
      </c>
      <c r="AF79" s="78">
        <f t="shared" si="53"/>
        <v>21189.981953948751</v>
      </c>
      <c r="AG79" s="141">
        <f t="shared" si="54"/>
        <v>19318.751997399093</v>
      </c>
      <c r="AH79" s="140">
        <f t="shared" si="55"/>
        <v>21465.451719350083</v>
      </c>
      <c r="AI79" s="141">
        <f t="shared" si="56"/>
        <v>19705.127037347076</v>
      </c>
      <c r="AJ79" s="140">
        <f t="shared" si="57"/>
        <v>21894.760753737086</v>
      </c>
      <c r="AK79" s="141">
        <f t="shared" si="58"/>
        <v>20276.575721430141</v>
      </c>
      <c r="AL79" s="140">
        <f t="shared" si="59"/>
        <v>22529.708815595459</v>
      </c>
      <c r="AM79" s="141">
        <f t="shared" si="60"/>
        <v>21553.999991880239</v>
      </c>
      <c r="AN79" s="141">
        <f t="shared" si="61"/>
        <v>23949.080470977973</v>
      </c>
    </row>
    <row r="80" spans="2:40">
      <c r="B80" s="19">
        <v>430311</v>
      </c>
      <c r="C80" s="18" t="s">
        <v>86</v>
      </c>
      <c r="D80" s="16">
        <v>12750</v>
      </c>
      <c r="E80" s="17">
        <f t="shared" si="31"/>
        <v>13387.5</v>
      </c>
      <c r="F80" s="57">
        <f>E80*1.045</f>
        <v>13989.937499999998</v>
      </c>
      <c r="G80" s="57">
        <f t="shared" si="32"/>
        <v>14476.787324999998</v>
      </c>
      <c r="H80" s="57">
        <f t="shared" si="33"/>
        <v>16085.447932554</v>
      </c>
      <c r="I80" s="57">
        <f t="shared" si="34"/>
        <v>14867.660582774995</v>
      </c>
      <c r="J80" s="57">
        <f t="shared" si="34"/>
        <v>16519.755026732957</v>
      </c>
      <c r="K80" s="57">
        <f t="shared" si="35"/>
        <v>15224.484436761595</v>
      </c>
      <c r="L80" s="9">
        <f t="shared" si="35"/>
        <v>16916.22914737455</v>
      </c>
      <c r="M80" s="9">
        <f t="shared" si="36"/>
        <v>15635.545516554157</v>
      </c>
      <c r="N80" s="9">
        <f t="shared" si="36"/>
        <v>17372.96733435366</v>
      </c>
      <c r="O80" s="78">
        <f t="shared" si="37"/>
        <v>15979.527517918348</v>
      </c>
      <c r="P80" s="78">
        <f t="shared" si="37"/>
        <v>17755.172615709442</v>
      </c>
      <c r="Q80" s="1">
        <f t="shared" si="38"/>
        <v>16363.03617834839</v>
      </c>
      <c r="R80" s="78">
        <f t="shared" si="39"/>
        <v>18181.296758486467</v>
      </c>
      <c r="S80" s="1">
        <f t="shared" si="40"/>
        <v>16968.46851694728</v>
      </c>
      <c r="T80" s="78">
        <f t="shared" si="41"/>
        <v>18854.004738550466</v>
      </c>
      <c r="U80" s="1">
        <f t="shared" si="42"/>
        <v>17443.585635421805</v>
      </c>
      <c r="V80" s="99">
        <f t="shared" si="43"/>
        <v>19381.916871229878</v>
      </c>
      <c r="W80" s="78">
        <f t="shared" si="44"/>
        <v>17705.23941995313</v>
      </c>
      <c r="X80" s="78">
        <f t="shared" si="45"/>
        <v>19672.645624298326</v>
      </c>
      <c r="Y80" s="78">
        <f t="shared" si="46"/>
        <v>17988.523250672381</v>
      </c>
      <c r="Z80" s="78">
        <f t="shared" si="47"/>
        <v>19987.4079542871</v>
      </c>
      <c r="AA80" s="78">
        <f t="shared" si="48"/>
        <v>18330.305192435153</v>
      </c>
      <c r="AB80" s="78">
        <f t="shared" si="49"/>
        <v>20367.168705418553</v>
      </c>
      <c r="AC80" s="1">
        <f t="shared" si="50"/>
        <v>18678.580991091418</v>
      </c>
      <c r="AD80" s="78">
        <f t="shared" si="51"/>
        <v>20754.144910821502</v>
      </c>
      <c r="AE80" s="1">
        <f t="shared" si="52"/>
        <v>19070.831191904337</v>
      </c>
      <c r="AF80" s="78">
        <f t="shared" si="53"/>
        <v>21189.981953948751</v>
      </c>
      <c r="AG80" s="141">
        <f t="shared" si="54"/>
        <v>19318.751997399093</v>
      </c>
      <c r="AH80" s="140">
        <f t="shared" si="55"/>
        <v>21465.451719350083</v>
      </c>
      <c r="AI80" s="141">
        <f t="shared" si="56"/>
        <v>19705.127037347076</v>
      </c>
      <c r="AJ80" s="140">
        <f t="shared" si="57"/>
        <v>21894.760753737086</v>
      </c>
      <c r="AK80" s="141">
        <f t="shared" si="58"/>
        <v>20276.575721430141</v>
      </c>
      <c r="AL80" s="140">
        <f t="shared" si="59"/>
        <v>22529.708815595459</v>
      </c>
      <c r="AM80" s="141">
        <f t="shared" si="60"/>
        <v>21553.999991880239</v>
      </c>
      <c r="AN80" s="141">
        <f t="shared" si="61"/>
        <v>23949.080470977973</v>
      </c>
    </row>
    <row r="81" spans="2:40">
      <c r="B81" s="19">
        <v>430220</v>
      </c>
      <c r="C81" s="34" t="s">
        <v>87</v>
      </c>
      <c r="D81" s="16">
        <v>25500</v>
      </c>
      <c r="E81" s="17">
        <f t="shared" si="31"/>
        <v>26775</v>
      </c>
      <c r="F81" s="57">
        <f>E81*1.045</f>
        <v>27979.874999999996</v>
      </c>
      <c r="G81" s="57">
        <f t="shared" si="32"/>
        <v>28953.574649999995</v>
      </c>
      <c r="H81" s="57">
        <f t="shared" si="33"/>
        <v>32170.895865107999</v>
      </c>
      <c r="I81" s="57">
        <f t="shared" si="34"/>
        <v>29735.321165549991</v>
      </c>
      <c r="J81" s="57">
        <f t="shared" si="34"/>
        <v>33039.510053465914</v>
      </c>
      <c r="K81" s="57">
        <f t="shared" si="35"/>
        <v>30448.96887352319</v>
      </c>
      <c r="L81" s="9">
        <f t="shared" si="35"/>
        <v>33832.4582947491</v>
      </c>
      <c r="M81" s="9">
        <f t="shared" si="36"/>
        <v>31271.091033108314</v>
      </c>
      <c r="N81" s="9">
        <f t="shared" si="36"/>
        <v>34745.934668707319</v>
      </c>
      <c r="O81" s="78">
        <f t="shared" si="37"/>
        <v>31959.055035836696</v>
      </c>
      <c r="P81" s="78">
        <f t="shared" si="37"/>
        <v>35510.345231418883</v>
      </c>
      <c r="Q81" s="1">
        <f t="shared" si="38"/>
        <v>32726.072356696779</v>
      </c>
      <c r="R81" s="78">
        <f t="shared" si="39"/>
        <v>36362.593516972935</v>
      </c>
      <c r="S81" s="1">
        <f t="shared" si="40"/>
        <v>33936.937033894559</v>
      </c>
      <c r="T81" s="78">
        <f t="shared" si="41"/>
        <v>37708.009477100932</v>
      </c>
      <c r="U81" s="1">
        <f t="shared" si="42"/>
        <v>34887.17127084361</v>
      </c>
      <c r="V81" s="99">
        <f t="shared" si="43"/>
        <v>38763.833742459756</v>
      </c>
      <c r="W81" s="78">
        <f t="shared" si="44"/>
        <v>35410.47883990626</v>
      </c>
      <c r="X81" s="78">
        <f t="shared" si="45"/>
        <v>39345.291248596652</v>
      </c>
      <c r="Y81" s="78">
        <f t="shared" si="46"/>
        <v>35977.046501344761</v>
      </c>
      <c r="Z81" s="78">
        <f t="shared" si="47"/>
        <v>39974.815908574201</v>
      </c>
      <c r="AA81" s="78">
        <f t="shared" si="48"/>
        <v>36660.610384870306</v>
      </c>
      <c r="AB81" s="78">
        <f t="shared" si="49"/>
        <v>40734.337410837106</v>
      </c>
      <c r="AC81" s="1">
        <f t="shared" si="50"/>
        <v>37357.161982182835</v>
      </c>
      <c r="AD81" s="78">
        <f t="shared" si="51"/>
        <v>41508.289821643004</v>
      </c>
      <c r="AE81" s="1">
        <f t="shared" si="52"/>
        <v>38141.662383808674</v>
      </c>
      <c r="AF81" s="78">
        <f t="shared" si="53"/>
        <v>42379.963907897501</v>
      </c>
      <c r="AG81" s="141">
        <f t="shared" si="54"/>
        <v>38637.503994798186</v>
      </c>
      <c r="AH81" s="140">
        <f t="shared" si="55"/>
        <v>42930.903438700167</v>
      </c>
      <c r="AI81" s="141">
        <f t="shared" si="56"/>
        <v>39410.254074694152</v>
      </c>
      <c r="AJ81" s="140">
        <f t="shared" si="57"/>
        <v>43789.521507474172</v>
      </c>
      <c r="AK81" s="141">
        <f t="shared" si="58"/>
        <v>40553.151442860282</v>
      </c>
      <c r="AL81" s="140">
        <f t="shared" si="59"/>
        <v>45059.417631190918</v>
      </c>
      <c r="AM81" s="141">
        <f t="shared" si="60"/>
        <v>43107.999983760477</v>
      </c>
      <c r="AN81" s="141">
        <f t="shared" si="61"/>
        <v>47898.160941955946</v>
      </c>
    </row>
    <row r="82" spans="2:40">
      <c r="B82" s="155">
        <v>430221</v>
      </c>
      <c r="C82" s="35" t="s">
        <v>88</v>
      </c>
      <c r="D82" s="54">
        <v>38250</v>
      </c>
      <c r="E82" s="55">
        <f t="shared" si="31"/>
        <v>40162.5</v>
      </c>
      <c r="F82" s="75">
        <f>E82*1.045</f>
        <v>41969.8125</v>
      </c>
      <c r="G82" s="75">
        <f t="shared" si="32"/>
        <v>43430.361975</v>
      </c>
      <c r="H82" s="75">
        <f t="shared" si="33"/>
        <v>48256.343797662004</v>
      </c>
      <c r="I82" s="75">
        <f t="shared" si="34"/>
        <v>44602.981748324994</v>
      </c>
      <c r="J82" s="75">
        <f t="shared" si="34"/>
        <v>49559.265080198871</v>
      </c>
      <c r="K82" s="75">
        <f t="shared" si="35"/>
        <v>45673.453310284793</v>
      </c>
      <c r="L82" s="71">
        <f t="shared" si="35"/>
        <v>50748.687442123643</v>
      </c>
      <c r="M82" s="71">
        <f t="shared" si="36"/>
        <v>46906.636549662479</v>
      </c>
      <c r="N82" s="71">
        <f t="shared" si="36"/>
        <v>52118.902003060975</v>
      </c>
      <c r="O82" s="79">
        <f t="shared" si="37"/>
        <v>47938.582553755055</v>
      </c>
      <c r="P82" s="79">
        <f t="shared" si="37"/>
        <v>53265.517847128314</v>
      </c>
      <c r="Q82" s="100">
        <f t="shared" si="38"/>
        <v>49089.108535045176</v>
      </c>
      <c r="R82" s="79">
        <f t="shared" si="39"/>
        <v>54543.890275459395</v>
      </c>
      <c r="S82" s="100">
        <f t="shared" si="40"/>
        <v>50905.405550841846</v>
      </c>
      <c r="T82" s="79">
        <f t="shared" si="41"/>
        <v>56562.01421565139</v>
      </c>
      <c r="U82" s="100">
        <f t="shared" si="42"/>
        <v>52330.756906265422</v>
      </c>
      <c r="V82" s="119">
        <f t="shared" si="43"/>
        <v>58145.750613689634</v>
      </c>
      <c r="W82" s="79">
        <f t="shared" si="44"/>
        <v>53115.718259859401</v>
      </c>
      <c r="X82" s="79">
        <f t="shared" si="45"/>
        <v>59017.93687289497</v>
      </c>
      <c r="Y82" s="79">
        <f t="shared" si="46"/>
        <v>53965.569752017152</v>
      </c>
      <c r="Z82" s="79">
        <f t="shared" si="47"/>
        <v>59962.22386286129</v>
      </c>
      <c r="AA82" s="79">
        <f t="shared" si="48"/>
        <v>54990.915577305474</v>
      </c>
      <c r="AB82" s="79">
        <f t="shared" si="49"/>
        <v>61101.506116255652</v>
      </c>
      <c r="AC82" s="100">
        <f t="shared" si="50"/>
        <v>56035.742973274275</v>
      </c>
      <c r="AD82" s="79">
        <f t="shared" si="51"/>
        <v>62262.434732464506</v>
      </c>
      <c r="AE82" s="100">
        <f t="shared" si="52"/>
        <v>57212.49357571303</v>
      </c>
      <c r="AF82" s="79">
        <f t="shared" si="53"/>
        <v>63569.945861846252</v>
      </c>
      <c r="AG82" s="142">
        <f t="shared" si="54"/>
        <v>57956.255992197293</v>
      </c>
      <c r="AH82" s="174">
        <f t="shared" si="55"/>
        <v>64396.355158050246</v>
      </c>
      <c r="AI82" s="142">
        <f t="shared" si="56"/>
        <v>59115.381112041243</v>
      </c>
      <c r="AJ82" s="174">
        <f t="shared" si="57"/>
        <v>65684.28226121125</v>
      </c>
      <c r="AK82" s="142">
        <f t="shared" si="58"/>
        <v>60829.727164290431</v>
      </c>
      <c r="AL82" s="174">
        <f t="shared" si="59"/>
        <v>67589.126446786366</v>
      </c>
      <c r="AM82" s="142">
        <f t="shared" si="60"/>
        <v>64661.999975640727</v>
      </c>
      <c r="AN82" s="142">
        <f t="shared" si="61"/>
        <v>71847.241412933901</v>
      </c>
    </row>
    <row r="83" spans="2:40" ht="15" customHeight="1">
      <c r="B83" s="180" t="s">
        <v>89</v>
      </c>
      <c r="C83" s="181"/>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2"/>
      <c r="AJ83" s="182"/>
      <c r="AK83" s="180"/>
      <c r="AL83" s="183"/>
      <c r="AM83" s="183"/>
      <c r="AN83" s="181"/>
    </row>
    <row r="84" spans="2:40">
      <c r="B84" s="157">
        <v>79901</v>
      </c>
      <c r="C84" s="31" t="s">
        <v>90</v>
      </c>
      <c r="D84" s="126" t="s">
        <v>23</v>
      </c>
      <c r="E84" s="127" t="s">
        <v>23</v>
      </c>
      <c r="F84" s="98" t="s">
        <v>23</v>
      </c>
      <c r="G84" s="98" t="s">
        <v>23</v>
      </c>
      <c r="H84" s="98" t="s">
        <v>23</v>
      </c>
      <c r="I84" s="98" t="s">
        <v>23</v>
      </c>
      <c r="J84" s="98" t="s">
        <v>23</v>
      </c>
      <c r="K84" s="98" t="s">
        <v>23</v>
      </c>
      <c r="L84" s="98" t="s">
        <v>23</v>
      </c>
      <c r="M84" s="98" t="s">
        <v>23</v>
      </c>
      <c r="N84" s="128" t="s">
        <v>23</v>
      </c>
      <c r="O84" s="98" t="s">
        <v>23</v>
      </c>
      <c r="P84" s="98" t="s">
        <v>23</v>
      </c>
      <c r="Q84" s="98" t="s">
        <v>23</v>
      </c>
      <c r="R84" s="98" t="s">
        <v>23</v>
      </c>
      <c r="S84" s="128" t="s">
        <v>23</v>
      </c>
      <c r="T84" s="98" t="s">
        <v>23</v>
      </c>
      <c r="U84" s="128" t="s">
        <v>23</v>
      </c>
      <c r="V84" s="98" t="s">
        <v>23</v>
      </c>
      <c r="W84" s="128" t="s">
        <v>23</v>
      </c>
      <c r="X84" s="98" t="s">
        <v>23</v>
      </c>
      <c r="Y84" s="128" t="s">
        <v>23</v>
      </c>
      <c r="Z84" s="98" t="s">
        <v>23</v>
      </c>
      <c r="AA84" s="128" t="s">
        <v>23</v>
      </c>
      <c r="AB84" s="98" t="s">
        <v>23</v>
      </c>
      <c r="AC84" s="128" t="s">
        <v>23</v>
      </c>
      <c r="AD84" s="98" t="s">
        <v>23</v>
      </c>
      <c r="AE84" s="128" t="s">
        <v>23</v>
      </c>
      <c r="AF84" s="98" t="s">
        <v>23</v>
      </c>
      <c r="AG84" s="128" t="s">
        <v>23</v>
      </c>
      <c r="AH84" s="98" t="s">
        <v>23</v>
      </c>
      <c r="AI84" s="128" t="s">
        <v>23</v>
      </c>
      <c r="AJ84" s="98" t="s">
        <v>23</v>
      </c>
      <c r="AK84" s="98" t="s">
        <v>23</v>
      </c>
      <c r="AL84" s="128" t="s">
        <v>23</v>
      </c>
      <c r="AM84" s="128" t="s">
        <v>23</v>
      </c>
      <c r="AN84" s="128" t="s">
        <v>23</v>
      </c>
    </row>
    <row r="85" spans="2:40" ht="15" customHeight="1">
      <c r="B85" s="180" t="s">
        <v>91</v>
      </c>
      <c r="C85" s="181"/>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2"/>
      <c r="AH85" s="182"/>
      <c r="AI85" s="182"/>
      <c r="AJ85" s="182"/>
      <c r="AK85" s="180"/>
      <c r="AL85" s="183"/>
      <c r="AM85" s="183"/>
      <c r="AN85" s="181"/>
    </row>
    <row r="86" spans="2:40">
      <c r="B86" s="156">
        <v>200137</v>
      </c>
      <c r="C86" s="27" t="s">
        <v>92</v>
      </c>
      <c r="D86" s="112">
        <v>212500</v>
      </c>
      <c r="E86" s="118">
        <f t="shared" ref="E86:E89" si="62">D86*1.05</f>
        <v>223125</v>
      </c>
      <c r="F86" s="70">
        <f>E86*1.045</f>
        <v>233165.62499999997</v>
      </c>
      <c r="G86" s="70">
        <f t="shared" si="32"/>
        <v>241279.78874999995</v>
      </c>
      <c r="H86" s="70">
        <f t="shared" si="33"/>
        <v>268090.79887589999</v>
      </c>
      <c r="I86" s="70">
        <f t="shared" si="34"/>
        <v>247794.34304624994</v>
      </c>
      <c r="J86" s="70">
        <f t="shared" si="34"/>
        <v>275329.25044554926</v>
      </c>
      <c r="K86" s="70">
        <f t="shared" si="35"/>
        <v>253741.40727935993</v>
      </c>
      <c r="L86" s="58">
        <f t="shared" si="35"/>
        <v>281937.15245624247</v>
      </c>
      <c r="M86" s="58">
        <f t="shared" si="36"/>
        <v>260592.42527590264</v>
      </c>
      <c r="N86" s="58">
        <f t="shared" si="36"/>
        <v>289549.45557256101</v>
      </c>
      <c r="O86" s="80">
        <f t="shared" si="37"/>
        <v>266325.45863197249</v>
      </c>
      <c r="P86" s="80">
        <f t="shared" si="37"/>
        <v>295919.54359515733</v>
      </c>
      <c r="Q86" s="101">
        <f t="shared" si="38"/>
        <v>272717.26963913982</v>
      </c>
      <c r="R86" s="80">
        <f t="shared" si="39"/>
        <v>303021.61264144111</v>
      </c>
      <c r="S86" s="101">
        <f t="shared" si="40"/>
        <v>282807.80861578794</v>
      </c>
      <c r="T86" s="80">
        <f t="shared" si="41"/>
        <v>314233.41230917443</v>
      </c>
      <c r="U86" s="101">
        <f t="shared" si="42"/>
        <v>290726.42725703004</v>
      </c>
      <c r="V86" s="114">
        <f t="shared" si="43"/>
        <v>323031.94785383134</v>
      </c>
      <c r="W86" s="80">
        <f t="shared" si="44"/>
        <v>295087.32366588549</v>
      </c>
      <c r="X86" s="80">
        <f t="shared" si="45"/>
        <v>327877.42707163875</v>
      </c>
      <c r="Y86" s="80">
        <f t="shared" si="46"/>
        <v>299808.72084453964</v>
      </c>
      <c r="Z86" s="80">
        <f t="shared" si="47"/>
        <v>333123.46590478497</v>
      </c>
      <c r="AA86" s="80">
        <f t="shared" si="48"/>
        <v>305505.08654058585</v>
      </c>
      <c r="AB86" s="80">
        <f t="shared" si="49"/>
        <v>339452.81175697583</v>
      </c>
      <c r="AC86" s="101">
        <f t="shared" si="50"/>
        <v>311309.68318485696</v>
      </c>
      <c r="AD86" s="80">
        <f t="shared" si="51"/>
        <v>345902.41518035834</v>
      </c>
      <c r="AE86" s="101">
        <f t="shared" si="52"/>
        <v>317847.1865317389</v>
      </c>
      <c r="AF86" s="80">
        <f t="shared" si="53"/>
        <v>353166.36589914584</v>
      </c>
      <c r="AG86" s="143">
        <f t="shared" si="54"/>
        <v>321979.19995665149</v>
      </c>
      <c r="AH86" s="152">
        <f t="shared" si="55"/>
        <v>357757.52865583467</v>
      </c>
      <c r="AI86" s="143">
        <f t="shared" si="56"/>
        <v>328418.78395578451</v>
      </c>
      <c r="AJ86" s="152">
        <f t="shared" si="57"/>
        <v>364912.6792289514</v>
      </c>
      <c r="AK86" s="143">
        <f t="shared" si="58"/>
        <v>337942.92869050225</v>
      </c>
      <c r="AL86" s="152">
        <f t="shared" si="59"/>
        <v>375495.14692659094</v>
      </c>
      <c r="AM86" s="143">
        <f t="shared" si="60"/>
        <v>359233.33319800388</v>
      </c>
      <c r="AN86" s="143">
        <f t="shared" si="61"/>
        <v>399151.34118296613</v>
      </c>
    </row>
    <row r="87" spans="2:40">
      <c r="B87" s="19">
        <v>200138</v>
      </c>
      <c r="C87" s="18" t="s">
        <v>93</v>
      </c>
      <c r="D87" s="16">
        <v>297500</v>
      </c>
      <c r="E87" s="17">
        <f t="shared" si="62"/>
        <v>312375</v>
      </c>
      <c r="F87" s="57">
        <f>E87*1.045</f>
        <v>326431.875</v>
      </c>
      <c r="G87" s="57">
        <f t="shared" si="32"/>
        <v>337791.70425000001</v>
      </c>
      <c r="H87" s="57">
        <f t="shared" si="33"/>
        <v>375327.11842626007</v>
      </c>
      <c r="I87" s="57">
        <f t="shared" si="34"/>
        <v>346912.08026474999</v>
      </c>
      <c r="J87" s="57">
        <f t="shared" si="34"/>
        <v>385460.95062376908</v>
      </c>
      <c r="K87" s="57">
        <f t="shared" si="35"/>
        <v>355237.97019110399</v>
      </c>
      <c r="L87" s="9">
        <f t="shared" si="35"/>
        <v>394712.01343873952</v>
      </c>
      <c r="M87" s="9">
        <f t="shared" si="36"/>
        <v>364829.39538626379</v>
      </c>
      <c r="N87" s="9">
        <f t="shared" si="36"/>
        <v>405369.23780158546</v>
      </c>
      <c r="O87" s="78">
        <f t="shared" si="37"/>
        <v>372855.64208476158</v>
      </c>
      <c r="P87" s="78">
        <f t="shared" si="37"/>
        <v>414287.36103322037</v>
      </c>
      <c r="Q87" s="1">
        <f t="shared" si="38"/>
        <v>381804.17749479588</v>
      </c>
      <c r="R87" s="78">
        <f t="shared" si="39"/>
        <v>424230.25769801764</v>
      </c>
      <c r="S87" s="1">
        <f t="shared" si="40"/>
        <v>395930.9320621033</v>
      </c>
      <c r="T87" s="78">
        <f t="shared" si="41"/>
        <v>439926.77723284427</v>
      </c>
      <c r="U87" s="1">
        <f t="shared" si="42"/>
        <v>407016.99815984222</v>
      </c>
      <c r="V87" s="99">
        <f t="shared" si="43"/>
        <v>452244.72699536389</v>
      </c>
      <c r="W87" s="78">
        <f t="shared" si="44"/>
        <v>413122.2531322398</v>
      </c>
      <c r="X87" s="78">
        <f t="shared" si="45"/>
        <v>459028.39790029428</v>
      </c>
      <c r="Y87" s="78">
        <f t="shared" si="46"/>
        <v>419732.20918235567</v>
      </c>
      <c r="Z87" s="78">
        <f t="shared" si="47"/>
        <v>466372.85226669902</v>
      </c>
      <c r="AA87" s="78">
        <f t="shared" si="48"/>
        <v>427707.12115682039</v>
      </c>
      <c r="AB87" s="78">
        <f t="shared" si="49"/>
        <v>475233.93645976624</v>
      </c>
      <c r="AC87" s="1">
        <f t="shared" si="50"/>
        <v>435833.55645879993</v>
      </c>
      <c r="AD87" s="78">
        <f t="shared" si="51"/>
        <v>484263.38125250174</v>
      </c>
      <c r="AE87" s="1">
        <f t="shared" si="52"/>
        <v>444986.06114443467</v>
      </c>
      <c r="AF87" s="78">
        <f t="shared" si="53"/>
        <v>494432.91225880425</v>
      </c>
      <c r="AG87" s="141">
        <f t="shared" si="54"/>
        <v>450770.87993931229</v>
      </c>
      <c r="AH87" s="140">
        <f t="shared" si="55"/>
        <v>500860.54011816863</v>
      </c>
      <c r="AI87" s="141">
        <f t="shared" si="56"/>
        <v>459786.29753809853</v>
      </c>
      <c r="AJ87" s="140">
        <f t="shared" si="57"/>
        <v>510877.75092053204</v>
      </c>
      <c r="AK87" s="141">
        <f t="shared" si="58"/>
        <v>473120.10016670334</v>
      </c>
      <c r="AL87" s="140">
        <f t="shared" si="59"/>
        <v>525693.20569722739</v>
      </c>
      <c r="AM87" s="141">
        <f t="shared" si="60"/>
        <v>502926.66647720564</v>
      </c>
      <c r="AN87" s="141">
        <f t="shared" si="61"/>
        <v>558811.8776561527</v>
      </c>
    </row>
    <row r="88" spans="2:40">
      <c r="B88" s="19">
        <v>200139</v>
      </c>
      <c r="C88" s="18" t="s">
        <v>94</v>
      </c>
      <c r="D88" s="16">
        <v>212500</v>
      </c>
      <c r="E88" s="17">
        <f t="shared" si="62"/>
        <v>223125</v>
      </c>
      <c r="F88" s="57">
        <f>E88*1.045</f>
        <v>233165.62499999997</v>
      </c>
      <c r="G88" s="57">
        <f t="shared" si="32"/>
        <v>241279.78874999995</v>
      </c>
      <c r="H88" s="57">
        <f t="shared" si="33"/>
        <v>268090.79887589999</v>
      </c>
      <c r="I88" s="57">
        <f t="shared" si="34"/>
        <v>247794.34304624994</v>
      </c>
      <c r="J88" s="57">
        <f t="shared" si="34"/>
        <v>275329.25044554926</v>
      </c>
      <c r="K88" s="57">
        <f t="shared" si="35"/>
        <v>253741.40727935993</v>
      </c>
      <c r="L88" s="9">
        <f t="shared" si="35"/>
        <v>281937.15245624247</v>
      </c>
      <c r="M88" s="9">
        <f t="shared" si="36"/>
        <v>260592.42527590264</v>
      </c>
      <c r="N88" s="9">
        <f t="shared" si="36"/>
        <v>289549.45557256101</v>
      </c>
      <c r="O88" s="78">
        <f t="shared" si="37"/>
        <v>266325.45863197249</v>
      </c>
      <c r="P88" s="78">
        <f t="shared" si="37"/>
        <v>295919.54359515733</v>
      </c>
      <c r="Q88" s="1">
        <f t="shared" si="38"/>
        <v>272717.26963913982</v>
      </c>
      <c r="R88" s="78">
        <f t="shared" si="39"/>
        <v>303021.61264144111</v>
      </c>
      <c r="S88" s="1">
        <f t="shared" si="40"/>
        <v>282807.80861578794</v>
      </c>
      <c r="T88" s="78">
        <f t="shared" si="41"/>
        <v>314233.41230917443</v>
      </c>
      <c r="U88" s="1">
        <f t="shared" si="42"/>
        <v>290726.42725703004</v>
      </c>
      <c r="V88" s="99">
        <f t="shared" si="43"/>
        <v>323031.94785383134</v>
      </c>
      <c r="W88" s="78">
        <f t="shared" si="44"/>
        <v>295087.32366588549</v>
      </c>
      <c r="X88" s="78">
        <f t="shared" si="45"/>
        <v>327877.42707163875</v>
      </c>
      <c r="Y88" s="78">
        <f t="shared" si="46"/>
        <v>299808.72084453964</v>
      </c>
      <c r="Z88" s="78">
        <f t="shared" si="47"/>
        <v>333123.46590478497</v>
      </c>
      <c r="AA88" s="78">
        <f t="shared" si="48"/>
        <v>305505.08654058585</v>
      </c>
      <c r="AB88" s="78">
        <f t="shared" si="49"/>
        <v>339452.81175697583</v>
      </c>
      <c r="AC88" s="1">
        <f t="shared" si="50"/>
        <v>311309.68318485696</v>
      </c>
      <c r="AD88" s="78">
        <f t="shared" si="51"/>
        <v>345902.41518035834</v>
      </c>
      <c r="AE88" s="1">
        <f t="shared" si="52"/>
        <v>317847.1865317389</v>
      </c>
      <c r="AF88" s="78">
        <f t="shared" si="53"/>
        <v>353166.36589914584</v>
      </c>
      <c r="AG88" s="141">
        <f t="shared" si="54"/>
        <v>321979.19995665149</v>
      </c>
      <c r="AH88" s="140">
        <f t="shared" si="55"/>
        <v>357757.52865583467</v>
      </c>
      <c r="AI88" s="141">
        <f t="shared" si="56"/>
        <v>328418.78395578451</v>
      </c>
      <c r="AJ88" s="140">
        <f t="shared" si="57"/>
        <v>364912.6792289514</v>
      </c>
      <c r="AK88" s="141">
        <f t="shared" si="58"/>
        <v>337942.92869050225</v>
      </c>
      <c r="AL88" s="140">
        <f t="shared" si="59"/>
        <v>375495.14692659094</v>
      </c>
      <c r="AM88" s="141">
        <f t="shared" si="60"/>
        <v>359233.33319800388</v>
      </c>
      <c r="AN88" s="141">
        <f t="shared" si="61"/>
        <v>399151.34118296613</v>
      </c>
    </row>
    <row r="89" spans="2:40">
      <c r="B89" s="19">
        <v>200140</v>
      </c>
      <c r="C89" s="18" t="s">
        <v>95</v>
      </c>
      <c r="D89" s="16">
        <v>297500</v>
      </c>
      <c r="E89" s="17">
        <f t="shared" si="62"/>
        <v>312375</v>
      </c>
      <c r="F89" s="57">
        <f>E89*1.045</f>
        <v>326431.875</v>
      </c>
      <c r="G89" s="57">
        <f t="shared" si="32"/>
        <v>337791.70425000001</v>
      </c>
      <c r="H89" s="57">
        <f t="shared" si="33"/>
        <v>375327.11842626007</v>
      </c>
      <c r="I89" s="57">
        <f t="shared" si="34"/>
        <v>346912.08026474999</v>
      </c>
      <c r="J89" s="57">
        <f t="shared" si="34"/>
        <v>385460.95062376908</v>
      </c>
      <c r="K89" s="57">
        <f t="shared" si="35"/>
        <v>355237.97019110399</v>
      </c>
      <c r="L89" s="9">
        <f t="shared" si="35"/>
        <v>394712.01343873952</v>
      </c>
      <c r="M89" s="9">
        <f t="shared" si="36"/>
        <v>364829.39538626379</v>
      </c>
      <c r="N89" s="71">
        <f t="shared" si="36"/>
        <v>405369.23780158546</v>
      </c>
      <c r="O89" s="79">
        <f t="shared" si="37"/>
        <v>372855.64208476158</v>
      </c>
      <c r="P89" s="78">
        <f t="shared" si="37"/>
        <v>414287.36103322037</v>
      </c>
      <c r="Q89" s="1">
        <f t="shared" si="38"/>
        <v>381804.17749479588</v>
      </c>
      <c r="R89" s="79">
        <f t="shared" si="39"/>
        <v>424230.25769801764</v>
      </c>
      <c r="S89" s="1">
        <f t="shared" si="40"/>
        <v>395930.9320621033</v>
      </c>
      <c r="T89" s="78">
        <f t="shared" si="41"/>
        <v>439926.77723284427</v>
      </c>
      <c r="U89" s="1">
        <f t="shared" si="42"/>
        <v>407016.99815984222</v>
      </c>
      <c r="V89" s="99">
        <f t="shared" si="43"/>
        <v>452244.72699536389</v>
      </c>
      <c r="W89" s="79">
        <f t="shared" si="44"/>
        <v>413122.2531322398</v>
      </c>
      <c r="X89" s="79">
        <f t="shared" si="45"/>
        <v>459028.39790029428</v>
      </c>
      <c r="Y89" s="79">
        <f t="shared" si="46"/>
        <v>419732.20918235567</v>
      </c>
      <c r="Z89" s="79">
        <f t="shared" si="47"/>
        <v>466372.85226669902</v>
      </c>
      <c r="AA89" s="79">
        <f t="shared" si="48"/>
        <v>427707.12115682039</v>
      </c>
      <c r="AB89" s="79">
        <f t="shared" si="49"/>
        <v>475233.93645976624</v>
      </c>
      <c r="AC89" s="100">
        <f t="shared" si="50"/>
        <v>435833.55645879993</v>
      </c>
      <c r="AD89" s="79">
        <f t="shared" si="51"/>
        <v>484263.38125250174</v>
      </c>
      <c r="AE89" s="100">
        <f t="shared" si="52"/>
        <v>444986.06114443467</v>
      </c>
      <c r="AF89" s="79">
        <f t="shared" si="53"/>
        <v>494432.91225880425</v>
      </c>
      <c r="AG89" s="142">
        <f t="shared" si="54"/>
        <v>450770.87993931229</v>
      </c>
      <c r="AH89" s="174">
        <f t="shared" si="55"/>
        <v>500860.54011816863</v>
      </c>
      <c r="AI89" s="142">
        <f t="shared" si="56"/>
        <v>459786.29753809853</v>
      </c>
      <c r="AJ89" s="174">
        <f t="shared" si="57"/>
        <v>510877.75092053204</v>
      </c>
      <c r="AK89" s="142">
        <f t="shared" si="58"/>
        <v>473120.10016670334</v>
      </c>
      <c r="AL89" s="174">
        <f t="shared" si="59"/>
        <v>525693.20569722739</v>
      </c>
      <c r="AM89" s="142">
        <f t="shared" si="60"/>
        <v>502926.66647720564</v>
      </c>
      <c r="AN89" s="142">
        <f t="shared" si="61"/>
        <v>558811.8776561527</v>
      </c>
    </row>
    <row r="90" spans="2:40">
      <c r="B90" s="19">
        <v>200142</v>
      </c>
      <c r="C90" s="18" t="s">
        <v>96</v>
      </c>
      <c r="D90" s="23" t="s">
        <v>97</v>
      </c>
      <c r="E90" s="28" t="s">
        <v>97</v>
      </c>
      <c r="F90" s="3" t="s">
        <v>97</v>
      </c>
      <c r="G90" s="3" t="s">
        <v>97</v>
      </c>
      <c r="H90" s="3" t="s">
        <v>97</v>
      </c>
      <c r="I90" s="3" t="s">
        <v>97</v>
      </c>
      <c r="J90" s="3" t="s">
        <v>97</v>
      </c>
      <c r="K90" s="3" t="s">
        <v>97</v>
      </c>
      <c r="L90" s="3" t="s">
        <v>97</v>
      </c>
      <c r="M90" s="3" t="s">
        <v>97</v>
      </c>
      <c r="N90" s="29" t="s">
        <v>97</v>
      </c>
      <c r="O90" s="3" t="s">
        <v>97</v>
      </c>
      <c r="P90" s="3" t="s">
        <v>97</v>
      </c>
      <c r="Q90" s="3" t="s">
        <v>97</v>
      </c>
      <c r="R90" s="3" t="s">
        <v>97</v>
      </c>
      <c r="S90" s="29" t="s">
        <v>97</v>
      </c>
      <c r="T90" s="3" t="s">
        <v>97</v>
      </c>
      <c r="U90" s="29" t="s">
        <v>97</v>
      </c>
      <c r="V90" s="3" t="s">
        <v>97</v>
      </c>
      <c r="W90" s="29" t="s">
        <v>97</v>
      </c>
      <c r="X90" s="3" t="s">
        <v>97</v>
      </c>
      <c r="Y90" s="29" t="s">
        <v>97</v>
      </c>
      <c r="Z90" s="3" t="s">
        <v>97</v>
      </c>
      <c r="AA90" s="29" t="s">
        <v>97</v>
      </c>
      <c r="AB90" s="3" t="s">
        <v>97</v>
      </c>
      <c r="AC90" s="29" t="s">
        <v>97</v>
      </c>
      <c r="AD90" s="3" t="s">
        <v>97</v>
      </c>
      <c r="AE90" s="29" t="s">
        <v>97</v>
      </c>
      <c r="AF90" s="3" t="s">
        <v>97</v>
      </c>
      <c r="AG90" s="29" t="s">
        <v>97</v>
      </c>
      <c r="AH90" s="3" t="s">
        <v>97</v>
      </c>
      <c r="AI90" s="29" t="s">
        <v>97</v>
      </c>
      <c r="AJ90" s="3" t="s">
        <v>97</v>
      </c>
      <c r="AK90" s="3" t="s">
        <v>97</v>
      </c>
      <c r="AL90" s="29" t="s">
        <v>97</v>
      </c>
      <c r="AM90" s="29" t="s">
        <v>97</v>
      </c>
      <c r="AN90" s="29" t="s">
        <v>97</v>
      </c>
    </row>
    <row r="91" spans="2:40" ht="32.25" customHeight="1">
      <c r="B91" s="19">
        <v>208008</v>
      </c>
      <c r="C91" s="18" t="s">
        <v>98</v>
      </c>
      <c r="D91" s="16">
        <v>510000</v>
      </c>
      <c r="E91" s="17">
        <f t="shared" ref="E91:E92" si="63">D91*1.05</f>
        <v>535500</v>
      </c>
      <c r="F91" s="57">
        <f>E91*1.045</f>
        <v>559597.5</v>
      </c>
      <c r="G91" s="57">
        <f t="shared" si="32"/>
        <v>579071.49300000002</v>
      </c>
      <c r="H91" s="57">
        <f t="shared" si="33"/>
        <v>643417.91730216006</v>
      </c>
      <c r="I91" s="57">
        <f t="shared" si="34"/>
        <v>594706.42331099999</v>
      </c>
      <c r="J91" s="57">
        <f t="shared" si="34"/>
        <v>660790.20106931834</v>
      </c>
      <c r="K91" s="57">
        <f t="shared" si="35"/>
        <v>608979.37747046398</v>
      </c>
      <c r="L91" s="9">
        <f t="shared" si="35"/>
        <v>676649.16589498194</v>
      </c>
      <c r="M91" s="9">
        <f t="shared" si="36"/>
        <v>625421.82066216646</v>
      </c>
      <c r="N91" s="58"/>
      <c r="O91" s="78">
        <v>295000</v>
      </c>
      <c r="P91" s="78"/>
      <c r="Q91" s="1">
        <f t="shared" si="38"/>
        <v>302080</v>
      </c>
      <c r="R91" s="80"/>
      <c r="S91" s="1">
        <f t="shared" si="40"/>
        <v>313256.95999999996</v>
      </c>
      <c r="T91" s="78"/>
      <c r="U91" s="1">
        <f t="shared" si="42"/>
        <v>322028.15487999999</v>
      </c>
      <c r="V91" s="99"/>
      <c r="W91" s="80">
        <f t="shared" si="44"/>
        <v>326858.57720319997</v>
      </c>
      <c r="X91" s="80"/>
      <c r="Y91" s="80">
        <f t="shared" si="46"/>
        <v>332088.3144384512</v>
      </c>
      <c r="Z91" s="80"/>
      <c r="AA91" s="80">
        <f t="shared" si="48"/>
        <v>338397.99241278175</v>
      </c>
      <c r="AB91" s="80"/>
      <c r="AC91" s="101">
        <f t="shared" si="50"/>
        <v>344827.55426862458</v>
      </c>
      <c r="AD91" s="80"/>
      <c r="AE91" s="101">
        <f t="shared" si="52"/>
        <v>352068.93290826568</v>
      </c>
      <c r="AF91" s="80"/>
      <c r="AG91" s="143">
        <f t="shared" si="54"/>
        <v>356645.82903607312</v>
      </c>
      <c r="AH91" s="152"/>
      <c r="AI91" s="143">
        <f t="shared" si="56"/>
        <v>363778.74561679456</v>
      </c>
      <c r="AJ91" s="152"/>
      <c r="AK91" s="143">
        <f t="shared" si="58"/>
        <v>374328.3292396816</v>
      </c>
      <c r="AL91" s="152"/>
      <c r="AM91" s="143">
        <f t="shared" si="60"/>
        <v>397911.01398178149</v>
      </c>
      <c r="AN91" s="143"/>
    </row>
    <row r="92" spans="2:40" ht="34.5" customHeight="1">
      <c r="B92" s="19">
        <v>208009</v>
      </c>
      <c r="C92" s="18" t="s">
        <v>99</v>
      </c>
      <c r="D92" s="16">
        <v>586500</v>
      </c>
      <c r="E92" s="17">
        <f t="shared" si="63"/>
        <v>615825</v>
      </c>
      <c r="F92" s="57">
        <f>E92*1.045</f>
        <v>643537.125</v>
      </c>
      <c r="G92" s="57">
        <f t="shared" si="32"/>
        <v>665932.21694999991</v>
      </c>
      <c r="H92" s="57">
        <f t="shared" si="33"/>
        <v>739930.60489748395</v>
      </c>
      <c r="I92" s="57">
        <f t="shared" si="34"/>
        <v>683912.38680764986</v>
      </c>
      <c r="J92" s="57">
        <f t="shared" si="34"/>
        <v>759908.73122971598</v>
      </c>
      <c r="K92" s="57">
        <f t="shared" si="35"/>
        <v>700326.28409103351</v>
      </c>
      <c r="L92" s="9">
        <f t="shared" si="35"/>
        <v>778146.54077922914</v>
      </c>
      <c r="M92" s="9">
        <f t="shared" si="36"/>
        <v>719235.09376149136</v>
      </c>
      <c r="N92" s="71"/>
      <c r="O92" s="78">
        <v>381000</v>
      </c>
      <c r="P92" s="78"/>
      <c r="Q92" s="1">
        <f t="shared" si="38"/>
        <v>390144</v>
      </c>
      <c r="R92" s="79"/>
      <c r="S92" s="1">
        <f t="shared" si="40"/>
        <v>404579.32799999998</v>
      </c>
      <c r="T92" s="78"/>
      <c r="U92" s="1">
        <f t="shared" si="42"/>
        <v>415907.549184</v>
      </c>
      <c r="V92" s="99"/>
      <c r="W92" s="79">
        <f t="shared" si="44"/>
        <v>422146.16242175997</v>
      </c>
      <c r="X92" s="79"/>
      <c r="Y92" s="79">
        <f t="shared" si="46"/>
        <v>428900.50102050812</v>
      </c>
      <c r="Z92" s="79"/>
      <c r="AA92" s="78">
        <f t="shared" si="48"/>
        <v>437049.61053989775</v>
      </c>
      <c r="AB92" s="79"/>
      <c r="AC92" s="100">
        <f t="shared" si="50"/>
        <v>445353.5531401558</v>
      </c>
      <c r="AD92" s="79"/>
      <c r="AE92" s="100">
        <f t="shared" si="52"/>
        <v>454705.97775609902</v>
      </c>
      <c r="AF92" s="79"/>
      <c r="AG92" s="142">
        <f t="shared" si="54"/>
        <v>460617.15546692826</v>
      </c>
      <c r="AH92" s="174"/>
      <c r="AI92" s="142">
        <f t="shared" si="56"/>
        <v>469829.49857626687</v>
      </c>
      <c r="AJ92" s="174"/>
      <c r="AK92" s="142">
        <f t="shared" si="58"/>
        <v>483454.55403497856</v>
      </c>
      <c r="AL92" s="174"/>
      <c r="AM92" s="142">
        <f t="shared" si="60"/>
        <v>513912.19093918218</v>
      </c>
      <c r="AN92" s="142"/>
    </row>
    <row r="93" spans="2:40">
      <c r="B93" s="19">
        <v>208007</v>
      </c>
      <c r="C93" s="18" t="s">
        <v>100</v>
      </c>
      <c r="D93" s="23" t="s">
        <v>101</v>
      </c>
      <c r="E93" s="28" t="s">
        <v>101</v>
      </c>
      <c r="F93" s="3" t="s">
        <v>101</v>
      </c>
      <c r="G93" s="3" t="s">
        <v>101</v>
      </c>
      <c r="H93" s="3" t="s">
        <v>101</v>
      </c>
      <c r="I93" s="3" t="s">
        <v>101</v>
      </c>
      <c r="J93" s="3" t="s">
        <v>101</v>
      </c>
      <c r="K93" s="3" t="s">
        <v>101</v>
      </c>
      <c r="L93" s="3" t="s">
        <v>101</v>
      </c>
      <c r="M93" s="3" t="s">
        <v>101</v>
      </c>
      <c r="N93" s="29" t="s">
        <v>101</v>
      </c>
      <c r="O93" s="3" t="s">
        <v>101</v>
      </c>
      <c r="P93" s="3" t="s">
        <v>101</v>
      </c>
      <c r="Q93" s="3" t="s">
        <v>101</v>
      </c>
      <c r="R93" s="3" t="s">
        <v>101</v>
      </c>
      <c r="S93" s="29" t="s">
        <v>101</v>
      </c>
      <c r="T93" s="3" t="s">
        <v>101</v>
      </c>
      <c r="U93" s="29" t="s">
        <v>101</v>
      </c>
      <c r="V93" s="3" t="s">
        <v>101</v>
      </c>
      <c r="W93" s="29" t="s">
        <v>101</v>
      </c>
      <c r="X93" s="3" t="s">
        <v>101</v>
      </c>
      <c r="Y93" s="29" t="s">
        <v>101</v>
      </c>
      <c r="Z93" s="3" t="s">
        <v>101</v>
      </c>
      <c r="AA93" s="3" t="s">
        <v>101</v>
      </c>
      <c r="AB93" s="3" t="s">
        <v>101</v>
      </c>
      <c r="AC93" s="29" t="s">
        <v>101</v>
      </c>
      <c r="AD93" s="3" t="s">
        <v>101</v>
      </c>
      <c r="AE93" s="29" t="s">
        <v>101</v>
      </c>
      <c r="AF93" s="3" t="s">
        <v>101</v>
      </c>
      <c r="AG93" s="29" t="s">
        <v>101</v>
      </c>
      <c r="AH93" s="3" t="s">
        <v>101</v>
      </c>
      <c r="AI93" s="29" t="s">
        <v>101</v>
      </c>
      <c r="AJ93" s="3" t="s">
        <v>101</v>
      </c>
      <c r="AK93" s="3" t="s">
        <v>101</v>
      </c>
      <c r="AL93" s="29" t="s">
        <v>101</v>
      </c>
      <c r="AM93" s="29" t="s">
        <v>101</v>
      </c>
      <c r="AN93" s="29" t="s">
        <v>101</v>
      </c>
    </row>
    <row r="94" spans="2:40">
      <c r="B94" s="19">
        <v>208022</v>
      </c>
      <c r="C94" s="18" t="s">
        <v>102</v>
      </c>
      <c r="D94" s="23" t="s">
        <v>101</v>
      </c>
      <c r="E94" s="28" t="s">
        <v>101</v>
      </c>
      <c r="F94" s="3" t="s">
        <v>101</v>
      </c>
      <c r="G94" s="3" t="s">
        <v>101</v>
      </c>
      <c r="H94" s="3" t="s">
        <v>101</v>
      </c>
      <c r="I94" s="3" t="s">
        <v>101</v>
      </c>
      <c r="J94" s="3" t="s">
        <v>101</v>
      </c>
      <c r="K94" s="3" t="s">
        <v>101</v>
      </c>
      <c r="L94" s="3" t="s">
        <v>101</v>
      </c>
      <c r="M94" s="3" t="s">
        <v>101</v>
      </c>
      <c r="N94" s="29" t="s">
        <v>101</v>
      </c>
      <c r="O94" s="3" t="s">
        <v>101</v>
      </c>
      <c r="P94" s="3" t="s">
        <v>101</v>
      </c>
      <c r="Q94" s="3" t="s">
        <v>101</v>
      </c>
      <c r="R94" s="3" t="s">
        <v>101</v>
      </c>
      <c r="S94" s="29" t="s">
        <v>101</v>
      </c>
      <c r="T94" s="3" t="s">
        <v>101</v>
      </c>
      <c r="U94" s="29" t="s">
        <v>101</v>
      </c>
      <c r="V94" s="3" t="s">
        <v>101</v>
      </c>
      <c r="W94" s="29" t="s">
        <v>101</v>
      </c>
      <c r="X94" s="3" t="s">
        <v>101</v>
      </c>
      <c r="Y94" s="29" t="s">
        <v>101</v>
      </c>
      <c r="Z94" s="3" t="s">
        <v>101</v>
      </c>
      <c r="AA94" s="3" t="s">
        <v>101</v>
      </c>
      <c r="AB94" s="3" t="s">
        <v>101</v>
      </c>
      <c r="AC94" s="29" t="s">
        <v>101</v>
      </c>
      <c r="AD94" s="3" t="s">
        <v>101</v>
      </c>
      <c r="AE94" s="29" t="s">
        <v>101</v>
      </c>
      <c r="AF94" s="3" t="s">
        <v>101</v>
      </c>
      <c r="AG94" s="29" t="s">
        <v>101</v>
      </c>
      <c r="AH94" s="3" t="s">
        <v>101</v>
      </c>
      <c r="AI94" s="29" t="s">
        <v>101</v>
      </c>
      <c r="AJ94" s="3" t="s">
        <v>101</v>
      </c>
      <c r="AK94" s="3" t="s">
        <v>101</v>
      </c>
      <c r="AL94" s="29" t="s">
        <v>101</v>
      </c>
      <c r="AM94" s="29" t="s">
        <v>101</v>
      </c>
      <c r="AN94" s="29" t="s">
        <v>101</v>
      </c>
    </row>
    <row r="95" spans="2:40">
      <c r="B95" s="19">
        <v>200146</v>
      </c>
      <c r="C95" s="18" t="s">
        <v>103</v>
      </c>
      <c r="D95" s="23" t="s">
        <v>101</v>
      </c>
      <c r="E95" s="28" t="s">
        <v>101</v>
      </c>
      <c r="F95" s="3" t="s">
        <v>101</v>
      </c>
      <c r="G95" s="3" t="s">
        <v>101</v>
      </c>
      <c r="H95" s="3" t="s">
        <v>101</v>
      </c>
      <c r="I95" s="3" t="s">
        <v>101</v>
      </c>
      <c r="J95" s="3" t="s">
        <v>101</v>
      </c>
      <c r="K95" s="3" t="s">
        <v>101</v>
      </c>
      <c r="L95" s="3" t="s">
        <v>101</v>
      </c>
      <c r="M95" s="3" t="s">
        <v>101</v>
      </c>
      <c r="N95" s="29" t="s">
        <v>101</v>
      </c>
      <c r="O95" s="3" t="s">
        <v>101</v>
      </c>
      <c r="P95" s="3" t="s">
        <v>101</v>
      </c>
      <c r="Q95" s="3" t="s">
        <v>101</v>
      </c>
      <c r="R95" s="3" t="s">
        <v>101</v>
      </c>
      <c r="S95" s="29" t="s">
        <v>101</v>
      </c>
      <c r="T95" s="3" t="s">
        <v>101</v>
      </c>
      <c r="U95" s="29" t="s">
        <v>101</v>
      </c>
      <c r="V95" s="3" t="s">
        <v>101</v>
      </c>
      <c r="W95" s="29" t="s">
        <v>101</v>
      </c>
      <c r="X95" s="3" t="s">
        <v>101</v>
      </c>
      <c r="Y95" s="29" t="s">
        <v>101</v>
      </c>
      <c r="Z95" s="3" t="s">
        <v>101</v>
      </c>
      <c r="AA95" s="3" t="s">
        <v>101</v>
      </c>
      <c r="AB95" s="125" t="s">
        <v>101</v>
      </c>
      <c r="AC95" s="29" t="s">
        <v>101</v>
      </c>
      <c r="AD95" s="3" t="s">
        <v>101</v>
      </c>
      <c r="AE95" s="29" t="s">
        <v>101</v>
      </c>
      <c r="AF95" s="3" t="s">
        <v>101</v>
      </c>
      <c r="AG95" s="29" t="s">
        <v>101</v>
      </c>
      <c r="AH95" s="3" t="s">
        <v>101</v>
      </c>
      <c r="AI95" s="29" t="s">
        <v>101</v>
      </c>
      <c r="AJ95" s="3" t="s">
        <v>101</v>
      </c>
      <c r="AK95" s="3" t="s">
        <v>101</v>
      </c>
      <c r="AL95" s="29" t="s">
        <v>101</v>
      </c>
      <c r="AM95" s="29" t="s">
        <v>101</v>
      </c>
      <c r="AN95" s="29" t="s">
        <v>101</v>
      </c>
    </row>
    <row r="96" spans="2:40">
      <c r="B96" s="155">
        <v>200128</v>
      </c>
      <c r="C96" s="25" t="s">
        <v>104</v>
      </c>
      <c r="D96" s="109" t="s">
        <v>101</v>
      </c>
      <c r="E96" s="115" t="s">
        <v>101</v>
      </c>
      <c r="F96" s="89" t="s">
        <v>101</v>
      </c>
      <c r="G96" s="89" t="s">
        <v>101</v>
      </c>
      <c r="H96" s="89" t="s">
        <v>101</v>
      </c>
      <c r="I96" s="89" t="s">
        <v>101</v>
      </c>
      <c r="J96" s="89" t="s">
        <v>101</v>
      </c>
      <c r="K96" s="89" t="s">
        <v>101</v>
      </c>
      <c r="L96" s="89" t="s">
        <v>101</v>
      </c>
      <c r="M96" s="89" t="s">
        <v>101</v>
      </c>
      <c r="N96" s="90" t="s">
        <v>101</v>
      </c>
      <c r="O96" s="89" t="s">
        <v>101</v>
      </c>
      <c r="P96" s="89" t="s">
        <v>101</v>
      </c>
      <c r="Q96" s="89" t="s">
        <v>101</v>
      </c>
      <c r="R96" s="89" t="s">
        <v>101</v>
      </c>
      <c r="S96" s="90" t="s">
        <v>101</v>
      </c>
      <c r="T96" s="89" t="s">
        <v>101</v>
      </c>
      <c r="U96" s="90" t="s">
        <v>101</v>
      </c>
      <c r="V96" s="89" t="s">
        <v>101</v>
      </c>
      <c r="W96" s="90" t="s">
        <v>101</v>
      </c>
      <c r="X96" s="89" t="s">
        <v>101</v>
      </c>
      <c r="Y96" s="90" t="s">
        <v>101</v>
      </c>
      <c r="Z96" s="89" t="s">
        <v>101</v>
      </c>
      <c r="AA96" s="89" t="s">
        <v>101</v>
      </c>
      <c r="AB96" s="89" t="s">
        <v>101</v>
      </c>
      <c r="AC96" s="90" t="s">
        <v>101</v>
      </c>
      <c r="AD96" s="89" t="s">
        <v>101</v>
      </c>
      <c r="AE96" s="90" t="s">
        <v>101</v>
      </c>
      <c r="AF96" s="89" t="s">
        <v>101</v>
      </c>
      <c r="AG96" s="90" t="s">
        <v>101</v>
      </c>
      <c r="AH96" s="89" t="s">
        <v>101</v>
      </c>
      <c r="AI96" s="90" t="s">
        <v>101</v>
      </c>
      <c r="AJ96" s="89" t="s">
        <v>101</v>
      </c>
      <c r="AK96" s="89" t="s">
        <v>101</v>
      </c>
      <c r="AL96" s="90" t="s">
        <v>101</v>
      </c>
      <c r="AM96" s="90" t="s">
        <v>101</v>
      </c>
      <c r="AN96" s="90" t="s">
        <v>101</v>
      </c>
    </row>
    <row r="97" spans="1:40" ht="15" customHeight="1">
      <c r="B97" s="180" t="s">
        <v>105</v>
      </c>
      <c r="C97" s="181"/>
      <c r="D97" s="182"/>
      <c r="E97" s="182"/>
      <c r="F97" s="182"/>
      <c r="G97" s="182"/>
      <c r="H97" s="182"/>
      <c r="I97" s="182"/>
      <c r="J97" s="182"/>
      <c r="K97" s="182"/>
      <c r="L97" s="182"/>
      <c r="M97" s="182"/>
      <c r="N97" s="182"/>
      <c r="O97" s="182"/>
      <c r="P97" s="182"/>
      <c r="Q97" s="182"/>
      <c r="R97" s="182"/>
      <c r="S97" s="182"/>
      <c r="T97" s="182"/>
      <c r="U97" s="182"/>
      <c r="V97" s="182"/>
      <c r="W97" s="182"/>
      <c r="X97" s="182"/>
      <c r="Y97" s="182"/>
      <c r="Z97" s="182"/>
      <c r="AA97" s="182"/>
      <c r="AB97" s="182"/>
      <c r="AC97" s="182"/>
      <c r="AD97" s="182"/>
      <c r="AE97" s="182"/>
      <c r="AF97" s="182"/>
      <c r="AG97" s="182"/>
      <c r="AH97" s="182"/>
      <c r="AI97" s="182"/>
      <c r="AJ97" s="182"/>
      <c r="AK97" s="180"/>
      <c r="AL97" s="183"/>
      <c r="AM97" s="183"/>
      <c r="AN97" s="181"/>
    </row>
    <row r="98" spans="1:40">
      <c r="A98" s="56">
        <v>220101</v>
      </c>
      <c r="B98" s="156">
        <v>220101</v>
      </c>
      <c r="C98" s="27" t="s">
        <v>106</v>
      </c>
      <c r="D98" s="112">
        <v>11900</v>
      </c>
      <c r="E98" s="118">
        <f t="shared" ref="E98:E109" si="64">D98*1.05</f>
        <v>12495</v>
      </c>
      <c r="F98" s="70">
        <f>E98*1.045</f>
        <v>13057.275</v>
      </c>
      <c r="G98" s="70">
        <f t="shared" si="32"/>
        <v>13511.668169999999</v>
      </c>
      <c r="H98" s="70">
        <f t="shared" si="33"/>
        <v>15013.0847370504</v>
      </c>
      <c r="I98" s="70">
        <f t="shared" si="34"/>
        <v>13876.483210589999</v>
      </c>
      <c r="J98" s="70">
        <f t="shared" si="34"/>
        <v>15418.438024950759</v>
      </c>
      <c r="K98" s="70">
        <f t="shared" si="35"/>
        <v>14209.518807644159</v>
      </c>
      <c r="L98" s="58">
        <f t="shared" si="35"/>
        <v>15788.480537549578</v>
      </c>
      <c r="M98" s="58">
        <f t="shared" si="36"/>
        <v>14593.17581545055</v>
      </c>
      <c r="N98" s="58">
        <f t="shared" si="36"/>
        <v>16214.769512063414</v>
      </c>
      <c r="O98" s="80">
        <f t="shared" si="37"/>
        <v>14914.225683390461</v>
      </c>
      <c r="P98" s="80">
        <f t="shared" si="37"/>
        <v>16571.49444132881</v>
      </c>
      <c r="Q98" s="101">
        <f t="shared" si="38"/>
        <v>15272.167099791832</v>
      </c>
      <c r="R98" s="80">
        <f t="shared" si="39"/>
        <v>16969.210307920701</v>
      </c>
      <c r="S98" s="101">
        <f t="shared" si="40"/>
        <v>15837.237282484128</v>
      </c>
      <c r="T98" s="80">
        <f t="shared" si="41"/>
        <v>17597.071089313766</v>
      </c>
      <c r="U98" s="101">
        <f t="shared" si="42"/>
        <v>16280.679926393685</v>
      </c>
      <c r="V98" s="114">
        <f t="shared" si="43"/>
        <v>18089.789079814553</v>
      </c>
      <c r="W98" s="80">
        <f t="shared" si="44"/>
        <v>16524.890125289588</v>
      </c>
      <c r="X98" s="80">
        <f t="shared" si="45"/>
        <v>18361.135916011768</v>
      </c>
      <c r="Y98" s="80">
        <f t="shared" si="46"/>
        <v>16789.288367294223</v>
      </c>
      <c r="Z98" s="80">
        <f t="shared" si="47"/>
        <v>18654.914090667957</v>
      </c>
      <c r="AA98" s="80">
        <f t="shared" si="48"/>
        <v>17108.284846272811</v>
      </c>
      <c r="AB98" s="80">
        <f t="shared" si="49"/>
        <v>19009.357458390645</v>
      </c>
      <c r="AC98" s="101">
        <f t="shared" si="50"/>
        <v>17433.342258351993</v>
      </c>
      <c r="AD98" s="80">
        <f t="shared" si="51"/>
        <v>19370.535250100063</v>
      </c>
      <c r="AE98" s="101">
        <f t="shared" si="52"/>
        <v>17799.442445777382</v>
      </c>
      <c r="AF98" s="80">
        <f t="shared" si="53"/>
        <v>19777.316490352165</v>
      </c>
      <c r="AG98" s="143">
        <f t="shared" si="54"/>
        <v>18030.835197572487</v>
      </c>
      <c r="AH98" s="152">
        <f t="shared" si="55"/>
        <v>20034.42160472674</v>
      </c>
      <c r="AI98" s="143">
        <f t="shared" si="56"/>
        <v>18391.451901523938</v>
      </c>
      <c r="AJ98" s="152">
        <f t="shared" si="57"/>
        <v>20435.110036821276</v>
      </c>
      <c r="AK98" s="143">
        <f t="shared" si="58"/>
        <v>18924.804006668131</v>
      </c>
      <c r="AL98" s="152">
        <f t="shared" si="59"/>
        <v>21027.728227889093</v>
      </c>
      <c r="AM98" s="143">
        <f t="shared" si="60"/>
        <v>20117.066659088221</v>
      </c>
      <c r="AN98" s="143">
        <f t="shared" si="61"/>
        <v>22352.475106246104</v>
      </c>
    </row>
    <row r="99" spans="1:40">
      <c r="B99" s="19">
        <v>225001</v>
      </c>
      <c r="C99" s="18" t="s">
        <v>107</v>
      </c>
      <c r="D99" s="16">
        <v>11900</v>
      </c>
      <c r="E99" s="17">
        <f t="shared" si="64"/>
        <v>12495</v>
      </c>
      <c r="F99" s="57">
        <f>E99*1.045</f>
        <v>13057.275</v>
      </c>
      <c r="G99" s="57">
        <f t="shared" si="32"/>
        <v>13511.668169999999</v>
      </c>
      <c r="H99" s="57">
        <f t="shared" si="33"/>
        <v>15013.0847370504</v>
      </c>
      <c r="I99" s="57">
        <f t="shared" si="34"/>
        <v>13876.483210589999</v>
      </c>
      <c r="J99" s="57">
        <f t="shared" si="34"/>
        <v>15418.438024950759</v>
      </c>
      <c r="K99" s="57">
        <f t="shared" si="35"/>
        <v>14209.518807644159</v>
      </c>
      <c r="L99" s="9">
        <f t="shared" si="35"/>
        <v>15788.480537549578</v>
      </c>
      <c r="M99" s="9">
        <f t="shared" si="36"/>
        <v>14593.17581545055</v>
      </c>
      <c r="N99" s="9">
        <f t="shared" si="36"/>
        <v>16214.769512063414</v>
      </c>
      <c r="O99" s="78">
        <f t="shared" si="37"/>
        <v>14914.225683390461</v>
      </c>
      <c r="P99" s="78">
        <f t="shared" si="37"/>
        <v>16571.49444132881</v>
      </c>
      <c r="Q99" s="1">
        <f t="shared" si="38"/>
        <v>15272.167099791832</v>
      </c>
      <c r="R99" s="78">
        <f t="shared" si="39"/>
        <v>16969.210307920701</v>
      </c>
      <c r="S99" s="1">
        <f t="shared" si="40"/>
        <v>15837.237282484128</v>
      </c>
      <c r="T99" s="78">
        <f t="shared" si="41"/>
        <v>17597.071089313766</v>
      </c>
      <c r="U99" s="1">
        <f t="shared" si="42"/>
        <v>16280.679926393685</v>
      </c>
      <c r="V99" s="99">
        <f t="shared" si="43"/>
        <v>18089.789079814553</v>
      </c>
      <c r="W99" s="78">
        <f t="shared" si="44"/>
        <v>16524.890125289588</v>
      </c>
      <c r="X99" s="78">
        <f t="shared" si="45"/>
        <v>18361.135916011768</v>
      </c>
      <c r="Y99" s="78">
        <f t="shared" si="46"/>
        <v>16789.288367294223</v>
      </c>
      <c r="Z99" s="78">
        <f t="shared" si="47"/>
        <v>18654.914090667957</v>
      </c>
      <c r="AA99" s="78">
        <f t="shared" si="48"/>
        <v>17108.284846272811</v>
      </c>
      <c r="AB99" s="78">
        <f t="shared" si="49"/>
        <v>19009.357458390645</v>
      </c>
      <c r="AC99" s="1">
        <f t="shared" si="50"/>
        <v>17433.342258351993</v>
      </c>
      <c r="AD99" s="78">
        <f t="shared" si="51"/>
        <v>19370.535250100063</v>
      </c>
      <c r="AE99" s="1">
        <f t="shared" si="52"/>
        <v>17799.442445777382</v>
      </c>
      <c r="AF99" s="78">
        <f t="shared" si="53"/>
        <v>19777.316490352165</v>
      </c>
      <c r="AG99" s="141">
        <f t="shared" si="54"/>
        <v>18030.835197572487</v>
      </c>
      <c r="AH99" s="140">
        <f t="shared" si="55"/>
        <v>20034.42160472674</v>
      </c>
      <c r="AI99" s="141">
        <f t="shared" si="56"/>
        <v>18391.451901523938</v>
      </c>
      <c r="AJ99" s="140">
        <f t="shared" si="57"/>
        <v>20435.110036821276</v>
      </c>
      <c r="AK99" s="141">
        <f t="shared" si="58"/>
        <v>18924.804006668131</v>
      </c>
      <c r="AL99" s="140">
        <f t="shared" si="59"/>
        <v>21027.728227889093</v>
      </c>
      <c r="AM99" s="141">
        <f t="shared" si="60"/>
        <v>20117.066659088221</v>
      </c>
      <c r="AN99" s="141">
        <f t="shared" si="61"/>
        <v>22352.475106246104</v>
      </c>
    </row>
    <row r="100" spans="1:40">
      <c r="A100" s="56">
        <v>110217</v>
      </c>
      <c r="B100" s="19">
        <v>110217</v>
      </c>
      <c r="C100" s="18" t="s">
        <v>108</v>
      </c>
      <c r="D100" s="16">
        <v>55250</v>
      </c>
      <c r="E100" s="17">
        <f t="shared" si="64"/>
        <v>58012.5</v>
      </c>
      <c r="F100" s="57">
        <f>E100*1.045</f>
        <v>60623.062499999993</v>
      </c>
      <c r="G100" s="57">
        <f t="shared" si="32"/>
        <v>62732.745074999992</v>
      </c>
      <c r="H100" s="57">
        <f t="shared" si="33"/>
        <v>69703.607707734001</v>
      </c>
      <c r="I100" s="57">
        <f t="shared" si="34"/>
        <v>64426.529192024987</v>
      </c>
      <c r="J100" s="57">
        <f t="shared" si="34"/>
        <v>71585.605115842816</v>
      </c>
      <c r="K100" s="57">
        <f t="shared" si="35"/>
        <v>65972.765892633586</v>
      </c>
      <c r="L100" s="9">
        <f t="shared" si="35"/>
        <v>73303.659638623052</v>
      </c>
      <c r="M100" s="9">
        <f t="shared" si="36"/>
        <v>67754.030571734693</v>
      </c>
      <c r="N100" s="9">
        <f t="shared" si="36"/>
        <v>75282.858448865867</v>
      </c>
      <c r="O100" s="78">
        <f t="shared" si="37"/>
        <v>69244.619244312853</v>
      </c>
      <c r="P100" s="78">
        <f t="shared" si="37"/>
        <v>76939.081334740913</v>
      </c>
      <c r="Q100" s="1">
        <f t="shared" si="38"/>
        <v>70906.490106176367</v>
      </c>
      <c r="R100" s="78">
        <f t="shared" si="39"/>
        <v>78785.619286774701</v>
      </c>
      <c r="S100" s="1">
        <f t="shared" si="40"/>
        <v>73530.030240104883</v>
      </c>
      <c r="T100" s="78">
        <f t="shared" si="41"/>
        <v>81700.687200385364</v>
      </c>
      <c r="U100" s="1">
        <f t="shared" si="42"/>
        <v>75588.871086827829</v>
      </c>
      <c r="V100" s="99">
        <f t="shared" si="43"/>
        <v>83988.306441996159</v>
      </c>
      <c r="W100" s="78">
        <f t="shared" si="44"/>
        <v>76722.704153130238</v>
      </c>
      <c r="X100" s="78">
        <f t="shared" si="45"/>
        <v>85248.131038626088</v>
      </c>
      <c r="Y100" s="78">
        <f t="shared" si="46"/>
        <v>77950.267419580327</v>
      </c>
      <c r="Z100" s="78">
        <f t="shared" si="47"/>
        <v>86612.101135244113</v>
      </c>
      <c r="AA100" s="78">
        <f t="shared" si="48"/>
        <v>79431.322500552342</v>
      </c>
      <c r="AB100" s="78">
        <f t="shared" si="49"/>
        <v>88257.731056813747</v>
      </c>
      <c r="AC100" s="1">
        <f t="shared" si="50"/>
        <v>80940.517628062822</v>
      </c>
      <c r="AD100" s="78">
        <f t="shared" si="51"/>
        <v>89934.627946893204</v>
      </c>
      <c r="AE100" s="1">
        <f t="shared" si="52"/>
        <v>82640.268498252131</v>
      </c>
      <c r="AF100" s="78">
        <f t="shared" si="53"/>
        <v>91823.255133777959</v>
      </c>
      <c r="AG100" s="141">
        <f t="shared" si="54"/>
        <v>83714.5919887294</v>
      </c>
      <c r="AH100" s="140">
        <f t="shared" si="55"/>
        <v>93016.95745051706</v>
      </c>
      <c r="AI100" s="141">
        <f t="shared" si="56"/>
        <v>85388.883828503996</v>
      </c>
      <c r="AJ100" s="140">
        <f t="shared" si="57"/>
        <v>94877.296599527399</v>
      </c>
      <c r="AK100" s="141">
        <f t="shared" si="58"/>
        <v>87865.161459530602</v>
      </c>
      <c r="AL100" s="140">
        <f t="shared" si="59"/>
        <v>97628.738200913678</v>
      </c>
      <c r="AM100" s="141">
        <f t="shared" si="60"/>
        <v>93400.666631481028</v>
      </c>
      <c r="AN100" s="141">
        <f t="shared" si="61"/>
        <v>103779.34870757123</v>
      </c>
    </row>
    <row r="101" spans="1:40">
      <c r="B101" s="19">
        <v>110230</v>
      </c>
      <c r="C101" s="18" t="s">
        <v>109</v>
      </c>
      <c r="D101" s="16">
        <v>55250</v>
      </c>
      <c r="E101" s="17">
        <f t="shared" si="64"/>
        <v>58012.5</v>
      </c>
      <c r="F101" s="57">
        <f>E101*1.045</f>
        <v>60623.062499999993</v>
      </c>
      <c r="G101" s="57">
        <f t="shared" si="32"/>
        <v>62732.745074999992</v>
      </c>
      <c r="H101" s="57">
        <f t="shared" si="33"/>
        <v>69703.607707734001</v>
      </c>
      <c r="I101" s="57">
        <f t="shared" si="34"/>
        <v>64426.529192024987</v>
      </c>
      <c r="J101" s="57">
        <f t="shared" si="34"/>
        <v>71585.605115842816</v>
      </c>
      <c r="K101" s="57">
        <f t="shared" si="35"/>
        <v>65972.765892633586</v>
      </c>
      <c r="L101" s="9">
        <f t="shared" si="35"/>
        <v>73303.659638623052</v>
      </c>
      <c r="M101" s="9">
        <f t="shared" si="36"/>
        <v>67754.030571734693</v>
      </c>
      <c r="N101" s="9">
        <f t="shared" si="36"/>
        <v>75282.858448865867</v>
      </c>
      <c r="O101" s="78">
        <f t="shared" si="37"/>
        <v>69244.619244312853</v>
      </c>
      <c r="P101" s="78">
        <f t="shared" si="37"/>
        <v>76939.081334740913</v>
      </c>
      <c r="Q101" s="1">
        <f t="shared" si="38"/>
        <v>70906.490106176367</v>
      </c>
      <c r="R101" s="78">
        <f t="shared" si="39"/>
        <v>78785.619286774701</v>
      </c>
      <c r="S101" s="1">
        <f t="shared" si="40"/>
        <v>73530.030240104883</v>
      </c>
      <c r="T101" s="78">
        <f t="shared" si="41"/>
        <v>81700.687200385364</v>
      </c>
      <c r="U101" s="1">
        <f t="shared" si="42"/>
        <v>75588.871086827829</v>
      </c>
      <c r="V101" s="99">
        <f t="shared" si="43"/>
        <v>83988.306441996159</v>
      </c>
      <c r="W101" s="78">
        <f t="shared" si="44"/>
        <v>76722.704153130238</v>
      </c>
      <c r="X101" s="78">
        <f t="shared" si="45"/>
        <v>85248.131038626088</v>
      </c>
      <c r="Y101" s="78">
        <f t="shared" si="46"/>
        <v>77950.267419580327</v>
      </c>
      <c r="Z101" s="78">
        <f t="shared" si="47"/>
        <v>86612.101135244113</v>
      </c>
      <c r="AA101" s="78">
        <f t="shared" si="48"/>
        <v>79431.322500552342</v>
      </c>
      <c r="AB101" s="78">
        <f t="shared" si="49"/>
        <v>88257.731056813747</v>
      </c>
      <c r="AC101" s="1">
        <f t="shared" si="50"/>
        <v>80940.517628062822</v>
      </c>
      <c r="AD101" s="78">
        <f t="shared" si="51"/>
        <v>89934.627946893204</v>
      </c>
      <c r="AE101" s="1">
        <f t="shared" si="52"/>
        <v>82640.268498252131</v>
      </c>
      <c r="AF101" s="78">
        <f t="shared" si="53"/>
        <v>91823.255133777959</v>
      </c>
      <c r="AG101" s="141">
        <f t="shared" si="54"/>
        <v>83714.5919887294</v>
      </c>
      <c r="AH101" s="140">
        <f t="shared" si="55"/>
        <v>93016.95745051706</v>
      </c>
      <c r="AI101" s="141">
        <f t="shared" si="56"/>
        <v>85388.883828503996</v>
      </c>
      <c r="AJ101" s="140">
        <f t="shared" si="57"/>
        <v>94877.296599527399</v>
      </c>
      <c r="AK101" s="141">
        <f t="shared" si="58"/>
        <v>87865.161459530602</v>
      </c>
      <c r="AL101" s="140">
        <f t="shared" si="59"/>
        <v>97628.738200913678</v>
      </c>
      <c r="AM101" s="141">
        <f t="shared" si="60"/>
        <v>93400.666631481028</v>
      </c>
      <c r="AN101" s="141">
        <f t="shared" si="61"/>
        <v>103779.34870757123</v>
      </c>
    </row>
    <row r="102" spans="1:40">
      <c r="B102" s="19">
        <v>220108</v>
      </c>
      <c r="C102" s="18" t="s">
        <v>110</v>
      </c>
      <c r="D102" s="16">
        <v>55250</v>
      </c>
      <c r="E102" s="17">
        <f t="shared" si="64"/>
        <v>58012.5</v>
      </c>
      <c r="F102" s="57">
        <f>E102*1.045</f>
        <v>60623.062499999993</v>
      </c>
      <c r="G102" s="57">
        <f t="shared" si="32"/>
        <v>62732.745074999992</v>
      </c>
      <c r="H102" s="57">
        <f t="shared" si="33"/>
        <v>69703.607707734001</v>
      </c>
      <c r="I102" s="57">
        <f t="shared" si="34"/>
        <v>64426.529192024987</v>
      </c>
      <c r="J102" s="57">
        <f t="shared" si="34"/>
        <v>71585.605115842816</v>
      </c>
      <c r="K102" s="57">
        <f t="shared" si="35"/>
        <v>65972.765892633586</v>
      </c>
      <c r="L102" s="9">
        <f t="shared" si="35"/>
        <v>73303.659638623052</v>
      </c>
      <c r="M102" s="9">
        <f t="shared" si="36"/>
        <v>67754.030571734693</v>
      </c>
      <c r="N102" s="9">
        <f t="shared" si="36"/>
        <v>75282.858448865867</v>
      </c>
      <c r="O102" s="78">
        <f t="shared" si="37"/>
        <v>69244.619244312853</v>
      </c>
      <c r="P102" s="78">
        <f t="shared" si="37"/>
        <v>76939.081334740913</v>
      </c>
      <c r="Q102" s="1">
        <f t="shared" si="38"/>
        <v>70906.490106176367</v>
      </c>
      <c r="R102" s="78">
        <f t="shared" si="39"/>
        <v>78785.619286774701</v>
      </c>
      <c r="S102" s="1">
        <f t="shared" si="40"/>
        <v>73530.030240104883</v>
      </c>
      <c r="T102" s="78">
        <f t="shared" si="41"/>
        <v>81700.687200385364</v>
      </c>
      <c r="U102" s="1">
        <f t="shared" si="42"/>
        <v>75588.871086827829</v>
      </c>
      <c r="V102" s="99">
        <f t="shared" si="43"/>
        <v>83988.306441996159</v>
      </c>
      <c r="W102" s="78">
        <f t="shared" si="44"/>
        <v>76722.704153130238</v>
      </c>
      <c r="X102" s="78">
        <f t="shared" si="45"/>
        <v>85248.131038626088</v>
      </c>
      <c r="Y102" s="78">
        <f t="shared" si="46"/>
        <v>77950.267419580327</v>
      </c>
      <c r="Z102" s="78">
        <f t="shared" si="47"/>
        <v>86612.101135244113</v>
      </c>
      <c r="AA102" s="78">
        <f t="shared" si="48"/>
        <v>79431.322500552342</v>
      </c>
      <c r="AB102" s="78">
        <f t="shared" si="49"/>
        <v>88257.731056813747</v>
      </c>
      <c r="AC102" s="1">
        <f t="shared" si="50"/>
        <v>80940.517628062822</v>
      </c>
      <c r="AD102" s="78">
        <f t="shared" si="51"/>
        <v>89934.627946893204</v>
      </c>
      <c r="AE102" s="1">
        <f t="shared" si="52"/>
        <v>82640.268498252131</v>
      </c>
      <c r="AF102" s="78">
        <f t="shared" si="53"/>
        <v>91823.255133777959</v>
      </c>
      <c r="AG102" s="141">
        <f t="shared" si="54"/>
        <v>83714.5919887294</v>
      </c>
      <c r="AH102" s="140">
        <f t="shared" si="55"/>
        <v>93016.95745051706</v>
      </c>
      <c r="AI102" s="141">
        <f t="shared" si="56"/>
        <v>85388.883828503996</v>
      </c>
      <c r="AJ102" s="140">
        <f t="shared" si="57"/>
        <v>94877.296599527399</v>
      </c>
      <c r="AK102" s="141">
        <f t="shared" si="58"/>
        <v>87865.161459530602</v>
      </c>
      <c r="AL102" s="140">
        <f t="shared" si="59"/>
        <v>97628.738200913678</v>
      </c>
      <c r="AM102" s="141">
        <f t="shared" si="60"/>
        <v>93400.666631481028</v>
      </c>
      <c r="AN102" s="141">
        <f t="shared" si="61"/>
        <v>103779.34870757123</v>
      </c>
    </row>
    <row r="103" spans="1:40">
      <c r="A103" s="56">
        <v>220202</v>
      </c>
      <c r="B103" s="19">
        <v>220202</v>
      </c>
      <c r="C103" s="18" t="s">
        <v>111</v>
      </c>
      <c r="D103" s="16">
        <v>25500</v>
      </c>
      <c r="E103" s="17">
        <f t="shared" si="64"/>
        <v>26775</v>
      </c>
      <c r="F103" s="57">
        <f>E103*1.045</f>
        <v>27979.874999999996</v>
      </c>
      <c r="G103" s="57">
        <f t="shared" si="32"/>
        <v>28953.574649999995</v>
      </c>
      <c r="H103" s="57">
        <f t="shared" si="33"/>
        <v>32170.895865107999</v>
      </c>
      <c r="I103" s="57">
        <f t="shared" si="34"/>
        <v>29735.321165549991</v>
      </c>
      <c r="J103" s="57">
        <f t="shared" si="34"/>
        <v>33039.510053465914</v>
      </c>
      <c r="K103" s="57">
        <f t="shared" si="35"/>
        <v>30448.96887352319</v>
      </c>
      <c r="L103" s="9">
        <f t="shared" si="35"/>
        <v>33832.4582947491</v>
      </c>
      <c r="M103" s="9">
        <f t="shared" si="36"/>
        <v>31271.091033108314</v>
      </c>
      <c r="N103" s="9">
        <f t="shared" si="36"/>
        <v>34745.934668707319</v>
      </c>
      <c r="O103" s="78">
        <f t="shared" si="37"/>
        <v>31959.055035836696</v>
      </c>
      <c r="P103" s="78">
        <f t="shared" si="37"/>
        <v>35510.345231418883</v>
      </c>
      <c r="Q103" s="1">
        <f t="shared" si="38"/>
        <v>32726.072356696779</v>
      </c>
      <c r="R103" s="78">
        <f t="shared" si="39"/>
        <v>36362.593516972935</v>
      </c>
      <c r="S103" s="1">
        <f t="shared" si="40"/>
        <v>33936.937033894559</v>
      </c>
      <c r="T103" s="78">
        <f t="shared" si="41"/>
        <v>37708.009477100932</v>
      </c>
      <c r="U103" s="1">
        <f t="shared" si="42"/>
        <v>34887.17127084361</v>
      </c>
      <c r="V103" s="99">
        <f t="shared" si="43"/>
        <v>38763.833742459756</v>
      </c>
      <c r="W103" s="78">
        <f t="shared" si="44"/>
        <v>35410.47883990626</v>
      </c>
      <c r="X103" s="78">
        <f t="shared" si="45"/>
        <v>39345.291248596652</v>
      </c>
      <c r="Y103" s="78">
        <f t="shared" si="46"/>
        <v>35977.046501344761</v>
      </c>
      <c r="Z103" s="78">
        <f t="shared" si="47"/>
        <v>39974.815908574201</v>
      </c>
      <c r="AA103" s="78">
        <f t="shared" si="48"/>
        <v>36660.610384870306</v>
      </c>
      <c r="AB103" s="78">
        <f t="shared" si="49"/>
        <v>40734.337410837106</v>
      </c>
      <c r="AC103" s="1">
        <f t="shared" si="50"/>
        <v>37357.161982182835</v>
      </c>
      <c r="AD103" s="78">
        <f t="shared" si="51"/>
        <v>41508.289821643004</v>
      </c>
      <c r="AE103" s="1">
        <f t="shared" si="52"/>
        <v>38141.662383808674</v>
      </c>
      <c r="AF103" s="78">
        <f t="shared" si="53"/>
        <v>42379.963907897501</v>
      </c>
      <c r="AG103" s="141">
        <f t="shared" si="54"/>
        <v>38637.503994798186</v>
      </c>
      <c r="AH103" s="140">
        <f t="shared" si="55"/>
        <v>42930.903438700167</v>
      </c>
      <c r="AI103" s="141">
        <f t="shared" si="56"/>
        <v>39410.254074694152</v>
      </c>
      <c r="AJ103" s="140">
        <f t="shared" si="57"/>
        <v>43789.521507474172</v>
      </c>
      <c r="AK103" s="141">
        <f t="shared" si="58"/>
        <v>40553.151442860282</v>
      </c>
      <c r="AL103" s="140">
        <f t="shared" si="59"/>
        <v>45059.417631190918</v>
      </c>
      <c r="AM103" s="141">
        <f t="shared" si="60"/>
        <v>43107.999983760477</v>
      </c>
      <c r="AN103" s="141">
        <f t="shared" si="61"/>
        <v>47898.160941955946</v>
      </c>
    </row>
    <row r="104" spans="1:40">
      <c r="A104" s="56">
        <v>220203</v>
      </c>
      <c r="B104" s="155">
        <v>220203</v>
      </c>
      <c r="C104" s="25" t="s">
        <v>112</v>
      </c>
      <c r="D104" s="54">
        <v>34000</v>
      </c>
      <c r="E104" s="55">
        <f t="shared" si="64"/>
        <v>35700</v>
      </c>
      <c r="F104" s="75">
        <f>E104*1.045</f>
        <v>37306.5</v>
      </c>
      <c r="G104" s="75">
        <f t="shared" si="32"/>
        <v>38604.766199999998</v>
      </c>
      <c r="H104" s="75">
        <f t="shared" si="33"/>
        <v>42894.527820144001</v>
      </c>
      <c r="I104" s="75">
        <f t="shared" si="34"/>
        <v>39647.094887399995</v>
      </c>
      <c r="J104" s="75">
        <f t="shared" si="34"/>
        <v>44052.680071287883</v>
      </c>
      <c r="K104" s="75">
        <f t="shared" si="35"/>
        <v>40598.625164697594</v>
      </c>
      <c r="L104" s="71">
        <f t="shared" si="35"/>
        <v>45109.94439299879</v>
      </c>
      <c r="M104" s="71">
        <f t="shared" si="36"/>
        <v>41694.788044144429</v>
      </c>
      <c r="N104" s="71">
        <f t="shared" si="36"/>
        <v>46327.912891609754</v>
      </c>
      <c r="O104" s="79">
        <f t="shared" si="37"/>
        <v>42612.07338111561</v>
      </c>
      <c r="P104" s="79">
        <f t="shared" si="37"/>
        <v>47347.126975225168</v>
      </c>
      <c r="Q104" s="100">
        <f t="shared" si="38"/>
        <v>43634.763142262382</v>
      </c>
      <c r="R104" s="79">
        <f t="shared" si="39"/>
        <v>48483.45802263057</v>
      </c>
      <c r="S104" s="100">
        <f t="shared" si="40"/>
        <v>45249.249378526089</v>
      </c>
      <c r="T104" s="79">
        <f t="shared" si="41"/>
        <v>50277.345969467897</v>
      </c>
      <c r="U104" s="100">
        <f t="shared" si="42"/>
        <v>46516.22836112482</v>
      </c>
      <c r="V104" s="119">
        <f t="shared" si="43"/>
        <v>51685.111656613</v>
      </c>
      <c r="W104" s="79">
        <f t="shared" si="44"/>
        <v>47213.97178654169</v>
      </c>
      <c r="X104" s="79">
        <f t="shared" si="45"/>
        <v>52460.388331462193</v>
      </c>
      <c r="Y104" s="79">
        <f t="shared" si="46"/>
        <v>47969.395335126355</v>
      </c>
      <c r="Z104" s="79">
        <f t="shared" si="47"/>
        <v>53299.754544765587</v>
      </c>
      <c r="AA104" s="79">
        <f t="shared" si="48"/>
        <v>48880.813846493751</v>
      </c>
      <c r="AB104" s="79">
        <f t="shared" si="49"/>
        <v>54312.449881116125</v>
      </c>
      <c r="AC104" s="100">
        <f t="shared" si="50"/>
        <v>49809.549309577131</v>
      </c>
      <c r="AD104" s="79">
        <f t="shared" si="51"/>
        <v>55344.386428857324</v>
      </c>
      <c r="AE104" s="100">
        <f t="shared" si="52"/>
        <v>50855.549845078247</v>
      </c>
      <c r="AF104" s="79">
        <f t="shared" si="53"/>
        <v>56506.618543863326</v>
      </c>
      <c r="AG104" s="142">
        <f t="shared" si="54"/>
        <v>51516.671993064258</v>
      </c>
      <c r="AH104" s="174">
        <f t="shared" si="55"/>
        <v>57241.204584933541</v>
      </c>
      <c r="AI104" s="142">
        <f t="shared" si="56"/>
        <v>52547.005432925544</v>
      </c>
      <c r="AJ104" s="174">
        <f t="shared" si="57"/>
        <v>58386.02867663221</v>
      </c>
      <c r="AK104" s="142">
        <f t="shared" si="58"/>
        <v>54070.868590480379</v>
      </c>
      <c r="AL104" s="174">
        <f t="shared" si="59"/>
        <v>60079.223508254538</v>
      </c>
      <c r="AM104" s="142">
        <f t="shared" si="60"/>
        <v>57477.333311680639</v>
      </c>
      <c r="AN104" s="142">
        <f t="shared" si="61"/>
        <v>63864.214589274568</v>
      </c>
    </row>
    <row r="105" spans="1:40" ht="15" customHeight="1">
      <c r="B105" s="180" t="s">
        <v>113</v>
      </c>
      <c r="C105" s="181"/>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c r="AC105" s="182"/>
      <c r="AD105" s="182"/>
      <c r="AE105" s="182"/>
      <c r="AF105" s="182"/>
      <c r="AG105" s="182"/>
      <c r="AH105" s="182"/>
      <c r="AI105" s="182"/>
      <c r="AJ105" s="182"/>
      <c r="AK105" s="180"/>
      <c r="AL105" s="183"/>
      <c r="AM105" s="183"/>
      <c r="AN105" s="181"/>
    </row>
    <row r="106" spans="1:40">
      <c r="B106" s="156">
        <v>245001</v>
      </c>
      <c r="C106" s="27" t="s">
        <v>114</v>
      </c>
      <c r="D106" s="112">
        <v>42500</v>
      </c>
      <c r="E106" s="118">
        <f t="shared" si="64"/>
        <v>44625</v>
      </c>
      <c r="F106" s="70">
        <f>E106*1.045</f>
        <v>46633.125</v>
      </c>
      <c r="G106" s="70">
        <f t="shared" si="32"/>
        <v>48255.957749999994</v>
      </c>
      <c r="H106" s="70">
        <f t="shared" si="33"/>
        <v>53618.15977518</v>
      </c>
      <c r="I106" s="70">
        <f t="shared" si="34"/>
        <v>49558.868609249992</v>
      </c>
      <c r="J106" s="70">
        <f t="shared" si="34"/>
        <v>55065.850089109852</v>
      </c>
      <c r="K106" s="70">
        <f t="shared" si="35"/>
        <v>50748.281455871991</v>
      </c>
      <c r="L106" s="58">
        <f t="shared" si="35"/>
        <v>56387.430491248488</v>
      </c>
      <c r="M106" s="58">
        <f t="shared" si="36"/>
        <v>52118.485055180528</v>
      </c>
      <c r="N106" s="58">
        <f t="shared" si="36"/>
        <v>57909.891114512189</v>
      </c>
      <c r="O106" s="80">
        <f t="shared" si="37"/>
        <v>53265.091726394501</v>
      </c>
      <c r="P106" s="80">
        <f t="shared" si="37"/>
        <v>59183.90871903146</v>
      </c>
      <c r="Q106" s="101">
        <f t="shared" si="38"/>
        <v>54543.45392782797</v>
      </c>
      <c r="R106" s="80">
        <f t="shared" si="39"/>
        <v>60604.322528288219</v>
      </c>
      <c r="S106" s="101">
        <f t="shared" si="40"/>
        <v>56561.561723157603</v>
      </c>
      <c r="T106" s="80">
        <f t="shared" si="41"/>
        <v>62846.682461834876</v>
      </c>
      <c r="U106" s="101">
        <f t="shared" si="42"/>
        <v>58145.285451406016</v>
      </c>
      <c r="V106" s="114">
        <f t="shared" si="43"/>
        <v>64606.389570766252</v>
      </c>
      <c r="W106" s="80">
        <f t="shared" si="44"/>
        <v>59017.464733177098</v>
      </c>
      <c r="X106" s="80">
        <f t="shared" si="45"/>
        <v>65575.485414327733</v>
      </c>
      <c r="Y106" s="80">
        <f t="shared" si="46"/>
        <v>59961.744168907935</v>
      </c>
      <c r="Z106" s="80">
        <f t="shared" si="47"/>
        <v>66624.69318095698</v>
      </c>
      <c r="AA106" s="80">
        <f t="shared" si="48"/>
        <v>61101.017308117182</v>
      </c>
      <c r="AB106" s="80">
        <f t="shared" si="49"/>
        <v>67890.562351395158</v>
      </c>
      <c r="AC106" s="101">
        <f t="shared" si="50"/>
        <v>62261.936636971404</v>
      </c>
      <c r="AD106" s="80">
        <f t="shared" si="51"/>
        <v>69180.483036071659</v>
      </c>
      <c r="AE106" s="101">
        <f t="shared" si="52"/>
        <v>63569.437306347798</v>
      </c>
      <c r="AF106" s="80">
        <f t="shared" si="53"/>
        <v>70633.273179829164</v>
      </c>
      <c r="AG106" s="143">
        <f t="shared" si="54"/>
        <v>64395.839991330315</v>
      </c>
      <c r="AH106" s="152">
        <f t="shared" si="55"/>
        <v>71551.505731166937</v>
      </c>
      <c r="AI106" s="143">
        <f t="shared" si="56"/>
        <v>65683.75679115692</v>
      </c>
      <c r="AJ106" s="152">
        <f t="shared" si="57"/>
        <v>72982.535845790277</v>
      </c>
      <c r="AK106" s="143">
        <f t="shared" si="58"/>
        <v>67588.585738100461</v>
      </c>
      <c r="AL106" s="152">
        <f t="shared" si="59"/>
        <v>75099.029385318194</v>
      </c>
      <c r="AM106" s="143">
        <f t="shared" si="60"/>
        <v>71846.666639600793</v>
      </c>
      <c r="AN106" s="143">
        <f t="shared" si="61"/>
        <v>79830.268236593241</v>
      </c>
    </row>
    <row r="107" spans="1:40">
      <c r="B107" s="19">
        <v>241105</v>
      </c>
      <c r="C107" s="18" t="s">
        <v>115</v>
      </c>
      <c r="D107" s="16">
        <v>85000</v>
      </c>
      <c r="E107" s="17">
        <f t="shared" si="64"/>
        <v>89250</v>
      </c>
      <c r="F107" s="57">
        <f>E107*1.045</f>
        <v>93266.25</v>
      </c>
      <c r="G107" s="57">
        <f t="shared" si="32"/>
        <v>96511.915499999988</v>
      </c>
      <c r="H107" s="57">
        <f t="shared" si="33"/>
        <v>107236.31955036</v>
      </c>
      <c r="I107" s="57">
        <f t="shared" si="34"/>
        <v>99117.737218499984</v>
      </c>
      <c r="J107" s="57">
        <f t="shared" si="34"/>
        <v>110131.7001782197</v>
      </c>
      <c r="K107" s="57">
        <f t="shared" si="35"/>
        <v>101496.56291174398</v>
      </c>
      <c r="L107" s="9">
        <f t="shared" si="35"/>
        <v>112774.86098249698</v>
      </c>
      <c r="M107" s="9">
        <f t="shared" si="36"/>
        <v>104236.97011036106</v>
      </c>
      <c r="N107" s="9">
        <f t="shared" si="36"/>
        <v>115819.78222902438</v>
      </c>
      <c r="O107" s="78">
        <f t="shared" si="37"/>
        <v>106530.183452789</v>
      </c>
      <c r="P107" s="78">
        <f t="shared" si="37"/>
        <v>118367.81743806292</v>
      </c>
      <c r="Q107" s="1">
        <f t="shared" si="38"/>
        <v>109086.90785565594</v>
      </c>
      <c r="R107" s="78">
        <f t="shared" si="39"/>
        <v>121208.64505657644</v>
      </c>
      <c r="S107" s="1">
        <f t="shared" si="40"/>
        <v>113123.12344631521</v>
      </c>
      <c r="T107" s="78">
        <f t="shared" si="41"/>
        <v>125693.36492366975</v>
      </c>
      <c r="U107" s="1">
        <f t="shared" si="42"/>
        <v>116290.57090281203</v>
      </c>
      <c r="V107" s="99">
        <f t="shared" si="43"/>
        <v>129212.7791415325</v>
      </c>
      <c r="W107" s="78">
        <f t="shared" si="44"/>
        <v>118034.9294663542</v>
      </c>
      <c r="X107" s="78">
        <f t="shared" si="45"/>
        <v>131150.97082865547</v>
      </c>
      <c r="Y107" s="78">
        <f t="shared" si="46"/>
        <v>119923.48833781587</v>
      </c>
      <c r="Z107" s="78">
        <f t="shared" si="47"/>
        <v>133249.38636191396</v>
      </c>
      <c r="AA107" s="78">
        <f t="shared" si="48"/>
        <v>122202.03461623436</v>
      </c>
      <c r="AB107" s="78">
        <f t="shared" si="49"/>
        <v>135781.12470279032</v>
      </c>
      <c r="AC107" s="1">
        <f t="shared" si="50"/>
        <v>124523.87327394281</v>
      </c>
      <c r="AD107" s="78">
        <f t="shared" si="51"/>
        <v>138360.96607214332</v>
      </c>
      <c r="AE107" s="1">
        <f t="shared" si="52"/>
        <v>127138.8746126956</v>
      </c>
      <c r="AF107" s="78">
        <f t="shared" si="53"/>
        <v>141266.54635965833</v>
      </c>
      <c r="AG107" s="141">
        <f t="shared" si="54"/>
        <v>128791.67998266063</v>
      </c>
      <c r="AH107" s="140">
        <f t="shared" si="55"/>
        <v>143103.01146233387</v>
      </c>
      <c r="AI107" s="141">
        <f t="shared" si="56"/>
        <v>131367.51358231384</v>
      </c>
      <c r="AJ107" s="140">
        <f t="shared" si="57"/>
        <v>145965.07169158055</v>
      </c>
      <c r="AK107" s="141">
        <f t="shared" si="58"/>
        <v>135177.17147620092</v>
      </c>
      <c r="AL107" s="140">
        <f t="shared" si="59"/>
        <v>150198.05877063639</v>
      </c>
      <c r="AM107" s="141">
        <f t="shared" si="60"/>
        <v>143693.33327920159</v>
      </c>
      <c r="AN107" s="141">
        <f t="shared" si="61"/>
        <v>159660.53647318648</v>
      </c>
    </row>
    <row r="108" spans="1:40">
      <c r="B108" s="19">
        <v>245002</v>
      </c>
      <c r="C108" s="18" t="s">
        <v>116</v>
      </c>
      <c r="D108" s="16">
        <v>10200</v>
      </c>
      <c r="E108" s="17">
        <f t="shared" si="64"/>
        <v>10710</v>
      </c>
      <c r="F108" s="57">
        <f>E108*1.045</f>
        <v>11191.949999999999</v>
      </c>
      <c r="G108" s="57">
        <f t="shared" si="32"/>
        <v>11581.429859999998</v>
      </c>
      <c r="H108" s="57">
        <f t="shared" si="33"/>
        <v>12868.3583460432</v>
      </c>
      <c r="I108" s="57">
        <f t="shared" si="34"/>
        <v>11894.128466219998</v>
      </c>
      <c r="J108" s="57">
        <f t="shared" si="34"/>
        <v>13215.804021386366</v>
      </c>
      <c r="K108" s="57">
        <f t="shared" si="35"/>
        <v>12179.587549409278</v>
      </c>
      <c r="L108" s="9">
        <f t="shared" si="35"/>
        <v>13532.98331789964</v>
      </c>
      <c r="M108" s="9">
        <f t="shared" si="36"/>
        <v>12508.436413243327</v>
      </c>
      <c r="N108" s="9">
        <f t="shared" si="36"/>
        <v>13898.373867482929</v>
      </c>
      <c r="O108" s="78">
        <f t="shared" si="37"/>
        <v>12783.622014334682</v>
      </c>
      <c r="P108" s="78">
        <f t="shared" si="37"/>
        <v>14204.138092567553</v>
      </c>
      <c r="Q108" s="1">
        <f t="shared" si="38"/>
        <v>13090.428942678715</v>
      </c>
      <c r="R108" s="78">
        <f t="shared" si="39"/>
        <v>14545.037406789175</v>
      </c>
      <c r="S108" s="1">
        <f t="shared" si="40"/>
        <v>13574.774813557826</v>
      </c>
      <c r="T108" s="78">
        <f t="shared" si="41"/>
        <v>15083.203790840374</v>
      </c>
      <c r="U108" s="1">
        <f t="shared" si="42"/>
        <v>13954.868508337446</v>
      </c>
      <c r="V108" s="99">
        <f t="shared" si="43"/>
        <v>15505.533496983906</v>
      </c>
      <c r="W108" s="78">
        <f t="shared" si="44"/>
        <v>14164.191535962505</v>
      </c>
      <c r="X108" s="78">
        <f t="shared" si="45"/>
        <v>15738.116499438664</v>
      </c>
      <c r="Y108" s="78">
        <f t="shared" si="46"/>
        <v>14390.818600537907</v>
      </c>
      <c r="Z108" s="78">
        <f t="shared" si="47"/>
        <v>15989.926363429682</v>
      </c>
      <c r="AA108" s="78">
        <f t="shared" si="48"/>
        <v>14664.244153948126</v>
      </c>
      <c r="AB108" s="78">
        <f t="shared" si="49"/>
        <v>16293.734964334844</v>
      </c>
      <c r="AC108" s="1">
        <f t="shared" si="50"/>
        <v>14942.864792873139</v>
      </c>
      <c r="AD108" s="78">
        <f t="shared" si="51"/>
        <v>16603.315928657204</v>
      </c>
      <c r="AE108" s="1">
        <f t="shared" si="52"/>
        <v>15256.664953523474</v>
      </c>
      <c r="AF108" s="78">
        <f t="shared" si="53"/>
        <v>16951.985563159004</v>
      </c>
      <c r="AG108" s="141">
        <f t="shared" si="54"/>
        <v>15455.001597919278</v>
      </c>
      <c r="AH108" s="140">
        <f t="shared" si="55"/>
        <v>17172.361375480068</v>
      </c>
      <c r="AI108" s="141">
        <f t="shared" si="56"/>
        <v>15764.101629877663</v>
      </c>
      <c r="AJ108" s="140">
        <f t="shared" si="57"/>
        <v>17515.808602989669</v>
      </c>
      <c r="AK108" s="141">
        <f t="shared" si="58"/>
        <v>16221.260577144114</v>
      </c>
      <c r="AL108" s="140">
        <f t="shared" si="59"/>
        <v>18023.767052476367</v>
      </c>
      <c r="AM108" s="141">
        <f t="shared" si="60"/>
        <v>17243.199993504193</v>
      </c>
      <c r="AN108" s="141">
        <f t="shared" si="61"/>
        <v>19159.264376782376</v>
      </c>
    </row>
    <row r="109" spans="1:40">
      <c r="B109" s="19">
        <v>240111</v>
      </c>
      <c r="C109" s="18" t="s">
        <v>117</v>
      </c>
      <c r="D109" s="16">
        <v>68000</v>
      </c>
      <c r="E109" s="17">
        <f t="shared" si="64"/>
        <v>71400</v>
      </c>
      <c r="F109" s="57">
        <f>E109*1.045</f>
        <v>74613</v>
      </c>
      <c r="G109" s="57">
        <f t="shared" si="32"/>
        <v>77209.532399999996</v>
      </c>
      <c r="H109" s="57">
        <f t="shared" si="33"/>
        <v>85789.055640288003</v>
      </c>
      <c r="I109" s="57">
        <f t="shared" si="34"/>
        <v>79294.18977479999</v>
      </c>
      <c r="J109" s="57">
        <f t="shared" si="34"/>
        <v>88105.360142575766</v>
      </c>
      <c r="K109" s="57">
        <f t="shared" si="35"/>
        <v>81197.250329395189</v>
      </c>
      <c r="L109" s="9">
        <f t="shared" si="35"/>
        <v>90219.88878599758</v>
      </c>
      <c r="M109" s="9">
        <f t="shared" si="36"/>
        <v>83389.576088288857</v>
      </c>
      <c r="N109" s="71">
        <f t="shared" si="36"/>
        <v>92655.825783219509</v>
      </c>
      <c r="O109" s="79">
        <f t="shared" si="37"/>
        <v>85224.146762231219</v>
      </c>
      <c r="P109" s="78">
        <f t="shared" si="37"/>
        <v>94694.253950450337</v>
      </c>
      <c r="Q109" s="1">
        <f t="shared" si="38"/>
        <v>87269.526284524763</v>
      </c>
      <c r="R109" s="79">
        <f t="shared" si="39"/>
        <v>96966.91604526114</v>
      </c>
      <c r="S109" s="1">
        <f t="shared" si="40"/>
        <v>90498.498757052177</v>
      </c>
      <c r="T109" s="78">
        <f t="shared" si="41"/>
        <v>100554.69193893579</v>
      </c>
      <c r="U109" s="1">
        <f t="shared" si="42"/>
        <v>93032.456722249641</v>
      </c>
      <c r="V109" s="99">
        <f t="shared" si="43"/>
        <v>103370.223313226</v>
      </c>
      <c r="W109" s="79">
        <f t="shared" si="44"/>
        <v>94427.943573083379</v>
      </c>
      <c r="X109" s="79">
        <f t="shared" si="45"/>
        <v>104920.77666292439</v>
      </c>
      <c r="Y109" s="79">
        <f t="shared" si="46"/>
        <v>95938.790670252711</v>
      </c>
      <c r="Z109" s="79">
        <f t="shared" si="47"/>
        <v>106599.50908953117</v>
      </c>
      <c r="AA109" s="79">
        <f t="shared" si="48"/>
        <v>97761.627692987502</v>
      </c>
      <c r="AB109" s="79">
        <f t="shared" si="49"/>
        <v>108624.89976223225</v>
      </c>
      <c r="AC109" s="100">
        <f t="shared" si="50"/>
        <v>99619.098619154262</v>
      </c>
      <c r="AD109" s="79">
        <f t="shared" si="51"/>
        <v>110688.77285771465</v>
      </c>
      <c r="AE109" s="100">
        <f t="shared" si="52"/>
        <v>101711.09969015649</v>
      </c>
      <c r="AF109" s="79">
        <f t="shared" si="53"/>
        <v>113013.23708772665</v>
      </c>
      <c r="AG109" s="141">
        <f t="shared" si="54"/>
        <v>103033.34398612852</v>
      </c>
      <c r="AH109" s="140">
        <f t="shared" si="55"/>
        <v>114482.40916986708</v>
      </c>
      <c r="AI109" s="142">
        <f t="shared" si="56"/>
        <v>105094.01086585109</v>
      </c>
      <c r="AJ109" s="174">
        <f t="shared" si="57"/>
        <v>116772.05735326442</v>
      </c>
      <c r="AK109" s="142">
        <f t="shared" si="58"/>
        <v>108141.73718096076</v>
      </c>
      <c r="AL109" s="174">
        <f t="shared" si="59"/>
        <v>120158.44701650908</v>
      </c>
      <c r="AM109" s="142">
        <f t="shared" si="60"/>
        <v>114954.66662336128</v>
      </c>
      <c r="AN109" s="142">
        <f t="shared" si="61"/>
        <v>127728.42917854914</v>
      </c>
    </row>
    <row r="110" spans="1:40">
      <c r="B110" s="19">
        <v>100000</v>
      </c>
      <c r="C110" s="18" t="s">
        <v>118</v>
      </c>
      <c r="D110" s="23" t="s">
        <v>97</v>
      </c>
      <c r="E110" s="28" t="s">
        <v>97</v>
      </c>
      <c r="F110" s="3" t="s">
        <v>97</v>
      </c>
      <c r="G110" s="3" t="s">
        <v>97</v>
      </c>
      <c r="H110" s="3" t="s">
        <v>97</v>
      </c>
      <c r="I110" s="3" t="s">
        <v>97</v>
      </c>
      <c r="J110" s="3" t="s">
        <v>97</v>
      </c>
      <c r="K110" s="3" t="s">
        <v>97</v>
      </c>
      <c r="L110" s="3" t="s">
        <v>97</v>
      </c>
      <c r="M110" s="3" t="s">
        <v>97</v>
      </c>
      <c r="N110" s="29" t="s">
        <v>97</v>
      </c>
      <c r="O110" s="3" t="s">
        <v>97</v>
      </c>
      <c r="P110" s="3" t="s">
        <v>97</v>
      </c>
      <c r="Q110" s="3" t="s">
        <v>97</v>
      </c>
      <c r="R110" s="3" t="s">
        <v>97</v>
      </c>
      <c r="S110" s="29" t="s">
        <v>97</v>
      </c>
      <c r="T110" s="3" t="s">
        <v>97</v>
      </c>
      <c r="U110" s="29" t="s">
        <v>97</v>
      </c>
      <c r="V110" s="3" t="s">
        <v>97</v>
      </c>
      <c r="W110" s="29" t="s">
        <v>97</v>
      </c>
      <c r="X110" s="3" t="s">
        <v>97</v>
      </c>
      <c r="Y110" s="29" t="s">
        <v>97</v>
      </c>
      <c r="Z110" s="3" t="s">
        <v>97</v>
      </c>
      <c r="AA110" s="29" t="s">
        <v>97</v>
      </c>
      <c r="AB110" s="3" t="s">
        <v>97</v>
      </c>
      <c r="AC110" s="29" t="s">
        <v>97</v>
      </c>
      <c r="AD110" s="3" t="s">
        <v>97</v>
      </c>
      <c r="AE110" s="29" t="s">
        <v>97</v>
      </c>
      <c r="AF110" s="3" t="s">
        <v>97</v>
      </c>
      <c r="AG110" s="29" t="s">
        <v>97</v>
      </c>
      <c r="AH110" s="3" t="s">
        <v>97</v>
      </c>
      <c r="AI110" s="29" t="s">
        <v>97</v>
      </c>
      <c r="AJ110" s="3" t="s">
        <v>97</v>
      </c>
      <c r="AK110" s="3" t="s">
        <v>97</v>
      </c>
      <c r="AL110" s="29" t="s">
        <v>97</v>
      </c>
      <c r="AM110" s="29" t="s">
        <v>97</v>
      </c>
      <c r="AN110" s="29" t="s">
        <v>97</v>
      </c>
    </row>
    <row r="111" spans="1:40">
      <c r="B111" s="155">
        <v>245003</v>
      </c>
      <c r="C111" s="25" t="s">
        <v>119</v>
      </c>
      <c r="D111" s="54">
        <v>85000</v>
      </c>
      <c r="E111" s="55">
        <f>D111*1.05</f>
        <v>89250</v>
      </c>
      <c r="F111" s="75">
        <f>E111*1.045</f>
        <v>93266.25</v>
      </c>
      <c r="G111" s="75">
        <f t="shared" si="32"/>
        <v>96511.915499999988</v>
      </c>
      <c r="H111" s="75">
        <f t="shared" si="33"/>
        <v>107236.31955036</v>
      </c>
      <c r="I111" s="75">
        <f t="shared" si="34"/>
        <v>99117.737218499984</v>
      </c>
      <c r="J111" s="75">
        <f t="shared" si="34"/>
        <v>110131.7001782197</v>
      </c>
      <c r="K111" s="75">
        <f t="shared" si="35"/>
        <v>101496.56291174398</v>
      </c>
      <c r="L111" s="71">
        <f t="shared" si="35"/>
        <v>112774.86098249698</v>
      </c>
      <c r="M111" s="71">
        <f t="shared" si="36"/>
        <v>104236.97011036106</v>
      </c>
      <c r="N111" s="72">
        <f t="shared" si="36"/>
        <v>115819.78222902438</v>
      </c>
      <c r="O111" s="81">
        <f t="shared" si="37"/>
        <v>106530.183452789</v>
      </c>
      <c r="P111" s="79">
        <f t="shared" si="37"/>
        <v>118367.81743806292</v>
      </c>
      <c r="Q111" s="100">
        <f t="shared" si="38"/>
        <v>109086.90785565594</v>
      </c>
      <c r="R111" s="81">
        <f t="shared" si="39"/>
        <v>121208.64505657644</v>
      </c>
      <c r="S111" s="100">
        <f t="shared" si="40"/>
        <v>113123.12344631521</v>
      </c>
      <c r="T111" s="79">
        <f t="shared" si="41"/>
        <v>125693.36492366975</v>
      </c>
      <c r="U111" s="100">
        <f t="shared" si="42"/>
        <v>116290.57090281203</v>
      </c>
      <c r="V111" s="119">
        <f t="shared" si="43"/>
        <v>129212.7791415325</v>
      </c>
      <c r="W111" s="81">
        <f t="shared" si="44"/>
        <v>118034.9294663542</v>
      </c>
      <c r="X111" s="81">
        <f t="shared" si="45"/>
        <v>131150.97082865547</v>
      </c>
      <c r="Y111" s="81">
        <f t="shared" si="46"/>
        <v>119923.48833781587</v>
      </c>
      <c r="Z111" s="81">
        <f t="shared" si="47"/>
        <v>133249.38636191396</v>
      </c>
      <c r="AA111" s="81">
        <f t="shared" si="48"/>
        <v>122202.03461623436</v>
      </c>
      <c r="AB111" s="81">
        <f t="shared" si="49"/>
        <v>135781.12470279032</v>
      </c>
      <c r="AC111" s="102">
        <f t="shared" si="50"/>
        <v>124523.87327394281</v>
      </c>
      <c r="AD111" s="81">
        <f t="shared" si="51"/>
        <v>138360.96607214332</v>
      </c>
      <c r="AE111" s="102">
        <f t="shared" si="52"/>
        <v>127138.8746126956</v>
      </c>
      <c r="AF111" s="81">
        <f t="shared" si="53"/>
        <v>141266.54635965833</v>
      </c>
      <c r="AG111" s="142">
        <f t="shared" si="54"/>
        <v>128791.67998266063</v>
      </c>
      <c r="AH111" s="174">
        <f t="shared" si="55"/>
        <v>143103.01146233387</v>
      </c>
      <c r="AI111" s="144">
        <f t="shared" si="56"/>
        <v>131367.51358231384</v>
      </c>
      <c r="AJ111" s="175">
        <f t="shared" si="57"/>
        <v>145965.07169158055</v>
      </c>
      <c r="AK111" s="144">
        <f t="shared" si="58"/>
        <v>135177.17147620092</v>
      </c>
      <c r="AL111" s="175">
        <f t="shared" si="59"/>
        <v>150198.05877063639</v>
      </c>
      <c r="AM111" s="144">
        <f t="shared" si="60"/>
        <v>143693.33327920159</v>
      </c>
      <c r="AN111" s="144">
        <f t="shared" si="61"/>
        <v>159660.53647318648</v>
      </c>
    </row>
    <row r="112" spans="1:40" ht="15" customHeight="1">
      <c r="B112" s="180" t="s">
        <v>120</v>
      </c>
      <c r="C112" s="181"/>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c r="Z112" s="182"/>
      <c r="AA112" s="182"/>
      <c r="AB112" s="182"/>
      <c r="AC112" s="182"/>
      <c r="AD112" s="182"/>
      <c r="AE112" s="182"/>
      <c r="AF112" s="182"/>
      <c r="AG112" s="182"/>
      <c r="AH112" s="182"/>
      <c r="AI112" s="182"/>
      <c r="AJ112" s="182"/>
      <c r="AK112" s="180"/>
      <c r="AL112" s="183"/>
      <c r="AM112" s="183"/>
      <c r="AN112" s="181"/>
    </row>
    <row r="113" spans="2:40">
      <c r="B113" s="156"/>
      <c r="C113" s="27" t="s">
        <v>121</v>
      </c>
      <c r="D113" s="112">
        <v>450</v>
      </c>
      <c r="E113" s="118">
        <f t="shared" ref="E113" si="65">D113*1.05</f>
        <v>472.5</v>
      </c>
      <c r="F113" s="70">
        <f t="shared" ref="F113" si="66">E113*1.045</f>
        <v>493.76249999999999</v>
      </c>
      <c r="G113" s="118">
        <f>F113*1.0348</f>
        <v>510.94543499999997</v>
      </c>
      <c r="H113" s="70">
        <f t="shared" ref="H113" si="67">G113*1.11112</f>
        <v>567.72169173719999</v>
      </c>
      <c r="I113" s="70">
        <f t="shared" ref="I113:J113" si="68">G113*1.027</f>
        <v>524.74096174499994</v>
      </c>
      <c r="J113" s="70">
        <f t="shared" si="68"/>
        <v>583.05017741410438</v>
      </c>
      <c r="K113" s="70">
        <f t="shared" ref="K113:L113" si="69">I113*1.024</f>
        <v>537.33474482687996</v>
      </c>
      <c r="L113" s="58">
        <f t="shared" si="69"/>
        <v>597.04338167204287</v>
      </c>
      <c r="M113" s="58">
        <f t="shared" ref="M113:N113" si="70">K113*1.027</f>
        <v>551.8427829372057</v>
      </c>
      <c r="N113" s="58">
        <f t="shared" si="70"/>
        <v>613.16355297718792</v>
      </c>
      <c r="O113" s="80">
        <f t="shared" si="37"/>
        <v>563.98332416182427</v>
      </c>
      <c r="P113" s="80">
        <f t="shared" si="37"/>
        <v>626.65315114268606</v>
      </c>
      <c r="Q113" s="101">
        <f t="shared" si="38"/>
        <v>577.51892394170807</v>
      </c>
      <c r="R113" s="80">
        <f t="shared" si="39"/>
        <v>641.69282677011051</v>
      </c>
      <c r="S113" s="101">
        <f t="shared" si="40"/>
        <v>598.88712412755126</v>
      </c>
      <c r="T113" s="80">
        <f t="shared" si="41"/>
        <v>665.43546136060456</v>
      </c>
      <c r="U113" s="101">
        <f t="shared" si="42"/>
        <v>615.6559636031227</v>
      </c>
      <c r="V113" s="114">
        <f t="shared" si="43"/>
        <v>684.06765427870153</v>
      </c>
      <c r="W113" s="80">
        <f t="shared" si="44"/>
        <v>624.89080305716948</v>
      </c>
      <c r="X113" s="80">
        <f t="shared" si="45"/>
        <v>694.32866909288202</v>
      </c>
      <c r="Y113" s="80">
        <f t="shared" si="46"/>
        <v>634.8890559060842</v>
      </c>
      <c r="Z113" s="80">
        <f t="shared" si="47"/>
        <v>705.43792779836815</v>
      </c>
      <c r="AA113" s="80">
        <f t="shared" si="48"/>
        <v>646.95194796829969</v>
      </c>
      <c r="AB113" s="80">
        <f t="shared" si="49"/>
        <v>718.84124842653705</v>
      </c>
      <c r="AC113" s="101">
        <f t="shared" si="50"/>
        <v>659.24403497969729</v>
      </c>
      <c r="AD113" s="80">
        <f t="shared" si="51"/>
        <v>732.49923214664113</v>
      </c>
      <c r="AE113" s="101">
        <f t="shared" si="52"/>
        <v>673.08815971427089</v>
      </c>
      <c r="AF113" s="80">
        <f t="shared" si="53"/>
        <v>747.88171602172054</v>
      </c>
      <c r="AG113" s="143">
        <f t="shared" si="54"/>
        <v>681.83830579055632</v>
      </c>
      <c r="AH113" s="152">
        <f t="shared" si="55"/>
        <v>757.60417833000281</v>
      </c>
      <c r="AI113" s="143">
        <f t="shared" si="56"/>
        <v>695.47507190636748</v>
      </c>
      <c r="AJ113" s="152">
        <f t="shared" si="57"/>
        <v>772.75626189660284</v>
      </c>
      <c r="AK113" s="144">
        <f t="shared" si="58"/>
        <v>715.64384899165202</v>
      </c>
      <c r="AL113" s="175">
        <f t="shared" si="59"/>
        <v>795.1661934916043</v>
      </c>
      <c r="AM113" s="144">
        <f t="shared" si="60"/>
        <v>760.72941147812605</v>
      </c>
      <c r="AN113" s="144">
        <f t="shared" si="61"/>
        <v>845.26166368157533</v>
      </c>
    </row>
    <row r="114" spans="2:40">
      <c r="B114" s="155">
        <v>660001</v>
      </c>
      <c r="C114" s="25" t="s">
        <v>122</v>
      </c>
      <c r="D114" s="54" t="s">
        <v>123</v>
      </c>
      <c r="E114" s="54" t="s">
        <v>123</v>
      </c>
      <c r="F114" s="54" t="s">
        <v>123</v>
      </c>
      <c r="G114" s="54" t="s">
        <v>123</v>
      </c>
      <c r="H114" s="54" t="s">
        <v>123</v>
      </c>
      <c r="I114" s="54" t="s">
        <v>123</v>
      </c>
      <c r="J114" s="54" t="s">
        <v>123</v>
      </c>
      <c r="K114" s="54" t="s">
        <v>123</v>
      </c>
      <c r="L114" s="109" t="s">
        <v>124</v>
      </c>
      <c r="M114" s="109" t="s">
        <v>124</v>
      </c>
      <c r="N114" s="109" t="s">
        <v>124</v>
      </c>
      <c r="O114" s="109" t="s">
        <v>124</v>
      </c>
      <c r="P114" s="109" t="s">
        <v>124</v>
      </c>
      <c r="Q114" s="109" t="s">
        <v>124</v>
      </c>
      <c r="R114" s="109" t="s">
        <v>124</v>
      </c>
      <c r="S114" s="109" t="s">
        <v>124</v>
      </c>
      <c r="T114" s="109" t="s">
        <v>124</v>
      </c>
      <c r="U114" s="109" t="s">
        <v>124</v>
      </c>
      <c r="V114" s="109" t="s">
        <v>124</v>
      </c>
      <c r="W114" s="109" t="s">
        <v>124</v>
      </c>
      <c r="X114" s="109" t="s">
        <v>124</v>
      </c>
      <c r="Y114" s="109" t="s">
        <v>124</v>
      </c>
      <c r="Z114" s="109" t="s">
        <v>124</v>
      </c>
      <c r="AA114" s="109" t="s">
        <v>124</v>
      </c>
      <c r="AB114" s="109" t="s">
        <v>124</v>
      </c>
      <c r="AC114" s="109" t="s">
        <v>124</v>
      </c>
      <c r="AD114" s="109" t="s">
        <v>124</v>
      </c>
      <c r="AE114" s="109" t="s">
        <v>124</v>
      </c>
      <c r="AF114" s="109" t="s">
        <v>124</v>
      </c>
      <c r="AG114" s="109" t="s">
        <v>124</v>
      </c>
      <c r="AH114" s="109" t="s">
        <v>124</v>
      </c>
      <c r="AI114" s="109" t="s">
        <v>124</v>
      </c>
      <c r="AJ114" s="115" t="s">
        <v>124</v>
      </c>
      <c r="AK114" s="89" t="s">
        <v>124</v>
      </c>
      <c r="AL114" s="90" t="s">
        <v>124</v>
      </c>
      <c r="AM114" s="90" t="s">
        <v>124</v>
      </c>
      <c r="AN114" s="90" t="s">
        <v>124</v>
      </c>
    </row>
    <row r="115" spans="2:40" ht="15" customHeight="1">
      <c r="B115" s="180" t="s">
        <v>125</v>
      </c>
      <c r="C115" s="181"/>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82"/>
      <c r="AF115" s="182"/>
      <c r="AG115" s="182"/>
      <c r="AH115" s="182"/>
      <c r="AI115" s="182"/>
      <c r="AJ115" s="182"/>
      <c r="AK115" s="180"/>
      <c r="AL115" s="183"/>
      <c r="AM115" s="183"/>
      <c r="AN115" s="181"/>
    </row>
    <row r="116" spans="2:40">
      <c r="B116" s="156">
        <v>280102</v>
      </c>
      <c r="C116" s="27" t="s">
        <v>126</v>
      </c>
      <c r="D116" s="112">
        <v>59500</v>
      </c>
      <c r="E116" s="118">
        <f t="shared" ref="E116:E138" si="71">D116*1.05</f>
        <v>62475</v>
      </c>
      <c r="F116" s="70">
        <f>E116*1.045</f>
        <v>65286.374999999993</v>
      </c>
      <c r="G116" s="70">
        <f t="shared" si="32"/>
        <v>67558.340849999993</v>
      </c>
      <c r="H116" s="70">
        <f t="shared" si="33"/>
        <v>75065.423685251997</v>
      </c>
      <c r="I116" s="70">
        <f t="shared" si="34"/>
        <v>69382.416052949993</v>
      </c>
      <c r="J116" s="70">
        <f t="shared" si="34"/>
        <v>77092.19012475379</v>
      </c>
      <c r="K116" s="70">
        <f t="shared" si="35"/>
        <v>71047.594038220792</v>
      </c>
      <c r="L116" s="58">
        <f t="shared" si="35"/>
        <v>78942.402687747875</v>
      </c>
      <c r="M116" s="58">
        <f t="shared" si="36"/>
        <v>72965.879077252743</v>
      </c>
      <c r="N116" s="58">
        <f t="shared" si="36"/>
        <v>81073.847560317066</v>
      </c>
      <c r="O116" s="80">
        <f t="shared" si="37"/>
        <v>74571.128416952299</v>
      </c>
      <c r="P116" s="80">
        <f t="shared" si="37"/>
        <v>82857.472206644044</v>
      </c>
      <c r="Q116" s="101">
        <f t="shared" si="38"/>
        <v>76360.835498959161</v>
      </c>
      <c r="R116" s="80">
        <f t="shared" si="39"/>
        <v>84846.051539603504</v>
      </c>
      <c r="S116" s="101">
        <f t="shared" si="40"/>
        <v>79186.186412420648</v>
      </c>
      <c r="T116" s="80">
        <f t="shared" si="41"/>
        <v>87985.355446568821</v>
      </c>
      <c r="U116" s="101">
        <f t="shared" si="42"/>
        <v>81403.399631968423</v>
      </c>
      <c r="V116" s="114">
        <f t="shared" si="43"/>
        <v>90448.945399072749</v>
      </c>
      <c r="W116" s="80">
        <f t="shared" si="44"/>
        <v>82624.450626447942</v>
      </c>
      <c r="X116" s="80">
        <f t="shared" si="45"/>
        <v>91805.67958005883</v>
      </c>
      <c r="Y116" s="80">
        <f t="shared" si="46"/>
        <v>83946.441836471116</v>
      </c>
      <c r="Z116" s="129" t="s">
        <v>127</v>
      </c>
      <c r="AA116" s="80">
        <f t="shared" si="48"/>
        <v>85541.424231364057</v>
      </c>
      <c r="AB116" s="129" t="s">
        <v>127</v>
      </c>
      <c r="AC116" s="80">
        <f t="shared" si="50"/>
        <v>87166.711291759959</v>
      </c>
      <c r="AD116" s="129" t="s">
        <v>127</v>
      </c>
      <c r="AE116" s="80">
        <f t="shared" si="52"/>
        <v>88997.212228886914</v>
      </c>
      <c r="AF116" s="129" t="s">
        <v>127</v>
      </c>
      <c r="AG116" s="152">
        <f t="shared" si="54"/>
        <v>90154.175987862429</v>
      </c>
      <c r="AH116" s="129" t="s">
        <v>127</v>
      </c>
      <c r="AI116" s="152">
        <f t="shared" si="56"/>
        <v>91957.259507619674</v>
      </c>
      <c r="AJ116" s="129" t="s">
        <v>127</v>
      </c>
      <c r="AK116" s="152">
        <f t="shared" si="58"/>
        <v>94624.020033340639</v>
      </c>
      <c r="AL116" s="129" t="s">
        <v>127</v>
      </c>
      <c r="AM116" s="152">
        <f t="shared" si="60"/>
        <v>100585.33329544109</v>
      </c>
      <c r="AN116" s="178" t="s">
        <v>127</v>
      </c>
    </row>
    <row r="117" spans="2:40">
      <c r="B117" s="19">
        <v>280403</v>
      </c>
      <c r="C117" s="18" t="s">
        <v>128</v>
      </c>
      <c r="D117" s="16">
        <v>21250</v>
      </c>
      <c r="E117" s="17">
        <f t="shared" si="71"/>
        <v>22312.5</v>
      </c>
      <c r="F117" s="57">
        <f>E117*1.045</f>
        <v>23316.5625</v>
      </c>
      <c r="G117" s="57">
        <f t="shared" si="32"/>
        <v>24127.978874999997</v>
      </c>
      <c r="H117" s="57">
        <f t="shared" si="33"/>
        <v>26809.07988759</v>
      </c>
      <c r="I117" s="57">
        <f t="shared" si="34"/>
        <v>24779.434304624996</v>
      </c>
      <c r="J117" s="57">
        <f t="shared" si="34"/>
        <v>27532.925044554926</v>
      </c>
      <c r="K117" s="57">
        <f t="shared" si="35"/>
        <v>25374.140727935996</v>
      </c>
      <c r="L117" s="9">
        <f t="shared" si="35"/>
        <v>28193.715245624244</v>
      </c>
      <c r="M117" s="9">
        <f t="shared" si="36"/>
        <v>26059.242527590264</v>
      </c>
      <c r="N117" s="9">
        <f t="shared" si="36"/>
        <v>28954.945557256095</v>
      </c>
      <c r="O117" s="78">
        <f t="shared" si="37"/>
        <v>26632.545863197251</v>
      </c>
      <c r="P117" s="78">
        <f t="shared" si="37"/>
        <v>29591.95435951573</v>
      </c>
      <c r="Q117" s="1">
        <f t="shared" si="38"/>
        <v>27271.726963913985</v>
      </c>
      <c r="R117" s="78">
        <f t="shared" si="39"/>
        <v>30302.16126414411</v>
      </c>
      <c r="S117" s="1">
        <f t="shared" si="40"/>
        <v>28280.780861578802</v>
      </c>
      <c r="T117" s="78">
        <f t="shared" si="41"/>
        <v>31423.341230917438</v>
      </c>
      <c r="U117" s="1">
        <f t="shared" si="42"/>
        <v>29072.642725703008</v>
      </c>
      <c r="V117" s="99">
        <f t="shared" si="43"/>
        <v>32303.194785383126</v>
      </c>
      <c r="W117" s="78">
        <f t="shared" si="44"/>
        <v>29508.732366588549</v>
      </c>
      <c r="X117" s="78">
        <f t="shared" si="45"/>
        <v>32787.742707163867</v>
      </c>
      <c r="Y117" s="78">
        <f t="shared" si="46"/>
        <v>29980.872084453968</v>
      </c>
      <c r="Z117" s="91" t="s">
        <v>127</v>
      </c>
      <c r="AA117" s="78">
        <f t="shared" si="48"/>
        <v>30550.508654058591</v>
      </c>
      <c r="AB117" s="91" t="s">
        <v>127</v>
      </c>
      <c r="AC117" s="78">
        <f t="shared" si="50"/>
        <v>31130.968318485702</v>
      </c>
      <c r="AD117" s="91" t="s">
        <v>127</v>
      </c>
      <c r="AE117" s="78">
        <f t="shared" si="52"/>
        <v>31784.718653173899</v>
      </c>
      <c r="AF117" s="91" t="s">
        <v>127</v>
      </c>
      <c r="AG117" s="140">
        <f t="shared" si="54"/>
        <v>32197.919995665157</v>
      </c>
      <c r="AH117" s="91" t="s">
        <v>127</v>
      </c>
      <c r="AI117" s="140">
        <f t="shared" si="56"/>
        <v>32841.87839557846</v>
      </c>
      <c r="AJ117" s="91" t="s">
        <v>127</v>
      </c>
      <c r="AK117" s="140">
        <f t="shared" si="58"/>
        <v>33794.29286905023</v>
      </c>
      <c r="AL117" s="91" t="s">
        <v>127</v>
      </c>
      <c r="AM117" s="140">
        <f t="shared" si="60"/>
        <v>35923.333319800397</v>
      </c>
      <c r="AN117" s="107" t="s">
        <v>127</v>
      </c>
    </row>
    <row r="118" spans="2:40">
      <c r="B118" s="19">
        <v>280114</v>
      </c>
      <c r="C118" s="18" t="s">
        <v>129</v>
      </c>
      <c r="D118" s="16">
        <v>208250</v>
      </c>
      <c r="E118" s="17">
        <f t="shared" si="71"/>
        <v>218662.5</v>
      </c>
      <c r="F118" s="57">
        <f>E118*1.045</f>
        <v>228502.31249999997</v>
      </c>
      <c r="G118" s="57">
        <f t="shared" si="32"/>
        <v>236454.19297499995</v>
      </c>
      <c r="H118" s="57">
        <f t="shared" si="33"/>
        <v>262728.98289838195</v>
      </c>
      <c r="I118" s="57">
        <f t="shared" si="34"/>
        <v>242838.45618532493</v>
      </c>
      <c r="J118" s="57">
        <f t="shared" si="34"/>
        <v>269822.66543663823</v>
      </c>
      <c r="K118" s="57">
        <f t="shared" si="35"/>
        <v>248666.57913377273</v>
      </c>
      <c r="L118" s="9">
        <f t="shared" si="35"/>
        <v>276298.40940711758</v>
      </c>
      <c r="M118" s="9">
        <f t="shared" si="36"/>
        <v>255380.57677038456</v>
      </c>
      <c r="N118" s="9">
        <f t="shared" si="36"/>
        <v>283758.46646110975</v>
      </c>
      <c r="O118" s="78">
        <f t="shared" si="37"/>
        <v>260998.94945933303</v>
      </c>
      <c r="P118" s="78">
        <f t="shared" si="37"/>
        <v>290001.15272325417</v>
      </c>
      <c r="Q118" s="1">
        <f t="shared" si="38"/>
        <v>267262.92424635706</v>
      </c>
      <c r="R118" s="78">
        <f t="shared" si="39"/>
        <v>296961.18038861227</v>
      </c>
      <c r="S118" s="1">
        <f t="shared" si="40"/>
        <v>277151.65244347224</v>
      </c>
      <c r="T118" s="78">
        <f t="shared" si="41"/>
        <v>307948.74406299088</v>
      </c>
      <c r="U118" s="1">
        <f t="shared" si="42"/>
        <v>284911.89871188946</v>
      </c>
      <c r="V118" s="99">
        <f t="shared" si="43"/>
        <v>316571.30889675464</v>
      </c>
      <c r="W118" s="78">
        <f t="shared" si="44"/>
        <v>289185.57719256775</v>
      </c>
      <c r="X118" s="78">
        <f t="shared" si="45"/>
        <v>321319.87853020593</v>
      </c>
      <c r="Y118" s="78">
        <f t="shared" si="46"/>
        <v>293812.54642764886</v>
      </c>
      <c r="Z118" s="78">
        <f t="shared" si="47"/>
        <v>326460.9965866892</v>
      </c>
      <c r="AA118" s="78">
        <f t="shared" si="48"/>
        <v>299394.98480977415</v>
      </c>
      <c r="AB118" s="80">
        <f t="shared" si="49"/>
        <v>332663.75552183628</v>
      </c>
      <c r="AC118" s="1">
        <f t="shared" si="50"/>
        <v>305083.48952115985</v>
      </c>
      <c r="AD118" s="80">
        <f t="shared" si="51"/>
        <v>338984.36687675113</v>
      </c>
      <c r="AE118" s="1">
        <f t="shared" si="52"/>
        <v>311490.24280110415</v>
      </c>
      <c r="AF118" s="80">
        <f t="shared" si="53"/>
        <v>346103.03858116287</v>
      </c>
      <c r="AG118" s="141">
        <f t="shared" si="54"/>
        <v>315539.61595751846</v>
      </c>
      <c r="AH118" s="152">
        <f t="shared" si="55"/>
        <v>350602.37808271794</v>
      </c>
      <c r="AI118" s="141">
        <f t="shared" si="56"/>
        <v>321850.40827666881</v>
      </c>
      <c r="AJ118" s="152">
        <f t="shared" si="57"/>
        <v>357614.4256443723</v>
      </c>
      <c r="AK118" s="141">
        <f t="shared" si="58"/>
        <v>331184.07011669216</v>
      </c>
      <c r="AL118" s="152">
        <f t="shared" si="59"/>
        <v>367985.24398805905</v>
      </c>
      <c r="AM118" s="141">
        <f t="shared" si="60"/>
        <v>352048.66653404373</v>
      </c>
      <c r="AN118" s="143">
        <f t="shared" si="61"/>
        <v>391168.31435930677</v>
      </c>
    </row>
    <row r="119" spans="2:40">
      <c r="B119" s="19">
        <v>280120</v>
      </c>
      <c r="C119" s="18" t="s">
        <v>130</v>
      </c>
      <c r="D119" s="16">
        <v>38250</v>
      </c>
      <c r="E119" s="17">
        <f t="shared" si="71"/>
        <v>40162.5</v>
      </c>
      <c r="F119" s="57">
        <f>E119*1.045</f>
        <v>41969.8125</v>
      </c>
      <c r="G119" s="57">
        <f t="shared" si="32"/>
        <v>43430.361975</v>
      </c>
      <c r="H119" s="57">
        <f t="shared" si="33"/>
        <v>48256.343797662004</v>
      </c>
      <c r="I119" s="57">
        <f t="shared" si="34"/>
        <v>44602.981748324994</v>
      </c>
      <c r="J119" s="57">
        <f t="shared" si="34"/>
        <v>49559.265080198871</v>
      </c>
      <c r="K119" s="57">
        <f t="shared" si="35"/>
        <v>45673.453310284793</v>
      </c>
      <c r="L119" s="9">
        <f t="shared" si="35"/>
        <v>50748.687442123643</v>
      </c>
      <c r="M119" s="9">
        <f t="shared" si="36"/>
        <v>46906.636549662479</v>
      </c>
      <c r="N119" s="9">
        <f t="shared" si="36"/>
        <v>52118.902003060975</v>
      </c>
      <c r="O119" s="78">
        <f t="shared" si="37"/>
        <v>47938.582553755055</v>
      </c>
      <c r="P119" s="78">
        <f t="shared" si="37"/>
        <v>53265.517847128314</v>
      </c>
      <c r="Q119" s="1">
        <f t="shared" si="38"/>
        <v>49089.108535045176</v>
      </c>
      <c r="R119" s="78">
        <f t="shared" si="39"/>
        <v>54543.890275459395</v>
      </c>
      <c r="S119" s="1">
        <f t="shared" si="40"/>
        <v>50905.405550841846</v>
      </c>
      <c r="T119" s="78">
        <f t="shared" si="41"/>
        <v>56562.01421565139</v>
      </c>
      <c r="U119" s="1">
        <f t="shared" si="42"/>
        <v>52330.756906265422</v>
      </c>
      <c r="V119" s="99">
        <f t="shared" si="43"/>
        <v>58145.750613689634</v>
      </c>
      <c r="W119" s="78">
        <f t="shared" si="44"/>
        <v>53115.718259859401</v>
      </c>
      <c r="X119" s="78">
        <f t="shared" si="45"/>
        <v>59017.93687289497</v>
      </c>
      <c r="Y119" s="78">
        <f t="shared" si="46"/>
        <v>53965.569752017152</v>
      </c>
      <c r="Z119" s="78">
        <f t="shared" si="47"/>
        <v>59962.22386286129</v>
      </c>
      <c r="AA119" s="79">
        <f t="shared" si="48"/>
        <v>54990.915577305474</v>
      </c>
      <c r="AB119" s="79">
        <f t="shared" si="49"/>
        <v>61101.506116255652</v>
      </c>
      <c r="AC119" s="100">
        <f t="shared" si="50"/>
        <v>56035.742973274275</v>
      </c>
      <c r="AD119" s="79">
        <f t="shared" si="51"/>
        <v>62262.434732464506</v>
      </c>
      <c r="AE119" s="100">
        <f t="shared" si="52"/>
        <v>57212.49357571303</v>
      </c>
      <c r="AF119" s="79">
        <f t="shared" si="53"/>
        <v>63569.945861846252</v>
      </c>
      <c r="AG119" s="142">
        <f t="shared" si="54"/>
        <v>57956.255992197293</v>
      </c>
      <c r="AH119" s="174">
        <f t="shared" si="55"/>
        <v>64396.355158050246</v>
      </c>
      <c r="AI119" s="142">
        <f t="shared" si="56"/>
        <v>59115.381112041243</v>
      </c>
      <c r="AJ119" s="174">
        <f t="shared" si="57"/>
        <v>65684.28226121125</v>
      </c>
      <c r="AK119" s="142">
        <f t="shared" si="58"/>
        <v>60829.727164290431</v>
      </c>
      <c r="AL119" s="174">
        <f t="shared" si="59"/>
        <v>67589.126446786366</v>
      </c>
      <c r="AM119" s="142">
        <f t="shared" si="60"/>
        <v>64661.999975640727</v>
      </c>
      <c r="AN119" s="142">
        <f t="shared" si="61"/>
        <v>71847.241412933901</v>
      </c>
    </row>
    <row r="120" spans="2:40">
      <c r="B120" s="155">
        <v>280112</v>
      </c>
      <c r="C120" s="25" t="s">
        <v>131</v>
      </c>
      <c r="D120" s="54">
        <v>17000</v>
      </c>
      <c r="E120" s="55">
        <f t="shared" si="71"/>
        <v>17850</v>
      </c>
      <c r="F120" s="75">
        <f>E120*1.045</f>
        <v>18653.25</v>
      </c>
      <c r="G120" s="75">
        <f t="shared" si="32"/>
        <v>19302.383099999999</v>
      </c>
      <c r="H120" s="75">
        <f t="shared" si="33"/>
        <v>21447.263910072001</v>
      </c>
      <c r="I120" s="75">
        <f t="shared" si="34"/>
        <v>19823.547443699998</v>
      </c>
      <c r="J120" s="75">
        <f t="shared" si="34"/>
        <v>22026.340035643942</v>
      </c>
      <c r="K120" s="75">
        <f t="shared" si="35"/>
        <v>20299.312582348797</v>
      </c>
      <c r="L120" s="71">
        <f t="shared" si="35"/>
        <v>22554.972196499395</v>
      </c>
      <c r="M120" s="71">
        <f t="shared" si="36"/>
        <v>20847.394022072214</v>
      </c>
      <c r="N120" s="71">
        <f t="shared" si="36"/>
        <v>23163.956445804877</v>
      </c>
      <c r="O120" s="79">
        <f t="shared" si="37"/>
        <v>21306.036690557805</v>
      </c>
      <c r="P120" s="79">
        <f t="shared" si="37"/>
        <v>23673.563487612584</v>
      </c>
      <c r="Q120" s="100">
        <f t="shared" si="38"/>
        <v>21817.381571131191</v>
      </c>
      <c r="R120" s="79">
        <f t="shared" si="39"/>
        <v>24241.729011315285</v>
      </c>
      <c r="S120" s="100">
        <f t="shared" si="40"/>
        <v>22624.624689263044</v>
      </c>
      <c r="T120" s="79">
        <f t="shared" si="41"/>
        <v>25138.672984733948</v>
      </c>
      <c r="U120" s="100">
        <f t="shared" si="42"/>
        <v>23258.11418056241</v>
      </c>
      <c r="V120" s="119">
        <f t="shared" si="43"/>
        <v>25842.5558283065</v>
      </c>
      <c r="W120" s="79">
        <f t="shared" si="44"/>
        <v>23606.985893270845</v>
      </c>
      <c r="X120" s="79">
        <f t="shared" si="45"/>
        <v>26230.194165731096</v>
      </c>
      <c r="Y120" s="130" t="s">
        <v>127</v>
      </c>
      <c r="Z120" s="130" t="s">
        <v>127</v>
      </c>
      <c r="AA120" s="131" t="s">
        <v>127</v>
      </c>
      <c r="AB120" s="130" t="s">
        <v>127</v>
      </c>
      <c r="AC120" s="131" t="s">
        <v>127</v>
      </c>
      <c r="AD120" s="130" t="s">
        <v>127</v>
      </c>
      <c r="AE120" s="131" t="s">
        <v>127</v>
      </c>
      <c r="AF120" s="130" t="s">
        <v>127</v>
      </c>
      <c r="AG120" s="131" t="s">
        <v>127</v>
      </c>
      <c r="AH120" s="130" t="s">
        <v>127</v>
      </c>
      <c r="AI120" s="131" t="s">
        <v>127</v>
      </c>
      <c r="AJ120" s="130" t="s">
        <v>127</v>
      </c>
      <c r="AK120" s="130" t="s">
        <v>127</v>
      </c>
      <c r="AL120" s="131" t="s">
        <v>127</v>
      </c>
      <c r="AM120" s="131" t="s">
        <v>127</v>
      </c>
      <c r="AN120" s="131" t="s">
        <v>127</v>
      </c>
    </row>
    <row r="121" spans="2:40" ht="15" customHeight="1">
      <c r="B121" s="180" t="s">
        <v>132</v>
      </c>
      <c r="C121" s="181"/>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c r="Z121" s="182"/>
      <c r="AA121" s="182"/>
      <c r="AB121" s="182"/>
      <c r="AC121" s="182"/>
      <c r="AD121" s="182"/>
      <c r="AE121" s="182"/>
      <c r="AF121" s="182"/>
      <c r="AG121" s="182"/>
      <c r="AH121" s="182"/>
      <c r="AI121" s="182"/>
      <c r="AJ121" s="182"/>
      <c r="AK121" s="180"/>
      <c r="AL121" s="183"/>
      <c r="AM121" s="183"/>
      <c r="AN121" s="181"/>
    </row>
    <row r="122" spans="2:40">
      <c r="B122" s="36" t="s">
        <v>133</v>
      </c>
      <c r="C122" s="37" t="s">
        <v>134</v>
      </c>
      <c r="D122" s="112">
        <v>34622.0168241024</v>
      </c>
      <c r="E122" s="118">
        <f t="shared" si="71"/>
        <v>36353.117665307524</v>
      </c>
      <c r="F122" s="70">
        <f>E122*1.045</f>
        <v>37989.007960246359</v>
      </c>
      <c r="G122" s="70">
        <f t="shared" si="32"/>
        <v>39311.025437262928</v>
      </c>
      <c r="H122" s="70">
        <f t="shared" si="33"/>
        <v>43679.26658385159</v>
      </c>
      <c r="I122" s="70">
        <f t="shared" si="34"/>
        <v>40372.423124069021</v>
      </c>
      <c r="J122" s="70">
        <f t="shared" si="34"/>
        <v>44858.606781615577</v>
      </c>
      <c r="K122" s="70">
        <f t="shared" si="35"/>
        <v>41341.36127904668</v>
      </c>
      <c r="L122" s="58">
        <f t="shared" si="35"/>
        <v>45935.213344374351</v>
      </c>
      <c r="M122" s="58">
        <f t="shared" si="36"/>
        <v>42457.57803358094</v>
      </c>
      <c r="N122" s="58">
        <f t="shared" si="36"/>
        <v>47175.464104672457</v>
      </c>
      <c r="O122" s="80">
        <f t="shared" si="37"/>
        <v>43391.64475031972</v>
      </c>
      <c r="P122" s="80">
        <f t="shared" si="37"/>
        <v>48213.324314975252</v>
      </c>
      <c r="Q122" s="101">
        <f t="shared" si="38"/>
        <v>44433.044224327394</v>
      </c>
      <c r="R122" s="80">
        <f t="shared" si="39"/>
        <v>49370.444098534659</v>
      </c>
      <c r="S122" s="101">
        <f t="shared" si="40"/>
        <v>46077.066860627507</v>
      </c>
      <c r="T122" s="80">
        <f t="shared" si="41"/>
        <v>51197.150530180435</v>
      </c>
      <c r="U122" s="101">
        <f t="shared" si="42"/>
        <v>47367.224732725081</v>
      </c>
      <c r="V122" s="114">
        <f t="shared" si="43"/>
        <v>52630.670745025491</v>
      </c>
      <c r="W122" s="80">
        <f t="shared" si="44"/>
        <v>48077.733103715953</v>
      </c>
      <c r="X122" s="80">
        <f t="shared" si="45"/>
        <v>53420.130806200868</v>
      </c>
      <c r="Y122" s="80">
        <f t="shared" si="46"/>
        <v>48846.976833375411</v>
      </c>
      <c r="Z122" s="80">
        <f t="shared" si="47"/>
        <v>54274.852899100086</v>
      </c>
      <c r="AA122" s="80">
        <f t="shared" si="48"/>
        <v>49775.069393209538</v>
      </c>
      <c r="AB122" s="80">
        <f t="shared" si="49"/>
        <v>55306.075104182979</v>
      </c>
      <c r="AC122" s="101">
        <f t="shared" si="50"/>
        <v>50720.795711680512</v>
      </c>
      <c r="AD122" s="80">
        <f t="shared" si="51"/>
        <v>56356.890531162448</v>
      </c>
      <c r="AE122" s="101">
        <f t="shared" si="52"/>
        <v>51785.932421625796</v>
      </c>
      <c r="AF122" s="80">
        <f t="shared" si="53"/>
        <v>57540.385232316854</v>
      </c>
      <c r="AG122" s="143">
        <f t="shared" si="54"/>
        <v>52459.149543106927</v>
      </c>
      <c r="AH122" s="152">
        <f t="shared" si="55"/>
        <v>58288.410240336969</v>
      </c>
      <c r="AI122" s="143">
        <f t="shared" si="56"/>
        <v>53508.332533969064</v>
      </c>
      <c r="AJ122" s="152">
        <f t="shared" si="57"/>
        <v>59454.178445143712</v>
      </c>
      <c r="AK122" s="143">
        <f t="shared" si="58"/>
        <v>55060.07417745416</v>
      </c>
      <c r="AL122" s="152">
        <f t="shared" si="59"/>
        <v>61178.349620052875</v>
      </c>
      <c r="AM122" s="143">
        <f t="shared" si="60"/>
        <v>58528.858850633769</v>
      </c>
      <c r="AN122" s="143">
        <f t="shared" si="61"/>
        <v>65032.585646116204</v>
      </c>
    </row>
    <row r="123" spans="2:40">
      <c r="B123" s="38" t="s">
        <v>135</v>
      </c>
      <c r="C123" s="39" t="s">
        <v>136</v>
      </c>
      <c r="D123" s="16">
        <v>34622.0168241024</v>
      </c>
      <c r="E123" s="17">
        <f t="shared" si="71"/>
        <v>36353.117665307524</v>
      </c>
      <c r="F123" s="57">
        <f>E123*1.045</f>
        <v>37989.007960246359</v>
      </c>
      <c r="G123" s="57">
        <f t="shared" si="32"/>
        <v>39311.025437262928</v>
      </c>
      <c r="H123" s="57">
        <f t="shared" si="33"/>
        <v>43679.26658385159</v>
      </c>
      <c r="I123" s="57">
        <f t="shared" si="34"/>
        <v>40372.423124069021</v>
      </c>
      <c r="J123" s="57">
        <f t="shared" si="34"/>
        <v>44858.606781615577</v>
      </c>
      <c r="K123" s="57">
        <f t="shared" si="35"/>
        <v>41341.36127904668</v>
      </c>
      <c r="L123" s="9">
        <f t="shared" si="35"/>
        <v>45935.213344374351</v>
      </c>
      <c r="M123" s="9">
        <f t="shared" si="36"/>
        <v>42457.57803358094</v>
      </c>
      <c r="N123" s="9">
        <f t="shared" si="36"/>
        <v>47175.464104672457</v>
      </c>
      <c r="O123" s="78">
        <f t="shared" si="37"/>
        <v>43391.64475031972</v>
      </c>
      <c r="P123" s="78">
        <f t="shared" si="37"/>
        <v>48213.324314975252</v>
      </c>
      <c r="Q123" s="1">
        <f t="shared" si="38"/>
        <v>44433.044224327394</v>
      </c>
      <c r="R123" s="78">
        <f t="shared" si="39"/>
        <v>49370.444098534659</v>
      </c>
      <c r="S123" s="1">
        <f t="shared" si="40"/>
        <v>46077.066860627507</v>
      </c>
      <c r="T123" s="78">
        <f t="shared" si="41"/>
        <v>51197.150530180435</v>
      </c>
      <c r="U123" s="1">
        <f t="shared" si="42"/>
        <v>47367.224732725081</v>
      </c>
      <c r="V123" s="99">
        <f t="shared" si="43"/>
        <v>52630.670745025491</v>
      </c>
      <c r="W123" s="78">
        <f t="shared" si="44"/>
        <v>48077.733103715953</v>
      </c>
      <c r="X123" s="78">
        <f t="shared" si="45"/>
        <v>53420.130806200868</v>
      </c>
      <c r="Y123" s="78">
        <f t="shared" si="46"/>
        <v>48846.976833375411</v>
      </c>
      <c r="Z123" s="78">
        <f t="shared" si="47"/>
        <v>54274.852899100086</v>
      </c>
      <c r="AA123" s="78">
        <f t="shared" si="48"/>
        <v>49775.069393209538</v>
      </c>
      <c r="AB123" s="78">
        <f t="shared" si="49"/>
        <v>55306.075104182979</v>
      </c>
      <c r="AC123" s="1">
        <f t="shared" si="50"/>
        <v>50720.795711680512</v>
      </c>
      <c r="AD123" s="78">
        <f t="shared" si="51"/>
        <v>56356.890531162448</v>
      </c>
      <c r="AE123" s="1">
        <f t="shared" si="52"/>
        <v>51785.932421625796</v>
      </c>
      <c r="AF123" s="78">
        <f t="shared" si="53"/>
        <v>57540.385232316854</v>
      </c>
      <c r="AG123" s="141">
        <f t="shared" si="54"/>
        <v>52459.149543106927</v>
      </c>
      <c r="AH123" s="140">
        <f t="shared" si="55"/>
        <v>58288.410240336969</v>
      </c>
      <c r="AI123" s="141">
        <f t="shared" si="56"/>
        <v>53508.332533969064</v>
      </c>
      <c r="AJ123" s="140">
        <f t="shared" si="57"/>
        <v>59454.178445143712</v>
      </c>
      <c r="AK123" s="141">
        <f t="shared" si="58"/>
        <v>55060.07417745416</v>
      </c>
      <c r="AL123" s="140">
        <f t="shared" si="59"/>
        <v>61178.349620052875</v>
      </c>
      <c r="AM123" s="141">
        <f t="shared" si="60"/>
        <v>58528.858850633769</v>
      </c>
      <c r="AN123" s="141">
        <f t="shared" si="61"/>
        <v>65032.585646116204</v>
      </c>
    </row>
    <row r="124" spans="2:40">
      <c r="B124" s="38" t="s">
        <v>137</v>
      </c>
      <c r="C124" s="39" t="s">
        <v>138</v>
      </c>
      <c r="D124" s="16">
        <v>34622.0168241024</v>
      </c>
      <c r="E124" s="17">
        <f t="shared" si="71"/>
        <v>36353.117665307524</v>
      </c>
      <c r="F124" s="57">
        <f>E124*1.045</f>
        <v>37989.007960246359</v>
      </c>
      <c r="G124" s="57">
        <f t="shared" si="32"/>
        <v>39311.025437262928</v>
      </c>
      <c r="H124" s="57">
        <f t="shared" si="33"/>
        <v>43679.26658385159</v>
      </c>
      <c r="I124" s="57">
        <f t="shared" si="34"/>
        <v>40372.423124069021</v>
      </c>
      <c r="J124" s="57">
        <f t="shared" si="34"/>
        <v>44858.606781615577</v>
      </c>
      <c r="K124" s="57">
        <f t="shared" si="35"/>
        <v>41341.36127904668</v>
      </c>
      <c r="L124" s="9">
        <f t="shared" si="35"/>
        <v>45935.213344374351</v>
      </c>
      <c r="M124" s="9">
        <f t="shared" si="36"/>
        <v>42457.57803358094</v>
      </c>
      <c r="N124" s="9">
        <f t="shared" si="36"/>
        <v>47175.464104672457</v>
      </c>
      <c r="O124" s="78">
        <f t="shared" si="37"/>
        <v>43391.64475031972</v>
      </c>
      <c r="P124" s="78">
        <f t="shared" si="37"/>
        <v>48213.324314975252</v>
      </c>
      <c r="Q124" s="1">
        <f t="shared" si="38"/>
        <v>44433.044224327394</v>
      </c>
      <c r="R124" s="78">
        <f t="shared" si="39"/>
        <v>49370.444098534659</v>
      </c>
      <c r="S124" s="1">
        <f t="shared" si="40"/>
        <v>46077.066860627507</v>
      </c>
      <c r="T124" s="78">
        <f t="shared" si="41"/>
        <v>51197.150530180435</v>
      </c>
      <c r="U124" s="1">
        <f t="shared" si="42"/>
        <v>47367.224732725081</v>
      </c>
      <c r="V124" s="99">
        <f t="shared" si="43"/>
        <v>52630.670745025491</v>
      </c>
      <c r="W124" s="78">
        <f t="shared" si="44"/>
        <v>48077.733103715953</v>
      </c>
      <c r="X124" s="78">
        <f t="shared" si="45"/>
        <v>53420.130806200868</v>
      </c>
      <c r="Y124" s="78">
        <f t="shared" si="46"/>
        <v>48846.976833375411</v>
      </c>
      <c r="Z124" s="78">
        <f t="shared" si="47"/>
        <v>54274.852899100086</v>
      </c>
      <c r="AA124" s="78">
        <f t="shared" si="48"/>
        <v>49775.069393209538</v>
      </c>
      <c r="AB124" s="78">
        <f t="shared" si="49"/>
        <v>55306.075104182979</v>
      </c>
      <c r="AC124" s="1">
        <f t="shared" si="50"/>
        <v>50720.795711680512</v>
      </c>
      <c r="AD124" s="78">
        <f t="shared" si="51"/>
        <v>56356.890531162448</v>
      </c>
      <c r="AE124" s="1">
        <f t="shared" si="52"/>
        <v>51785.932421625796</v>
      </c>
      <c r="AF124" s="78">
        <f t="shared" si="53"/>
        <v>57540.385232316854</v>
      </c>
      <c r="AG124" s="141">
        <f t="shared" si="54"/>
        <v>52459.149543106927</v>
      </c>
      <c r="AH124" s="140">
        <f t="shared" si="55"/>
        <v>58288.410240336969</v>
      </c>
      <c r="AI124" s="141">
        <f t="shared" si="56"/>
        <v>53508.332533969064</v>
      </c>
      <c r="AJ124" s="140">
        <f t="shared" si="57"/>
        <v>59454.178445143712</v>
      </c>
      <c r="AK124" s="141">
        <f t="shared" si="58"/>
        <v>55060.07417745416</v>
      </c>
      <c r="AL124" s="140">
        <f t="shared" si="59"/>
        <v>61178.349620052875</v>
      </c>
      <c r="AM124" s="141">
        <f t="shared" si="60"/>
        <v>58528.858850633769</v>
      </c>
      <c r="AN124" s="141">
        <f t="shared" si="61"/>
        <v>65032.585646116204</v>
      </c>
    </row>
    <row r="125" spans="2:40">
      <c r="B125" s="38" t="s">
        <v>139</v>
      </c>
      <c r="C125" s="39" t="s">
        <v>140</v>
      </c>
      <c r="D125" s="16">
        <v>72032.474428992005</v>
      </c>
      <c r="E125" s="17">
        <f t="shared" si="71"/>
        <v>75634.098150441612</v>
      </c>
      <c r="F125" s="57">
        <f>E125*1.045</f>
        <v>79037.632567211476</v>
      </c>
      <c r="G125" s="57">
        <f t="shared" si="32"/>
        <v>81788.142180550436</v>
      </c>
      <c r="H125" s="57">
        <f t="shared" si="33"/>
        <v>90876.440539653209</v>
      </c>
      <c r="I125" s="57">
        <f t="shared" si="34"/>
        <v>83996.422019425285</v>
      </c>
      <c r="J125" s="57">
        <f t="shared" si="34"/>
        <v>93330.104434223831</v>
      </c>
      <c r="K125" s="57">
        <f t="shared" si="35"/>
        <v>86012.336147891489</v>
      </c>
      <c r="L125" s="9">
        <f t="shared" si="35"/>
        <v>95570.026940645199</v>
      </c>
      <c r="M125" s="9">
        <f t="shared" si="36"/>
        <v>88334.669223884557</v>
      </c>
      <c r="N125" s="9">
        <f t="shared" si="36"/>
        <v>98150.417668042617</v>
      </c>
      <c r="O125" s="78">
        <f t="shared" si="37"/>
        <v>90278.031946810021</v>
      </c>
      <c r="P125" s="78">
        <f t="shared" si="37"/>
        <v>100309.72685673955</v>
      </c>
      <c r="Q125" s="1">
        <f t="shared" si="38"/>
        <v>92444.704713533458</v>
      </c>
      <c r="R125" s="78">
        <f t="shared" si="39"/>
        <v>102717.16030130131</v>
      </c>
      <c r="S125" s="1">
        <f t="shared" si="40"/>
        <v>95865.158787934182</v>
      </c>
      <c r="T125" s="78">
        <f t="shared" si="41"/>
        <v>106517.69523244945</v>
      </c>
      <c r="U125" s="1">
        <f t="shared" si="42"/>
        <v>98549.383233996341</v>
      </c>
      <c r="V125" s="99">
        <f t="shared" si="43"/>
        <v>109500.19069895803</v>
      </c>
      <c r="W125" s="78">
        <f t="shared" si="44"/>
        <v>100027.62398250628</v>
      </c>
      <c r="X125" s="78">
        <f t="shared" si="45"/>
        <v>111142.69355944238</v>
      </c>
      <c r="Y125" s="78">
        <f t="shared" si="46"/>
        <v>101628.06596622638</v>
      </c>
      <c r="Z125" s="78">
        <f t="shared" si="47"/>
        <v>112920.97665639347</v>
      </c>
      <c r="AA125" s="78">
        <f t="shared" si="48"/>
        <v>103558.99921958467</v>
      </c>
      <c r="AB125" s="78">
        <f t="shared" si="49"/>
        <v>115066.47521286493</v>
      </c>
      <c r="AC125" s="1">
        <f t="shared" si="50"/>
        <v>105526.62020475676</v>
      </c>
      <c r="AD125" s="78">
        <f t="shared" si="51"/>
        <v>117252.73824190935</v>
      </c>
      <c r="AE125" s="1">
        <f t="shared" si="52"/>
        <v>107742.67922905665</v>
      </c>
      <c r="AF125" s="78">
        <f t="shared" si="53"/>
        <v>119715.04574498943</v>
      </c>
      <c r="AG125" s="141">
        <f t="shared" si="54"/>
        <v>109143.33405903437</v>
      </c>
      <c r="AH125" s="140">
        <f t="shared" si="55"/>
        <v>121271.34133967428</v>
      </c>
      <c r="AI125" s="141">
        <f t="shared" si="56"/>
        <v>111326.20074021506</v>
      </c>
      <c r="AJ125" s="140">
        <f t="shared" si="57"/>
        <v>123696.76816646777</v>
      </c>
      <c r="AK125" s="141">
        <f t="shared" si="58"/>
        <v>114554.66056168129</v>
      </c>
      <c r="AL125" s="140">
        <f t="shared" si="59"/>
        <v>127283.97444329532</v>
      </c>
      <c r="AM125" s="141">
        <f t="shared" si="60"/>
        <v>121771.6041770672</v>
      </c>
      <c r="AN125" s="141">
        <f t="shared" si="61"/>
        <v>135302.86483322291</v>
      </c>
    </row>
    <row r="126" spans="2:40">
      <c r="B126" s="38" t="s">
        <v>141</v>
      </c>
      <c r="C126" s="39" t="s">
        <v>142</v>
      </c>
      <c r="D126" s="16">
        <v>72032.474428992005</v>
      </c>
      <c r="E126" s="17">
        <f t="shared" si="71"/>
        <v>75634.098150441612</v>
      </c>
      <c r="F126" s="57">
        <f>E126*1.045</f>
        <v>79037.632567211476</v>
      </c>
      <c r="G126" s="57">
        <f t="shared" si="32"/>
        <v>81788.142180550436</v>
      </c>
      <c r="H126" s="57">
        <f t="shared" si="33"/>
        <v>90876.440539653209</v>
      </c>
      <c r="I126" s="57">
        <f t="shared" si="34"/>
        <v>83996.422019425285</v>
      </c>
      <c r="J126" s="57">
        <f t="shared" si="34"/>
        <v>93330.104434223831</v>
      </c>
      <c r="K126" s="57">
        <f t="shared" si="35"/>
        <v>86012.336147891489</v>
      </c>
      <c r="L126" s="9">
        <f t="shared" si="35"/>
        <v>95570.026940645199</v>
      </c>
      <c r="M126" s="9">
        <f t="shared" si="36"/>
        <v>88334.669223884557</v>
      </c>
      <c r="N126" s="9">
        <f t="shared" si="36"/>
        <v>98150.417668042617</v>
      </c>
      <c r="O126" s="78">
        <f t="shared" si="37"/>
        <v>90278.031946810021</v>
      </c>
      <c r="P126" s="78">
        <f t="shared" si="37"/>
        <v>100309.72685673955</v>
      </c>
      <c r="Q126" s="1">
        <f t="shared" si="38"/>
        <v>92444.704713533458</v>
      </c>
      <c r="R126" s="78">
        <f t="shared" si="39"/>
        <v>102717.16030130131</v>
      </c>
      <c r="S126" s="1">
        <f t="shared" si="40"/>
        <v>95865.158787934182</v>
      </c>
      <c r="T126" s="78">
        <f t="shared" si="41"/>
        <v>106517.69523244945</v>
      </c>
      <c r="U126" s="1">
        <f t="shared" si="42"/>
        <v>98549.383233996341</v>
      </c>
      <c r="V126" s="99">
        <f t="shared" si="43"/>
        <v>109500.19069895803</v>
      </c>
      <c r="W126" s="78">
        <f t="shared" si="44"/>
        <v>100027.62398250628</v>
      </c>
      <c r="X126" s="78">
        <f t="shared" si="45"/>
        <v>111142.69355944238</v>
      </c>
      <c r="Y126" s="78">
        <f t="shared" si="46"/>
        <v>101628.06596622638</v>
      </c>
      <c r="Z126" s="78">
        <f t="shared" si="47"/>
        <v>112920.97665639347</v>
      </c>
      <c r="AA126" s="78">
        <f t="shared" si="48"/>
        <v>103558.99921958467</v>
      </c>
      <c r="AB126" s="78">
        <f t="shared" si="49"/>
        <v>115066.47521286493</v>
      </c>
      <c r="AC126" s="1">
        <f t="shared" si="50"/>
        <v>105526.62020475676</v>
      </c>
      <c r="AD126" s="78">
        <f t="shared" si="51"/>
        <v>117252.73824190935</v>
      </c>
      <c r="AE126" s="1">
        <f t="shared" si="52"/>
        <v>107742.67922905665</v>
      </c>
      <c r="AF126" s="78">
        <f t="shared" si="53"/>
        <v>119715.04574498943</v>
      </c>
      <c r="AG126" s="141">
        <f t="shared" si="54"/>
        <v>109143.33405903437</v>
      </c>
      <c r="AH126" s="140">
        <f t="shared" si="55"/>
        <v>121271.34133967428</v>
      </c>
      <c r="AI126" s="141">
        <f t="shared" si="56"/>
        <v>111326.20074021506</v>
      </c>
      <c r="AJ126" s="140">
        <f t="shared" si="57"/>
        <v>123696.76816646777</v>
      </c>
      <c r="AK126" s="141">
        <f t="shared" si="58"/>
        <v>114554.66056168129</v>
      </c>
      <c r="AL126" s="140">
        <f t="shared" si="59"/>
        <v>127283.97444329532</v>
      </c>
      <c r="AM126" s="141">
        <f t="shared" si="60"/>
        <v>121771.6041770672</v>
      </c>
      <c r="AN126" s="141">
        <f t="shared" si="61"/>
        <v>135302.86483322291</v>
      </c>
    </row>
    <row r="127" spans="2:40">
      <c r="B127" s="38" t="s">
        <v>143</v>
      </c>
      <c r="C127" s="39" t="s">
        <v>144</v>
      </c>
      <c r="D127" s="16">
        <v>72032.474428992005</v>
      </c>
      <c r="E127" s="17">
        <f t="shared" si="71"/>
        <v>75634.098150441612</v>
      </c>
      <c r="F127" s="57">
        <f>E127*1.045</f>
        <v>79037.632567211476</v>
      </c>
      <c r="G127" s="57">
        <f t="shared" si="32"/>
        <v>81788.142180550436</v>
      </c>
      <c r="H127" s="57">
        <f t="shared" si="33"/>
        <v>90876.440539653209</v>
      </c>
      <c r="I127" s="57">
        <f t="shared" si="34"/>
        <v>83996.422019425285</v>
      </c>
      <c r="J127" s="57">
        <f t="shared" si="34"/>
        <v>93330.104434223831</v>
      </c>
      <c r="K127" s="57">
        <f t="shared" si="35"/>
        <v>86012.336147891489</v>
      </c>
      <c r="L127" s="9">
        <f t="shared" si="35"/>
        <v>95570.026940645199</v>
      </c>
      <c r="M127" s="9">
        <f t="shared" si="36"/>
        <v>88334.669223884557</v>
      </c>
      <c r="N127" s="9">
        <f t="shared" si="36"/>
        <v>98150.417668042617</v>
      </c>
      <c r="O127" s="78">
        <f t="shared" si="37"/>
        <v>90278.031946810021</v>
      </c>
      <c r="P127" s="78">
        <f t="shared" si="37"/>
        <v>100309.72685673955</v>
      </c>
      <c r="Q127" s="1">
        <f t="shared" si="38"/>
        <v>92444.704713533458</v>
      </c>
      <c r="R127" s="78">
        <f t="shared" si="39"/>
        <v>102717.16030130131</v>
      </c>
      <c r="S127" s="1">
        <f t="shared" si="40"/>
        <v>95865.158787934182</v>
      </c>
      <c r="T127" s="78">
        <f t="shared" si="41"/>
        <v>106517.69523244945</v>
      </c>
      <c r="U127" s="1">
        <f t="shared" si="42"/>
        <v>98549.383233996341</v>
      </c>
      <c r="V127" s="99">
        <f t="shared" si="43"/>
        <v>109500.19069895803</v>
      </c>
      <c r="W127" s="78">
        <f t="shared" si="44"/>
        <v>100027.62398250628</v>
      </c>
      <c r="X127" s="78">
        <f t="shared" si="45"/>
        <v>111142.69355944238</v>
      </c>
      <c r="Y127" s="78">
        <f t="shared" si="46"/>
        <v>101628.06596622638</v>
      </c>
      <c r="Z127" s="78">
        <f t="shared" si="47"/>
        <v>112920.97665639347</v>
      </c>
      <c r="AA127" s="78">
        <f t="shared" si="48"/>
        <v>103558.99921958467</v>
      </c>
      <c r="AB127" s="78">
        <f t="shared" si="49"/>
        <v>115066.47521286493</v>
      </c>
      <c r="AC127" s="1">
        <f t="shared" si="50"/>
        <v>105526.62020475676</v>
      </c>
      <c r="AD127" s="78">
        <f t="shared" si="51"/>
        <v>117252.73824190935</v>
      </c>
      <c r="AE127" s="1">
        <f t="shared" si="52"/>
        <v>107742.67922905665</v>
      </c>
      <c r="AF127" s="78">
        <f t="shared" si="53"/>
        <v>119715.04574498943</v>
      </c>
      <c r="AG127" s="141">
        <f t="shared" si="54"/>
        <v>109143.33405903437</v>
      </c>
      <c r="AH127" s="140">
        <f t="shared" si="55"/>
        <v>121271.34133967428</v>
      </c>
      <c r="AI127" s="141">
        <f t="shared" si="56"/>
        <v>111326.20074021506</v>
      </c>
      <c r="AJ127" s="140">
        <f t="shared" si="57"/>
        <v>123696.76816646777</v>
      </c>
      <c r="AK127" s="141">
        <f t="shared" si="58"/>
        <v>114554.66056168129</v>
      </c>
      <c r="AL127" s="140">
        <f t="shared" si="59"/>
        <v>127283.97444329532</v>
      </c>
      <c r="AM127" s="141">
        <f t="shared" si="60"/>
        <v>121771.6041770672</v>
      </c>
      <c r="AN127" s="141">
        <f t="shared" si="61"/>
        <v>135302.86483322291</v>
      </c>
    </row>
    <row r="128" spans="2:40">
      <c r="B128" s="38" t="s">
        <v>145</v>
      </c>
      <c r="C128" s="39" t="s">
        <v>146</v>
      </c>
      <c r="D128" s="16">
        <v>34622.0168241024</v>
      </c>
      <c r="E128" s="17">
        <f t="shared" si="71"/>
        <v>36353.117665307524</v>
      </c>
      <c r="F128" s="57">
        <f>E128*1.045</f>
        <v>37989.007960246359</v>
      </c>
      <c r="G128" s="57">
        <f t="shared" si="32"/>
        <v>39311.025437262928</v>
      </c>
      <c r="H128" s="57">
        <f t="shared" si="33"/>
        <v>43679.26658385159</v>
      </c>
      <c r="I128" s="57">
        <f t="shared" si="34"/>
        <v>40372.423124069021</v>
      </c>
      <c r="J128" s="57">
        <f t="shared" si="34"/>
        <v>44858.606781615577</v>
      </c>
      <c r="K128" s="57">
        <f t="shared" si="35"/>
        <v>41341.36127904668</v>
      </c>
      <c r="L128" s="9">
        <f t="shared" si="35"/>
        <v>45935.213344374351</v>
      </c>
      <c r="M128" s="9">
        <f t="shared" si="36"/>
        <v>42457.57803358094</v>
      </c>
      <c r="N128" s="9">
        <f t="shared" si="36"/>
        <v>47175.464104672457</v>
      </c>
      <c r="O128" s="78">
        <f t="shared" si="37"/>
        <v>43391.64475031972</v>
      </c>
      <c r="P128" s="78">
        <f t="shared" si="37"/>
        <v>48213.324314975252</v>
      </c>
      <c r="Q128" s="1">
        <f t="shared" si="38"/>
        <v>44433.044224327394</v>
      </c>
      <c r="R128" s="78">
        <f t="shared" si="39"/>
        <v>49370.444098534659</v>
      </c>
      <c r="S128" s="1">
        <f t="shared" si="40"/>
        <v>46077.066860627507</v>
      </c>
      <c r="T128" s="78">
        <f t="shared" si="41"/>
        <v>51197.150530180435</v>
      </c>
      <c r="U128" s="1">
        <f t="shared" si="42"/>
        <v>47367.224732725081</v>
      </c>
      <c r="V128" s="99">
        <f t="shared" si="43"/>
        <v>52630.670745025491</v>
      </c>
      <c r="W128" s="78">
        <f t="shared" si="44"/>
        <v>48077.733103715953</v>
      </c>
      <c r="X128" s="78">
        <f t="shared" si="45"/>
        <v>53420.130806200868</v>
      </c>
      <c r="Y128" s="78">
        <f t="shared" si="46"/>
        <v>48846.976833375411</v>
      </c>
      <c r="Z128" s="78">
        <f t="shared" si="47"/>
        <v>54274.852899100086</v>
      </c>
      <c r="AA128" s="78">
        <f t="shared" si="48"/>
        <v>49775.069393209538</v>
      </c>
      <c r="AB128" s="78">
        <f t="shared" si="49"/>
        <v>55306.075104182979</v>
      </c>
      <c r="AC128" s="1">
        <f t="shared" si="50"/>
        <v>50720.795711680512</v>
      </c>
      <c r="AD128" s="78">
        <f t="shared" si="51"/>
        <v>56356.890531162448</v>
      </c>
      <c r="AE128" s="1">
        <f t="shared" si="52"/>
        <v>51785.932421625796</v>
      </c>
      <c r="AF128" s="78">
        <f t="shared" si="53"/>
        <v>57540.385232316854</v>
      </c>
      <c r="AG128" s="141">
        <f t="shared" si="54"/>
        <v>52459.149543106927</v>
      </c>
      <c r="AH128" s="140">
        <f t="shared" si="55"/>
        <v>58288.410240336969</v>
      </c>
      <c r="AI128" s="141">
        <f t="shared" si="56"/>
        <v>53508.332533969064</v>
      </c>
      <c r="AJ128" s="140">
        <f t="shared" si="57"/>
        <v>59454.178445143712</v>
      </c>
      <c r="AK128" s="141">
        <f t="shared" si="58"/>
        <v>55060.07417745416</v>
      </c>
      <c r="AL128" s="140">
        <f t="shared" si="59"/>
        <v>61178.349620052875</v>
      </c>
      <c r="AM128" s="141">
        <f t="shared" si="60"/>
        <v>58528.858850633769</v>
      </c>
      <c r="AN128" s="141">
        <f t="shared" si="61"/>
        <v>65032.585646116204</v>
      </c>
    </row>
    <row r="129" spans="2:40">
      <c r="B129" s="38" t="s">
        <v>147</v>
      </c>
      <c r="C129" s="39" t="s">
        <v>148</v>
      </c>
      <c r="D129" s="16">
        <v>87865.720872652804</v>
      </c>
      <c r="E129" s="17">
        <f t="shared" si="71"/>
        <v>92259.006916285449</v>
      </c>
      <c r="F129" s="57">
        <f>E129*1.045</f>
        <v>96410.662227518289</v>
      </c>
      <c r="G129" s="57">
        <f t="shared" si="32"/>
        <v>99765.753273035923</v>
      </c>
      <c r="H129" s="57">
        <f t="shared" si="33"/>
        <v>110851.72377673569</v>
      </c>
      <c r="I129" s="57">
        <f t="shared" si="34"/>
        <v>102459.42861140789</v>
      </c>
      <c r="J129" s="57">
        <f t="shared" si="34"/>
        <v>113844.72031870754</v>
      </c>
      <c r="K129" s="57">
        <f t="shared" si="35"/>
        <v>104918.45489808168</v>
      </c>
      <c r="L129" s="9">
        <f t="shared" si="35"/>
        <v>116576.99360635653</v>
      </c>
      <c r="M129" s="9">
        <f t="shared" si="36"/>
        <v>107751.25318032988</v>
      </c>
      <c r="N129" s="9">
        <f t="shared" si="36"/>
        <v>119724.57243372814</v>
      </c>
      <c r="O129" s="78">
        <f t="shared" si="37"/>
        <v>110121.78075029714</v>
      </c>
      <c r="P129" s="78">
        <f t="shared" si="37"/>
        <v>122358.51302727016</v>
      </c>
      <c r="Q129" s="1">
        <f t="shared" si="38"/>
        <v>112764.70348830428</v>
      </c>
      <c r="R129" s="78">
        <f t="shared" si="39"/>
        <v>125295.11733992465</v>
      </c>
      <c r="S129" s="1">
        <f t="shared" si="40"/>
        <v>116936.99751737154</v>
      </c>
      <c r="T129" s="78">
        <f t="shared" si="41"/>
        <v>129931.03668150185</v>
      </c>
      <c r="U129" s="1">
        <f t="shared" si="42"/>
        <v>120211.23344785794</v>
      </c>
      <c r="V129" s="99">
        <f t="shared" si="43"/>
        <v>133569.1057085839</v>
      </c>
      <c r="W129" s="78">
        <f t="shared" si="44"/>
        <v>122014.4019495758</v>
      </c>
      <c r="X129" s="78">
        <f t="shared" si="45"/>
        <v>135572.64229421265</v>
      </c>
      <c r="Y129" s="78">
        <f t="shared" si="46"/>
        <v>123966.63238076901</v>
      </c>
      <c r="Z129" s="78">
        <f t="shared" si="47"/>
        <v>137741.80457092007</v>
      </c>
      <c r="AA129" s="78">
        <f t="shared" si="48"/>
        <v>126321.9983960036</v>
      </c>
      <c r="AB129" s="78">
        <f t="shared" si="49"/>
        <v>140358.89885776755</v>
      </c>
      <c r="AC129" s="1">
        <f t="shared" si="50"/>
        <v>128722.11636552766</v>
      </c>
      <c r="AD129" s="78">
        <f t="shared" si="51"/>
        <v>143025.71793606511</v>
      </c>
      <c r="AE129" s="1">
        <f t="shared" si="52"/>
        <v>131425.28080920374</v>
      </c>
      <c r="AF129" s="78">
        <f t="shared" si="53"/>
        <v>146029.25801272245</v>
      </c>
      <c r="AG129" s="141">
        <f t="shared" si="54"/>
        <v>133133.80945972339</v>
      </c>
      <c r="AH129" s="140">
        <f t="shared" si="55"/>
        <v>147927.63836688784</v>
      </c>
      <c r="AI129" s="141">
        <f t="shared" si="56"/>
        <v>135796.48564891785</v>
      </c>
      <c r="AJ129" s="140">
        <f t="shared" si="57"/>
        <v>150886.19113422561</v>
      </c>
      <c r="AK129" s="141">
        <f t="shared" si="58"/>
        <v>139734.58373273644</v>
      </c>
      <c r="AL129" s="140">
        <f t="shared" si="59"/>
        <v>155261.89067711815</v>
      </c>
      <c r="AM129" s="141">
        <f t="shared" si="60"/>
        <v>148537.86250789883</v>
      </c>
      <c r="AN129" s="141">
        <f t="shared" si="61"/>
        <v>165043.38978977659</v>
      </c>
    </row>
    <row r="130" spans="2:40">
      <c r="B130" s="38" t="s">
        <v>149</v>
      </c>
      <c r="C130" s="39" t="s">
        <v>150</v>
      </c>
      <c r="D130" s="16">
        <v>161603.96418048962</v>
      </c>
      <c r="E130" s="17">
        <f t="shared" si="71"/>
        <v>169684.16238951412</v>
      </c>
      <c r="F130" s="57">
        <f>E130*1.045</f>
        <v>177319.94969704223</v>
      </c>
      <c r="G130" s="57">
        <f t="shared" si="32"/>
        <v>183490.68394649928</v>
      </c>
      <c r="H130" s="57">
        <f t="shared" si="33"/>
        <v>203880.1687466343</v>
      </c>
      <c r="I130" s="57">
        <f t="shared" si="34"/>
        <v>188444.93241305475</v>
      </c>
      <c r="J130" s="57">
        <f t="shared" si="34"/>
        <v>209384.93330279342</v>
      </c>
      <c r="K130" s="57">
        <f t="shared" si="35"/>
        <v>192967.61079096806</v>
      </c>
      <c r="L130" s="9">
        <f t="shared" si="35"/>
        <v>214410.17170206047</v>
      </c>
      <c r="M130" s="9">
        <f t="shared" si="36"/>
        <v>198177.73628232419</v>
      </c>
      <c r="N130" s="9">
        <f t="shared" si="36"/>
        <v>220199.24633801609</v>
      </c>
      <c r="O130" s="78">
        <f t="shared" si="37"/>
        <v>202537.64648053533</v>
      </c>
      <c r="P130" s="78">
        <f t="shared" si="37"/>
        <v>225043.62975745244</v>
      </c>
      <c r="Q130" s="1">
        <f t="shared" si="38"/>
        <v>207398.54999606818</v>
      </c>
      <c r="R130" s="78">
        <f t="shared" si="39"/>
        <v>230444.67687163129</v>
      </c>
      <c r="S130" s="1">
        <f t="shared" si="40"/>
        <v>215072.29634592269</v>
      </c>
      <c r="T130" s="78">
        <f t="shared" si="41"/>
        <v>238971.12991588164</v>
      </c>
      <c r="U130" s="1">
        <f t="shared" si="42"/>
        <v>221094.32064360852</v>
      </c>
      <c r="V130" s="99">
        <f t="shared" si="43"/>
        <v>245662.32155352633</v>
      </c>
      <c r="W130" s="78">
        <f t="shared" si="44"/>
        <v>224410.73545326263</v>
      </c>
      <c r="X130" s="78">
        <f t="shared" si="45"/>
        <v>249347.2563768292</v>
      </c>
      <c r="Y130" s="78">
        <f t="shared" si="46"/>
        <v>228001.30722051483</v>
      </c>
      <c r="Z130" s="78">
        <f t="shared" si="47"/>
        <v>253336.81247885848</v>
      </c>
      <c r="AA130" s="78">
        <f t="shared" si="48"/>
        <v>232333.3320577046</v>
      </c>
      <c r="AB130" s="78">
        <f t="shared" si="49"/>
        <v>258150.21191595678</v>
      </c>
      <c r="AC130" s="1">
        <f t="shared" si="50"/>
        <v>236747.66536680097</v>
      </c>
      <c r="AD130" s="78">
        <f t="shared" si="51"/>
        <v>263055.06594235991</v>
      </c>
      <c r="AE130" s="1">
        <f t="shared" si="52"/>
        <v>241719.36633950376</v>
      </c>
      <c r="AF130" s="78">
        <f t="shared" si="53"/>
        <v>268579.22232714947</v>
      </c>
      <c r="AG130" s="141">
        <f t="shared" si="54"/>
        <v>244861.71810191727</v>
      </c>
      <c r="AH130" s="140">
        <f t="shared" si="55"/>
        <v>272070.75221740239</v>
      </c>
      <c r="AI130" s="141">
        <f t="shared" si="56"/>
        <v>249758.95246395562</v>
      </c>
      <c r="AJ130" s="140">
        <f t="shared" si="57"/>
        <v>277512.16726175044</v>
      </c>
      <c r="AK130" s="141">
        <f t="shared" si="58"/>
        <v>257001.96208541031</v>
      </c>
      <c r="AL130" s="140">
        <f t="shared" si="59"/>
        <v>285560.02011234115</v>
      </c>
      <c r="AM130" s="141">
        <f t="shared" si="60"/>
        <v>273193.08569679112</v>
      </c>
      <c r="AN130" s="141">
        <f t="shared" si="61"/>
        <v>303550.30137941864</v>
      </c>
    </row>
    <row r="131" spans="2:40">
      <c r="B131" s="38" t="s">
        <v>151</v>
      </c>
      <c r="C131" s="39" t="s">
        <v>152</v>
      </c>
      <c r="D131" s="16">
        <v>172067.93180881918</v>
      </c>
      <c r="E131" s="17">
        <f t="shared" si="71"/>
        <v>180671.32839926015</v>
      </c>
      <c r="F131" s="57">
        <f>E131*1.045</f>
        <v>188801.53817722684</v>
      </c>
      <c r="G131" s="57">
        <f t="shared" si="32"/>
        <v>195371.83170579432</v>
      </c>
      <c r="H131" s="57">
        <f t="shared" si="33"/>
        <v>217081.54964494222</v>
      </c>
      <c r="I131" s="57">
        <f t="shared" si="34"/>
        <v>200646.87116185075</v>
      </c>
      <c r="J131" s="57">
        <f t="shared" si="34"/>
        <v>222942.75148535563</v>
      </c>
      <c r="K131" s="57">
        <f t="shared" si="35"/>
        <v>205462.39606973517</v>
      </c>
      <c r="L131" s="9">
        <f t="shared" si="35"/>
        <v>228293.37752100418</v>
      </c>
      <c r="M131" s="9">
        <f t="shared" si="36"/>
        <v>211009.88076361801</v>
      </c>
      <c r="N131" s="9">
        <f t="shared" si="36"/>
        <v>234457.29871407128</v>
      </c>
      <c r="O131" s="78">
        <f t="shared" si="37"/>
        <v>215652.09814041763</v>
      </c>
      <c r="P131" s="78">
        <f t="shared" si="37"/>
        <v>239615.35928578084</v>
      </c>
      <c r="Q131" s="1">
        <f t="shared" si="38"/>
        <v>220827.74849578764</v>
      </c>
      <c r="R131" s="78">
        <f t="shared" si="39"/>
        <v>245366.12790863958</v>
      </c>
      <c r="S131" s="1">
        <f t="shared" si="40"/>
        <v>228998.37519013177</v>
      </c>
      <c r="T131" s="78">
        <f t="shared" si="41"/>
        <v>254444.67464125922</v>
      </c>
      <c r="U131" s="1">
        <f t="shared" si="42"/>
        <v>235410.32969545547</v>
      </c>
      <c r="V131" s="99">
        <f t="shared" si="43"/>
        <v>261569.12553121449</v>
      </c>
      <c r="W131" s="78">
        <f t="shared" si="44"/>
        <v>238941.48464088727</v>
      </c>
      <c r="X131" s="78">
        <f t="shared" si="45"/>
        <v>265492.66241418268</v>
      </c>
      <c r="Y131" s="78">
        <f t="shared" si="46"/>
        <v>242764.54839514146</v>
      </c>
      <c r="Z131" s="78">
        <f t="shared" si="47"/>
        <v>269740.54501280963</v>
      </c>
      <c r="AA131" s="78">
        <f t="shared" si="48"/>
        <v>247377.07481464912</v>
      </c>
      <c r="AB131" s="78">
        <f t="shared" si="49"/>
        <v>274865.61536805297</v>
      </c>
      <c r="AC131" s="1">
        <f t="shared" si="50"/>
        <v>252077.23923612744</v>
      </c>
      <c r="AD131" s="78">
        <f t="shared" si="51"/>
        <v>280088.06206004595</v>
      </c>
      <c r="AE131" s="1">
        <f t="shared" si="52"/>
        <v>257370.86126008609</v>
      </c>
      <c r="AF131" s="78">
        <f t="shared" si="53"/>
        <v>285969.91136330686</v>
      </c>
      <c r="AG131" s="141">
        <f t="shared" si="54"/>
        <v>260716.68245646718</v>
      </c>
      <c r="AH131" s="140">
        <f t="shared" si="55"/>
        <v>289687.5202110298</v>
      </c>
      <c r="AI131" s="141">
        <f t="shared" si="56"/>
        <v>265931.01610559656</v>
      </c>
      <c r="AJ131" s="140">
        <f t="shared" si="57"/>
        <v>295481.2706152504</v>
      </c>
      <c r="AK131" s="141">
        <f t="shared" si="58"/>
        <v>273643.01557265886</v>
      </c>
      <c r="AL131" s="140">
        <f t="shared" si="59"/>
        <v>304050.22746309265</v>
      </c>
      <c r="AM131" s="141">
        <f t="shared" si="60"/>
        <v>290882.52555373637</v>
      </c>
      <c r="AN131" s="141">
        <f t="shared" si="61"/>
        <v>323205.39179326745</v>
      </c>
    </row>
    <row r="132" spans="2:40">
      <c r="B132" s="40" t="s">
        <v>153</v>
      </c>
      <c r="C132" s="41" t="s">
        <v>154</v>
      </c>
      <c r="D132" s="54">
        <v>172067.93180881918</v>
      </c>
      <c r="E132" s="55">
        <f t="shared" si="71"/>
        <v>180671.32839926015</v>
      </c>
      <c r="F132" s="75">
        <f>E132*1.045</f>
        <v>188801.53817722684</v>
      </c>
      <c r="G132" s="75">
        <f t="shared" si="32"/>
        <v>195371.83170579432</v>
      </c>
      <c r="H132" s="75">
        <f t="shared" si="33"/>
        <v>217081.54964494222</v>
      </c>
      <c r="I132" s="75">
        <f t="shared" si="34"/>
        <v>200646.87116185075</v>
      </c>
      <c r="J132" s="75">
        <f t="shared" si="34"/>
        <v>222942.75148535563</v>
      </c>
      <c r="K132" s="75">
        <f t="shared" si="35"/>
        <v>205462.39606973517</v>
      </c>
      <c r="L132" s="71">
        <f t="shared" si="35"/>
        <v>228293.37752100418</v>
      </c>
      <c r="M132" s="71">
        <f t="shared" si="36"/>
        <v>211009.88076361801</v>
      </c>
      <c r="N132" s="71">
        <f t="shared" si="36"/>
        <v>234457.29871407128</v>
      </c>
      <c r="O132" s="79">
        <f t="shared" si="37"/>
        <v>215652.09814041763</v>
      </c>
      <c r="P132" s="79">
        <f t="shared" si="37"/>
        <v>239615.35928578084</v>
      </c>
      <c r="Q132" s="100">
        <f t="shared" si="38"/>
        <v>220827.74849578764</v>
      </c>
      <c r="R132" s="79">
        <f t="shared" si="39"/>
        <v>245366.12790863958</v>
      </c>
      <c r="S132" s="100">
        <f t="shared" si="40"/>
        <v>228998.37519013177</v>
      </c>
      <c r="T132" s="79">
        <f t="shared" si="41"/>
        <v>254444.67464125922</v>
      </c>
      <c r="U132" s="100">
        <f t="shared" si="42"/>
        <v>235410.32969545547</v>
      </c>
      <c r="V132" s="119">
        <f t="shared" si="43"/>
        <v>261569.12553121449</v>
      </c>
      <c r="W132" s="79">
        <f t="shared" si="44"/>
        <v>238941.48464088727</v>
      </c>
      <c r="X132" s="79">
        <f t="shared" si="45"/>
        <v>265492.66241418268</v>
      </c>
      <c r="Y132" s="79">
        <f t="shared" si="46"/>
        <v>242764.54839514146</v>
      </c>
      <c r="Z132" s="79">
        <f t="shared" si="47"/>
        <v>269740.54501280963</v>
      </c>
      <c r="AA132" s="79">
        <f t="shared" si="48"/>
        <v>247377.07481464912</v>
      </c>
      <c r="AB132" s="79">
        <f t="shared" si="49"/>
        <v>274865.61536805297</v>
      </c>
      <c r="AC132" s="100">
        <f t="shared" si="50"/>
        <v>252077.23923612744</v>
      </c>
      <c r="AD132" s="79">
        <f t="shared" si="51"/>
        <v>280088.06206004595</v>
      </c>
      <c r="AE132" s="100">
        <f t="shared" si="52"/>
        <v>257370.86126008609</v>
      </c>
      <c r="AF132" s="79">
        <f t="shared" si="53"/>
        <v>285969.91136330686</v>
      </c>
      <c r="AG132" s="142">
        <f t="shared" si="54"/>
        <v>260716.68245646718</v>
      </c>
      <c r="AH132" s="174">
        <f t="shared" si="55"/>
        <v>289687.5202110298</v>
      </c>
      <c r="AI132" s="142">
        <f t="shared" si="56"/>
        <v>265931.01610559656</v>
      </c>
      <c r="AJ132" s="174">
        <f t="shared" si="57"/>
        <v>295481.2706152504</v>
      </c>
      <c r="AK132" s="142">
        <f t="shared" si="58"/>
        <v>273643.01557265886</v>
      </c>
      <c r="AL132" s="174">
        <f t="shared" si="59"/>
        <v>304050.22746309265</v>
      </c>
      <c r="AM132" s="142">
        <f t="shared" si="60"/>
        <v>290882.52555373637</v>
      </c>
      <c r="AN132" s="142">
        <f t="shared" si="61"/>
        <v>323205.39179326745</v>
      </c>
    </row>
    <row r="133" spans="2:40" ht="15" customHeight="1">
      <c r="B133" s="180" t="s">
        <v>155</v>
      </c>
      <c r="C133" s="181"/>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c r="Z133" s="182"/>
      <c r="AA133" s="182"/>
      <c r="AB133" s="182"/>
      <c r="AC133" s="182"/>
      <c r="AD133" s="182"/>
      <c r="AE133" s="182"/>
      <c r="AF133" s="182"/>
      <c r="AG133" s="182"/>
      <c r="AH133" s="182"/>
      <c r="AI133" s="182"/>
      <c r="AJ133" s="182"/>
      <c r="AK133" s="180"/>
      <c r="AL133" s="183"/>
      <c r="AM133" s="183"/>
      <c r="AN133" s="181"/>
    </row>
    <row r="134" spans="2:40">
      <c r="B134" s="36" t="s">
        <v>156</v>
      </c>
      <c r="C134" s="37" t="s">
        <v>157</v>
      </c>
      <c r="D134" s="112">
        <v>116415.36603128674</v>
      </c>
      <c r="E134" s="118">
        <f t="shared" si="71"/>
        <v>122236.13433285108</v>
      </c>
      <c r="F134" s="70">
        <f>E134*1.045</f>
        <v>127736.76037782937</v>
      </c>
      <c r="G134" s="70">
        <f t="shared" si="32"/>
        <v>132181.99963897784</v>
      </c>
      <c r="H134" s="70">
        <f t="shared" si="33"/>
        <v>146870.06343886108</v>
      </c>
      <c r="I134" s="70">
        <f t="shared" si="34"/>
        <v>135750.91362923023</v>
      </c>
      <c r="J134" s="70">
        <f t="shared" si="34"/>
        <v>150835.55515171032</v>
      </c>
      <c r="K134" s="70">
        <f t="shared" si="35"/>
        <v>139008.93555633177</v>
      </c>
      <c r="L134" s="58">
        <f t="shared" si="35"/>
        <v>154455.60847535136</v>
      </c>
      <c r="M134" s="58">
        <f t="shared" si="36"/>
        <v>142762.1768163527</v>
      </c>
      <c r="N134" s="58">
        <f t="shared" si="36"/>
        <v>158625.90990418583</v>
      </c>
      <c r="O134" s="80">
        <f t="shared" si="37"/>
        <v>145902.94470631247</v>
      </c>
      <c r="P134" s="80">
        <f t="shared" si="37"/>
        <v>162115.67992207792</v>
      </c>
      <c r="Q134" s="101">
        <f t="shared" si="38"/>
        <v>149404.61537926397</v>
      </c>
      <c r="R134" s="80">
        <f t="shared" si="39"/>
        <v>166006.4562402078</v>
      </c>
      <c r="S134" s="101">
        <f t="shared" si="40"/>
        <v>154932.58614829672</v>
      </c>
      <c r="T134" s="80">
        <f t="shared" si="41"/>
        <v>172148.69512109549</v>
      </c>
      <c r="U134" s="101">
        <f t="shared" si="42"/>
        <v>159270.69856044903</v>
      </c>
      <c r="V134" s="114">
        <f t="shared" si="43"/>
        <v>176968.85858448615</v>
      </c>
      <c r="W134" s="80">
        <f t="shared" si="44"/>
        <v>161659.75903885576</v>
      </c>
      <c r="X134" s="80">
        <f t="shared" si="45"/>
        <v>179623.39146325341</v>
      </c>
      <c r="Y134" s="80">
        <f t="shared" si="46"/>
        <v>164246.31518347745</v>
      </c>
      <c r="Z134" s="80">
        <f t="shared" si="47"/>
        <v>182497.36572666548</v>
      </c>
      <c r="AA134" s="80">
        <f t="shared" si="48"/>
        <v>167366.9951719635</v>
      </c>
      <c r="AB134" s="80">
        <f t="shared" si="49"/>
        <v>185964.81567547211</v>
      </c>
      <c r="AC134" s="101">
        <f t="shared" si="50"/>
        <v>170546.96808023078</v>
      </c>
      <c r="AD134" s="80">
        <f t="shared" si="51"/>
        <v>189498.14717330606</v>
      </c>
      <c r="AE134" s="101">
        <f t="shared" si="52"/>
        <v>174128.4544099156</v>
      </c>
      <c r="AF134" s="80">
        <f t="shared" si="53"/>
        <v>193477.60826394547</v>
      </c>
      <c r="AG134" s="143">
        <f t="shared" si="54"/>
        <v>176392.12431724448</v>
      </c>
      <c r="AH134" s="152">
        <f t="shared" si="55"/>
        <v>195992.81717137675</v>
      </c>
      <c r="AI134" s="143">
        <f t="shared" si="56"/>
        <v>179919.96680358937</v>
      </c>
      <c r="AJ134" s="152">
        <f t="shared" si="57"/>
        <v>199912.67351480428</v>
      </c>
      <c r="AK134" s="143">
        <f t="shared" si="58"/>
        <v>185137.64584089344</v>
      </c>
      <c r="AL134" s="152">
        <f t="shared" si="59"/>
        <v>205710.1410467336</v>
      </c>
      <c r="AM134" s="143">
        <f t="shared" si="60"/>
        <v>196801.31752886972</v>
      </c>
      <c r="AN134" s="143">
        <f t="shared" si="61"/>
        <v>218669.87993267781</v>
      </c>
    </row>
    <row r="135" spans="2:40">
      <c r="B135" s="38" t="s">
        <v>158</v>
      </c>
      <c r="C135" s="39" t="s">
        <v>159</v>
      </c>
      <c r="D135" s="16">
        <v>116415.36603128674</v>
      </c>
      <c r="E135" s="17">
        <f t="shared" si="71"/>
        <v>122236.13433285108</v>
      </c>
      <c r="F135" s="57">
        <f>E135*1.045</f>
        <v>127736.76037782937</v>
      </c>
      <c r="G135" s="57">
        <f t="shared" ref="G135:G198" si="72">F135*1.0348</f>
        <v>132181.99963897784</v>
      </c>
      <c r="H135" s="57">
        <f t="shared" ref="H135:H198" si="73">G135*1.11112</f>
        <v>146870.06343886108</v>
      </c>
      <c r="I135" s="57">
        <f t="shared" ref="I135:J198" si="74">G135*1.027</f>
        <v>135750.91362923023</v>
      </c>
      <c r="J135" s="57">
        <f t="shared" si="74"/>
        <v>150835.55515171032</v>
      </c>
      <c r="K135" s="57">
        <f t="shared" ref="K135:L198" si="75">I135*1.024</f>
        <v>139008.93555633177</v>
      </c>
      <c r="L135" s="9">
        <f t="shared" si="75"/>
        <v>154455.60847535136</v>
      </c>
      <c r="M135" s="9">
        <f t="shared" ref="M135:N198" si="76">K135*1.027</f>
        <v>142762.1768163527</v>
      </c>
      <c r="N135" s="9">
        <f t="shared" si="76"/>
        <v>158625.90990418583</v>
      </c>
      <c r="O135" s="78">
        <f t="shared" ref="O135:P198" si="77">M135*1.022</f>
        <v>145902.94470631247</v>
      </c>
      <c r="P135" s="78">
        <f t="shared" si="77"/>
        <v>162115.67992207792</v>
      </c>
      <c r="Q135" s="1">
        <f t="shared" si="38"/>
        <v>149404.61537926397</v>
      </c>
      <c r="R135" s="78">
        <f t="shared" si="39"/>
        <v>166006.4562402078</v>
      </c>
      <c r="S135" s="1">
        <f t="shared" si="40"/>
        <v>154932.58614829672</v>
      </c>
      <c r="T135" s="78">
        <f t="shared" si="41"/>
        <v>172148.69512109549</v>
      </c>
      <c r="U135" s="1">
        <f t="shared" si="42"/>
        <v>159270.69856044903</v>
      </c>
      <c r="V135" s="99">
        <f t="shared" si="43"/>
        <v>176968.85858448615</v>
      </c>
      <c r="W135" s="78">
        <f t="shared" si="44"/>
        <v>161659.75903885576</v>
      </c>
      <c r="X135" s="78">
        <f t="shared" si="45"/>
        <v>179623.39146325341</v>
      </c>
      <c r="Y135" s="78">
        <f t="shared" si="46"/>
        <v>164246.31518347745</v>
      </c>
      <c r="Z135" s="78">
        <f t="shared" si="47"/>
        <v>182497.36572666548</v>
      </c>
      <c r="AA135" s="78">
        <f t="shared" si="48"/>
        <v>167366.9951719635</v>
      </c>
      <c r="AB135" s="78">
        <f t="shared" si="49"/>
        <v>185964.81567547211</v>
      </c>
      <c r="AC135" s="1">
        <f t="shared" si="50"/>
        <v>170546.96808023078</v>
      </c>
      <c r="AD135" s="78">
        <f t="shared" si="51"/>
        <v>189498.14717330606</v>
      </c>
      <c r="AE135" s="1">
        <f t="shared" si="52"/>
        <v>174128.4544099156</v>
      </c>
      <c r="AF135" s="78">
        <f t="shared" si="53"/>
        <v>193477.60826394547</v>
      </c>
      <c r="AG135" s="141">
        <f t="shared" si="54"/>
        <v>176392.12431724448</v>
      </c>
      <c r="AH135" s="140">
        <f t="shared" si="55"/>
        <v>195992.81717137675</v>
      </c>
      <c r="AI135" s="141">
        <f t="shared" si="56"/>
        <v>179919.96680358937</v>
      </c>
      <c r="AJ135" s="140">
        <f t="shared" si="57"/>
        <v>199912.67351480428</v>
      </c>
      <c r="AK135" s="141">
        <f t="shared" si="58"/>
        <v>185137.64584089344</v>
      </c>
      <c r="AL135" s="140">
        <f t="shared" si="59"/>
        <v>205710.1410467336</v>
      </c>
      <c r="AM135" s="141">
        <f t="shared" si="60"/>
        <v>196801.31752886972</v>
      </c>
      <c r="AN135" s="141">
        <f t="shared" si="61"/>
        <v>218669.87993267781</v>
      </c>
    </row>
    <row r="136" spans="2:40">
      <c r="B136" s="38" t="s">
        <v>160</v>
      </c>
      <c r="C136" s="39" t="s">
        <v>161</v>
      </c>
      <c r="D136" s="16">
        <v>196021.1231959115</v>
      </c>
      <c r="E136" s="17">
        <f t="shared" si="71"/>
        <v>205822.17935570708</v>
      </c>
      <c r="F136" s="57">
        <f>E136*1.045</f>
        <v>215084.17742671387</v>
      </c>
      <c r="G136" s="57">
        <f t="shared" si="72"/>
        <v>222569.10680116349</v>
      </c>
      <c r="H136" s="57">
        <f t="shared" si="73"/>
        <v>247300.98594890881</v>
      </c>
      <c r="I136" s="57">
        <f t="shared" si="74"/>
        <v>228578.47268479489</v>
      </c>
      <c r="J136" s="57">
        <f t="shared" si="74"/>
        <v>253978.11256952933</v>
      </c>
      <c r="K136" s="57">
        <f t="shared" si="75"/>
        <v>234064.35602922997</v>
      </c>
      <c r="L136" s="9">
        <f t="shared" si="75"/>
        <v>260073.58727119805</v>
      </c>
      <c r="M136" s="9">
        <f t="shared" si="76"/>
        <v>240384.09364201914</v>
      </c>
      <c r="N136" s="9">
        <f t="shared" si="76"/>
        <v>267095.57412752038</v>
      </c>
      <c r="O136" s="78">
        <f t="shared" si="77"/>
        <v>245672.54370214356</v>
      </c>
      <c r="P136" s="78">
        <f t="shared" si="77"/>
        <v>272971.67675832583</v>
      </c>
      <c r="Q136" s="1">
        <f t="shared" si="38"/>
        <v>251568.68475099502</v>
      </c>
      <c r="R136" s="78">
        <f t="shared" si="39"/>
        <v>279522.99700052565</v>
      </c>
      <c r="S136" s="1">
        <f t="shared" si="40"/>
        <v>260876.72608678183</v>
      </c>
      <c r="T136" s="78">
        <f t="shared" si="41"/>
        <v>289865.34788954508</v>
      </c>
      <c r="U136" s="1">
        <f t="shared" si="42"/>
        <v>268181.27441721171</v>
      </c>
      <c r="V136" s="99">
        <f t="shared" si="43"/>
        <v>297981.57763045235</v>
      </c>
      <c r="W136" s="78">
        <f t="shared" si="44"/>
        <v>272203.99353346985</v>
      </c>
      <c r="X136" s="78">
        <f t="shared" si="45"/>
        <v>302451.30129490909</v>
      </c>
      <c r="Y136" s="78">
        <f t="shared" si="46"/>
        <v>276559.25743000535</v>
      </c>
      <c r="Z136" s="78">
        <f t="shared" si="47"/>
        <v>307290.52211562765</v>
      </c>
      <c r="AA136" s="78">
        <f t="shared" si="48"/>
        <v>281813.88332117541</v>
      </c>
      <c r="AB136" s="78">
        <f t="shared" si="49"/>
        <v>313129.04203582456</v>
      </c>
      <c r="AC136" s="1">
        <f t="shared" si="50"/>
        <v>287168.34710427769</v>
      </c>
      <c r="AD136" s="78">
        <f t="shared" si="51"/>
        <v>319078.49383450521</v>
      </c>
      <c r="AE136" s="1">
        <f t="shared" si="52"/>
        <v>293198.88239346747</v>
      </c>
      <c r="AF136" s="78">
        <f t="shared" si="53"/>
        <v>325779.14220502978</v>
      </c>
      <c r="AG136" s="141">
        <f t="shared" si="54"/>
        <v>297010.46786458255</v>
      </c>
      <c r="AH136" s="140">
        <f t="shared" si="55"/>
        <v>330014.27105369512</v>
      </c>
      <c r="AI136" s="141">
        <f t="shared" si="56"/>
        <v>302950.67722187418</v>
      </c>
      <c r="AJ136" s="140">
        <f t="shared" si="57"/>
        <v>336614.55647476902</v>
      </c>
      <c r="AK136" s="141">
        <f t="shared" si="58"/>
        <v>311736.24686130852</v>
      </c>
      <c r="AL136" s="140">
        <f t="shared" si="59"/>
        <v>346376.37861253729</v>
      </c>
      <c r="AM136" s="141">
        <f t="shared" si="60"/>
        <v>331375.63041357097</v>
      </c>
      <c r="AN136" s="141">
        <f t="shared" si="61"/>
        <v>368198.09046512714</v>
      </c>
    </row>
    <row r="137" spans="2:40">
      <c r="B137" s="38" t="s">
        <v>162</v>
      </c>
      <c r="C137" s="39" t="s">
        <v>163</v>
      </c>
      <c r="D137" s="16">
        <v>196021.1231959115</v>
      </c>
      <c r="E137" s="17">
        <f t="shared" si="71"/>
        <v>205822.17935570708</v>
      </c>
      <c r="F137" s="57">
        <f>E137*1.045</f>
        <v>215084.17742671387</v>
      </c>
      <c r="G137" s="57">
        <f t="shared" si="72"/>
        <v>222569.10680116349</v>
      </c>
      <c r="H137" s="57">
        <f t="shared" si="73"/>
        <v>247300.98594890881</v>
      </c>
      <c r="I137" s="57">
        <f t="shared" si="74"/>
        <v>228578.47268479489</v>
      </c>
      <c r="J137" s="57">
        <f t="shared" si="74"/>
        <v>253978.11256952933</v>
      </c>
      <c r="K137" s="57">
        <f t="shared" si="75"/>
        <v>234064.35602922997</v>
      </c>
      <c r="L137" s="9">
        <f t="shared" si="75"/>
        <v>260073.58727119805</v>
      </c>
      <c r="M137" s="9">
        <f t="shared" si="76"/>
        <v>240384.09364201914</v>
      </c>
      <c r="N137" s="9">
        <f t="shared" si="76"/>
        <v>267095.57412752038</v>
      </c>
      <c r="O137" s="78">
        <f t="shared" si="77"/>
        <v>245672.54370214356</v>
      </c>
      <c r="P137" s="78">
        <f t="shared" si="77"/>
        <v>272971.67675832583</v>
      </c>
      <c r="Q137" s="1">
        <f t="shared" ref="Q137:Q200" si="78">O137*1.024</f>
        <v>251568.68475099502</v>
      </c>
      <c r="R137" s="78">
        <f t="shared" ref="R137:R200" si="79">P137*1.024</f>
        <v>279522.99700052565</v>
      </c>
      <c r="S137" s="1">
        <f t="shared" ref="S137:S200" si="80">Q137*1.037</f>
        <v>260876.72608678183</v>
      </c>
      <c r="T137" s="78">
        <f t="shared" ref="T137:T200" si="81">R137*1.037</f>
        <v>289865.34788954508</v>
      </c>
      <c r="U137" s="1">
        <f t="shared" ref="U137:U200" si="82">S137*1.028</f>
        <v>268181.27441721171</v>
      </c>
      <c r="V137" s="99">
        <f t="shared" ref="V137:V200" si="83">T137*1.028</f>
        <v>297981.57763045235</v>
      </c>
      <c r="W137" s="78">
        <f t="shared" ref="W137:W200" si="84">U137*1.015</f>
        <v>272203.99353346985</v>
      </c>
      <c r="X137" s="78">
        <f t="shared" ref="X137:X200" si="85">V137*1.015</f>
        <v>302451.30129490909</v>
      </c>
      <c r="Y137" s="78">
        <f t="shared" ref="Y137:Y200" si="86">W137*1.016</f>
        <v>276559.25743000535</v>
      </c>
      <c r="Z137" s="78">
        <f t="shared" ref="Z137:Z200" si="87">X137*1.016</f>
        <v>307290.52211562765</v>
      </c>
      <c r="AA137" s="78">
        <f t="shared" ref="AA137:AA200" si="88">Y137*1.019</f>
        <v>281813.88332117541</v>
      </c>
      <c r="AB137" s="78">
        <f t="shared" ref="AB137:AB200" si="89">Z137*1.019</f>
        <v>313129.04203582456</v>
      </c>
      <c r="AC137" s="1">
        <f t="shared" ref="AC137:AC200" si="90">AA137*1.019</f>
        <v>287168.34710427769</v>
      </c>
      <c r="AD137" s="78">
        <f t="shared" ref="AD137:AD200" si="91">AB137*1.019</f>
        <v>319078.49383450521</v>
      </c>
      <c r="AE137" s="1">
        <f t="shared" ref="AE137:AE200" si="92">AC137*1.021</f>
        <v>293198.88239346747</v>
      </c>
      <c r="AF137" s="78">
        <f t="shared" ref="AF137:AF200" si="93">AD137*1.021</f>
        <v>325779.14220502978</v>
      </c>
      <c r="AG137" s="141">
        <f t="shared" ref="AG137:AG200" si="94">AE137*1.013</f>
        <v>297010.46786458255</v>
      </c>
      <c r="AH137" s="140">
        <f t="shared" ref="AH137:AH200" si="95">AF137*1.013</f>
        <v>330014.27105369512</v>
      </c>
      <c r="AI137" s="141">
        <f t="shared" ref="AI137:AI200" si="96">AG137*1.02</f>
        <v>302950.67722187418</v>
      </c>
      <c r="AJ137" s="140">
        <f t="shared" ref="AJ137:AJ200" si="97">AH137*1.02</f>
        <v>336614.55647476902</v>
      </c>
      <c r="AK137" s="141">
        <f t="shared" ref="AK137:AK200" si="98">AI137*1.029</f>
        <v>311736.24686130852</v>
      </c>
      <c r="AL137" s="140">
        <f t="shared" ref="AL137:AL200" si="99">AJ137*1.029</f>
        <v>346376.37861253729</v>
      </c>
      <c r="AM137" s="141">
        <f t="shared" ref="AM137:AM200" si="100">AK137*1.063</f>
        <v>331375.63041357097</v>
      </c>
      <c r="AN137" s="141">
        <f t="shared" ref="AN137:AN200" si="101">AL137*1.063</f>
        <v>368198.09046512714</v>
      </c>
    </row>
    <row r="138" spans="2:40">
      <c r="B138" s="38" t="s">
        <v>164</v>
      </c>
      <c r="C138" s="39" t="s">
        <v>165</v>
      </c>
      <c r="D138" s="16">
        <v>196021.1231959115</v>
      </c>
      <c r="E138" s="17">
        <f t="shared" si="71"/>
        <v>205822.17935570708</v>
      </c>
      <c r="F138" s="57">
        <f>E138*1.045</f>
        <v>215084.17742671387</v>
      </c>
      <c r="G138" s="57">
        <f t="shared" si="72"/>
        <v>222569.10680116349</v>
      </c>
      <c r="H138" s="57">
        <f t="shared" si="73"/>
        <v>247300.98594890881</v>
      </c>
      <c r="I138" s="57">
        <f t="shared" si="74"/>
        <v>228578.47268479489</v>
      </c>
      <c r="J138" s="57">
        <f t="shared" si="74"/>
        <v>253978.11256952933</v>
      </c>
      <c r="K138" s="57">
        <f t="shared" si="75"/>
        <v>234064.35602922997</v>
      </c>
      <c r="L138" s="9">
        <f t="shared" si="75"/>
        <v>260073.58727119805</v>
      </c>
      <c r="M138" s="9">
        <f t="shared" si="76"/>
        <v>240384.09364201914</v>
      </c>
      <c r="N138" s="71">
        <f t="shared" si="76"/>
        <v>267095.57412752038</v>
      </c>
      <c r="O138" s="79">
        <f t="shared" si="77"/>
        <v>245672.54370214356</v>
      </c>
      <c r="P138" s="78">
        <f t="shared" si="77"/>
        <v>272971.67675832583</v>
      </c>
      <c r="Q138" s="1">
        <f t="shared" si="78"/>
        <v>251568.68475099502</v>
      </c>
      <c r="R138" s="79">
        <f t="shared" si="79"/>
        <v>279522.99700052565</v>
      </c>
      <c r="S138" s="1">
        <f t="shared" si="80"/>
        <v>260876.72608678183</v>
      </c>
      <c r="T138" s="78">
        <f t="shared" si="81"/>
        <v>289865.34788954508</v>
      </c>
      <c r="U138" s="1">
        <f t="shared" si="82"/>
        <v>268181.27441721171</v>
      </c>
      <c r="V138" s="99">
        <f t="shared" si="83"/>
        <v>297981.57763045235</v>
      </c>
      <c r="W138" s="79">
        <f t="shared" si="84"/>
        <v>272203.99353346985</v>
      </c>
      <c r="X138" s="79">
        <f t="shared" si="85"/>
        <v>302451.30129490909</v>
      </c>
      <c r="Y138" s="79">
        <f t="shared" si="86"/>
        <v>276559.25743000535</v>
      </c>
      <c r="Z138" s="79">
        <f t="shared" si="87"/>
        <v>307290.52211562765</v>
      </c>
      <c r="AA138" s="79">
        <f t="shared" si="88"/>
        <v>281813.88332117541</v>
      </c>
      <c r="AB138" s="79">
        <f t="shared" si="89"/>
        <v>313129.04203582456</v>
      </c>
      <c r="AC138" s="100">
        <f t="shared" si="90"/>
        <v>287168.34710427769</v>
      </c>
      <c r="AD138" s="79">
        <f t="shared" si="91"/>
        <v>319078.49383450521</v>
      </c>
      <c r="AE138" s="100">
        <f t="shared" si="92"/>
        <v>293198.88239346747</v>
      </c>
      <c r="AF138" s="79">
        <f t="shared" si="93"/>
        <v>325779.14220502978</v>
      </c>
      <c r="AG138" s="142">
        <f t="shared" si="94"/>
        <v>297010.46786458255</v>
      </c>
      <c r="AH138" s="174">
        <f t="shared" si="95"/>
        <v>330014.27105369512</v>
      </c>
      <c r="AI138" s="142">
        <f t="shared" si="96"/>
        <v>302950.67722187418</v>
      </c>
      <c r="AJ138" s="174">
        <f t="shared" si="97"/>
        <v>336614.55647476902</v>
      </c>
      <c r="AK138" s="142">
        <f t="shared" si="98"/>
        <v>311736.24686130852</v>
      </c>
      <c r="AL138" s="174">
        <f t="shared" si="99"/>
        <v>346376.37861253729</v>
      </c>
      <c r="AM138" s="142">
        <f t="shared" si="100"/>
        <v>331375.63041357097</v>
      </c>
      <c r="AN138" s="142">
        <f t="shared" si="101"/>
        <v>368198.09046512714</v>
      </c>
    </row>
    <row r="139" spans="2:40">
      <c r="B139" s="38" t="s">
        <v>166</v>
      </c>
      <c r="C139" s="39" t="s">
        <v>167</v>
      </c>
      <c r="D139" s="42" t="s">
        <v>97</v>
      </c>
      <c r="E139" s="43" t="s">
        <v>97</v>
      </c>
      <c r="F139" s="5" t="s">
        <v>97</v>
      </c>
      <c r="G139" s="5" t="s">
        <v>97</v>
      </c>
      <c r="H139" s="3" t="s">
        <v>97</v>
      </c>
      <c r="I139" s="3" t="s">
        <v>97</v>
      </c>
      <c r="J139" s="3" t="s">
        <v>97</v>
      </c>
      <c r="K139" s="3" t="s">
        <v>97</v>
      </c>
      <c r="L139" s="3" t="s">
        <v>97</v>
      </c>
      <c r="M139" s="3" t="s">
        <v>97</v>
      </c>
      <c r="N139" s="29" t="s">
        <v>97</v>
      </c>
      <c r="O139" s="3" t="s">
        <v>97</v>
      </c>
      <c r="P139" s="3" t="s">
        <v>97</v>
      </c>
      <c r="Q139" s="3" t="s">
        <v>97</v>
      </c>
      <c r="R139" s="3" t="s">
        <v>97</v>
      </c>
      <c r="S139" s="29" t="s">
        <v>97</v>
      </c>
      <c r="T139" s="3" t="s">
        <v>97</v>
      </c>
      <c r="U139" s="29" t="s">
        <v>97</v>
      </c>
      <c r="V139" s="3" t="s">
        <v>97</v>
      </c>
      <c r="W139" s="29" t="s">
        <v>97</v>
      </c>
      <c r="X139" s="3" t="s">
        <v>97</v>
      </c>
      <c r="Y139" s="29" t="s">
        <v>97</v>
      </c>
      <c r="Z139" s="3" t="s">
        <v>97</v>
      </c>
      <c r="AA139" s="29" t="s">
        <v>97</v>
      </c>
      <c r="AB139" s="3" t="s">
        <v>97</v>
      </c>
      <c r="AC139" s="29" t="s">
        <v>97</v>
      </c>
      <c r="AD139" s="3" t="s">
        <v>97</v>
      </c>
      <c r="AE139" s="29" t="s">
        <v>97</v>
      </c>
      <c r="AF139" s="3" t="s">
        <v>97</v>
      </c>
      <c r="AG139" s="29" t="s">
        <v>97</v>
      </c>
      <c r="AH139" s="3" t="s">
        <v>97</v>
      </c>
      <c r="AI139" s="29" t="s">
        <v>97</v>
      </c>
      <c r="AJ139" s="3" t="s">
        <v>97</v>
      </c>
      <c r="AK139" s="3" t="s">
        <v>97</v>
      </c>
      <c r="AL139" s="29" t="s">
        <v>97</v>
      </c>
      <c r="AM139" s="29" t="s">
        <v>97</v>
      </c>
      <c r="AN139" s="29" t="s">
        <v>97</v>
      </c>
    </row>
    <row r="140" spans="2:40">
      <c r="B140" s="38" t="s">
        <v>168</v>
      </c>
      <c r="C140" s="39" t="s">
        <v>169</v>
      </c>
      <c r="D140" s="42" t="s">
        <v>97</v>
      </c>
      <c r="E140" s="43" t="s">
        <v>97</v>
      </c>
      <c r="F140" s="5" t="s">
        <v>97</v>
      </c>
      <c r="G140" s="5" t="s">
        <v>97</v>
      </c>
      <c r="H140" s="3" t="s">
        <v>97</v>
      </c>
      <c r="I140" s="3" t="s">
        <v>97</v>
      </c>
      <c r="J140" s="3" t="s">
        <v>97</v>
      </c>
      <c r="K140" s="3" t="s">
        <v>97</v>
      </c>
      <c r="L140" s="3" t="s">
        <v>97</v>
      </c>
      <c r="M140" s="3" t="s">
        <v>97</v>
      </c>
      <c r="N140" s="29" t="s">
        <v>97</v>
      </c>
      <c r="O140" s="3" t="s">
        <v>97</v>
      </c>
      <c r="P140" s="3" t="s">
        <v>97</v>
      </c>
      <c r="Q140" s="3" t="s">
        <v>97</v>
      </c>
      <c r="R140" s="3" t="s">
        <v>97</v>
      </c>
      <c r="S140" s="29" t="s">
        <v>97</v>
      </c>
      <c r="T140" s="3" t="s">
        <v>97</v>
      </c>
      <c r="U140" s="29" t="s">
        <v>97</v>
      </c>
      <c r="V140" s="3" t="s">
        <v>97</v>
      </c>
      <c r="W140" s="29" t="s">
        <v>97</v>
      </c>
      <c r="X140" s="3" t="s">
        <v>97</v>
      </c>
      <c r="Y140" s="29" t="s">
        <v>97</v>
      </c>
      <c r="Z140" s="3" t="s">
        <v>97</v>
      </c>
      <c r="AA140" s="29" t="s">
        <v>97</v>
      </c>
      <c r="AB140" s="3" t="s">
        <v>97</v>
      </c>
      <c r="AC140" s="29" t="s">
        <v>97</v>
      </c>
      <c r="AD140" s="3" t="s">
        <v>97</v>
      </c>
      <c r="AE140" s="29" t="s">
        <v>97</v>
      </c>
      <c r="AF140" s="3" t="s">
        <v>97</v>
      </c>
      <c r="AG140" s="29" t="s">
        <v>97</v>
      </c>
      <c r="AH140" s="3" t="s">
        <v>97</v>
      </c>
      <c r="AI140" s="29" t="s">
        <v>97</v>
      </c>
      <c r="AJ140" s="3" t="s">
        <v>97</v>
      </c>
      <c r="AK140" s="3" t="s">
        <v>97</v>
      </c>
      <c r="AL140" s="29" t="s">
        <v>97</v>
      </c>
      <c r="AM140" s="29" t="s">
        <v>97</v>
      </c>
      <c r="AN140" s="29" t="s">
        <v>97</v>
      </c>
    </row>
    <row r="141" spans="2:40">
      <c r="B141" s="38" t="s">
        <v>170</v>
      </c>
      <c r="C141" s="39" t="s">
        <v>171</v>
      </c>
      <c r="D141" s="42" t="s">
        <v>97</v>
      </c>
      <c r="E141" s="43" t="s">
        <v>97</v>
      </c>
      <c r="F141" s="5" t="s">
        <v>97</v>
      </c>
      <c r="G141" s="5" t="s">
        <v>97</v>
      </c>
      <c r="H141" s="3" t="s">
        <v>97</v>
      </c>
      <c r="I141" s="3" t="s">
        <v>97</v>
      </c>
      <c r="J141" s="3" t="s">
        <v>97</v>
      </c>
      <c r="K141" s="3" t="s">
        <v>97</v>
      </c>
      <c r="L141" s="3" t="s">
        <v>97</v>
      </c>
      <c r="M141" s="3" t="s">
        <v>97</v>
      </c>
      <c r="N141" s="29" t="s">
        <v>97</v>
      </c>
      <c r="O141" s="3" t="s">
        <v>97</v>
      </c>
      <c r="P141" s="3" t="s">
        <v>97</v>
      </c>
      <c r="Q141" s="3" t="s">
        <v>97</v>
      </c>
      <c r="R141" s="3" t="s">
        <v>97</v>
      </c>
      <c r="S141" s="29" t="s">
        <v>97</v>
      </c>
      <c r="T141" s="3" t="s">
        <v>97</v>
      </c>
      <c r="U141" s="29" t="s">
        <v>97</v>
      </c>
      <c r="V141" s="3" t="s">
        <v>97</v>
      </c>
      <c r="W141" s="29" t="s">
        <v>97</v>
      </c>
      <c r="X141" s="3" t="s">
        <v>97</v>
      </c>
      <c r="Y141" s="29" t="s">
        <v>97</v>
      </c>
      <c r="Z141" s="3" t="s">
        <v>97</v>
      </c>
      <c r="AA141" s="29" t="s">
        <v>97</v>
      </c>
      <c r="AB141" s="3" t="s">
        <v>97</v>
      </c>
      <c r="AC141" s="29" t="s">
        <v>97</v>
      </c>
      <c r="AD141" s="3" t="s">
        <v>97</v>
      </c>
      <c r="AE141" s="29" t="s">
        <v>97</v>
      </c>
      <c r="AF141" s="3" t="s">
        <v>97</v>
      </c>
      <c r="AG141" s="29" t="s">
        <v>97</v>
      </c>
      <c r="AH141" s="3" t="s">
        <v>97</v>
      </c>
      <c r="AI141" s="29" t="s">
        <v>97</v>
      </c>
      <c r="AJ141" s="3" t="s">
        <v>97</v>
      </c>
      <c r="AK141" s="3" t="s">
        <v>97</v>
      </c>
      <c r="AL141" s="29" t="s">
        <v>97</v>
      </c>
      <c r="AM141" s="29" t="s">
        <v>97</v>
      </c>
      <c r="AN141" s="29" t="s">
        <v>97</v>
      </c>
    </row>
    <row r="142" spans="2:40">
      <c r="B142" s="38" t="s">
        <v>172</v>
      </c>
      <c r="C142" s="39" t="s">
        <v>173</v>
      </c>
      <c r="D142" s="42" t="s">
        <v>97</v>
      </c>
      <c r="E142" s="43" t="s">
        <v>97</v>
      </c>
      <c r="F142" s="5" t="s">
        <v>97</v>
      </c>
      <c r="G142" s="5" t="s">
        <v>97</v>
      </c>
      <c r="H142" s="3" t="s">
        <v>97</v>
      </c>
      <c r="I142" s="3" t="s">
        <v>97</v>
      </c>
      <c r="J142" s="3" t="s">
        <v>97</v>
      </c>
      <c r="K142" s="3" t="s">
        <v>97</v>
      </c>
      <c r="L142" s="3" t="s">
        <v>97</v>
      </c>
      <c r="M142" s="3" t="s">
        <v>97</v>
      </c>
      <c r="N142" s="29" t="s">
        <v>97</v>
      </c>
      <c r="O142" s="3" t="s">
        <v>97</v>
      </c>
      <c r="P142" s="3" t="s">
        <v>97</v>
      </c>
      <c r="Q142" s="3" t="s">
        <v>97</v>
      </c>
      <c r="R142" s="3" t="s">
        <v>97</v>
      </c>
      <c r="S142" s="29" t="s">
        <v>97</v>
      </c>
      <c r="T142" s="3" t="s">
        <v>97</v>
      </c>
      <c r="U142" s="29" t="s">
        <v>97</v>
      </c>
      <c r="V142" s="3" t="s">
        <v>97</v>
      </c>
      <c r="W142" s="29" t="s">
        <v>97</v>
      </c>
      <c r="X142" s="3" t="s">
        <v>97</v>
      </c>
      <c r="Y142" s="29" t="s">
        <v>97</v>
      </c>
      <c r="Z142" s="3" t="s">
        <v>97</v>
      </c>
      <c r="AA142" s="29" t="s">
        <v>97</v>
      </c>
      <c r="AB142" s="3" t="s">
        <v>97</v>
      </c>
      <c r="AC142" s="29" t="s">
        <v>97</v>
      </c>
      <c r="AD142" s="3" t="s">
        <v>97</v>
      </c>
      <c r="AE142" s="29" t="s">
        <v>97</v>
      </c>
      <c r="AF142" s="3" t="s">
        <v>97</v>
      </c>
      <c r="AG142" s="29" t="s">
        <v>97</v>
      </c>
      <c r="AH142" s="3" t="s">
        <v>97</v>
      </c>
      <c r="AI142" s="29" t="s">
        <v>97</v>
      </c>
      <c r="AJ142" s="3" t="s">
        <v>97</v>
      </c>
      <c r="AK142" s="3" t="s">
        <v>97</v>
      </c>
      <c r="AL142" s="29" t="s">
        <v>97</v>
      </c>
      <c r="AM142" s="29" t="s">
        <v>97</v>
      </c>
      <c r="AN142" s="29" t="s">
        <v>97</v>
      </c>
    </row>
    <row r="143" spans="2:40">
      <c r="B143" s="38" t="s">
        <v>174</v>
      </c>
      <c r="C143" s="39" t="s">
        <v>175</v>
      </c>
      <c r="D143" s="42" t="s">
        <v>97</v>
      </c>
      <c r="E143" s="43" t="s">
        <v>97</v>
      </c>
      <c r="F143" s="5" t="s">
        <v>97</v>
      </c>
      <c r="G143" s="5" t="s">
        <v>97</v>
      </c>
      <c r="H143" s="3" t="s">
        <v>97</v>
      </c>
      <c r="I143" s="3" t="s">
        <v>97</v>
      </c>
      <c r="J143" s="3" t="s">
        <v>97</v>
      </c>
      <c r="K143" s="3" t="s">
        <v>97</v>
      </c>
      <c r="L143" s="3" t="s">
        <v>97</v>
      </c>
      <c r="M143" s="3" t="s">
        <v>97</v>
      </c>
      <c r="N143" s="29" t="s">
        <v>97</v>
      </c>
      <c r="O143" s="3" t="s">
        <v>97</v>
      </c>
      <c r="P143" s="3" t="s">
        <v>97</v>
      </c>
      <c r="Q143" s="3" t="s">
        <v>97</v>
      </c>
      <c r="R143" s="3" t="s">
        <v>97</v>
      </c>
      <c r="S143" s="29" t="s">
        <v>97</v>
      </c>
      <c r="T143" s="3" t="s">
        <v>97</v>
      </c>
      <c r="U143" s="29" t="s">
        <v>97</v>
      </c>
      <c r="V143" s="3" t="s">
        <v>97</v>
      </c>
      <c r="W143" s="29" t="s">
        <v>97</v>
      </c>
      <c r="X143" s="3" t="s">
        <v>97</v>
      </c>
      <c r="Y143" s="29" t="s">
        <v>97</v>
      </c>
      <c r="Z143" s="3" t="s">
        <v>97</v>
      </c>
      <c r="AA143" s="29" t="s">
        <v>97</v>
      </c>
      <c r="AB143" s="3" t="s">
        <v>97</v>
      </c>
      <c r="AC143" s="29" t="s">
        <v>97</v>
      </c>
      <c r="AD143" s="3" t="s">
        <v>97</v>
      </c>
      <c r="AE143" s="29" t="s">
        <v>97</v>
      </c>
      <c r="AF143" s="3" t="s">
        <v>97</v>
      </c>
      <c r="AG143" s="29" t="s">
        <v>97</v>
      </c>
      <c r="AH143" s="3" t="s">
        <v>97</v>
      </c>
      <c r="AI143" s="29" t="s">
        <v>97</v>
      </c>
      <c r="AJ143" s="3" t="s">
        <v>97</v>
      </c>
      <c r="AK143" s="3" t="s">
        <v>97</v>
      </c>
      <c r="AL143" s="29" t="s">
        <v>97</v>
      </c>
      <c r="AM143" s="29" t="s">
        <v>97</v>
      </c>
      <c r="AN143" s="29" t="s">
        <v>97</v>
      </c>
    </row>
    <row r="144" spans="2:40">
      <c r="B144" s="38" t="s">
        <v>176</v>
      </c>
      <c r="C144" s="39" t="s">
        <v>177</v>
      </c>
      <c r="D144" s="42" t="s">
        <v>97</v>
      </c>
      <c r="E144" s="43" t="s">
        <v>97</v>
      </c>
      <c r="F144" s="5" t="s">
        <v>97</v>
      </c>
      <c r="G144" s="5" t="s">
        <v>97</v>
      </c>
      <c r="H144" s="3" t="s">
        <v>97</v>
      </c>
      <c r="I144" s="3" t="s">
        <v>97</v>
      </c>
      <c r="J144" s="3" t="s">
        <v>97</v>
      </c>
      <c r="K144" s="3" t="s">
        <v>97</v>
      </c>
      <c r="L144" s="3" t="s">
        <v>97</v>
      </c>
      <c r="M144" s="3" t="s">
        <v>97</v>
      </c>
      <c r="N144" s="29" t="s">
        <v>97</v>
      </c>
      <c r="O144" s="3" t="s">
        <v>97</v>
      </c>
      <c r="P144" s="3" t="s">
        <v>97</v>
      </c>
      <c r="Q144" s="3" t="s">
        <v>97</v>
      </c>
      <c r="R144" s="3" t="s">
        <v>97</v>
      </c>
      <c r="S144" s="29" t="s">
        <v>97</v>
      </c>
      <c r="T144" s="3" t="s">
        <v>97</v>
      </c>
      <c r="U144" s="29" t="s">
        <v>97</v>
      </c>
      <c r="V144" s="3" t="s">
        <v>97</v>
      </c>
      <c r="W144" s="29" t="s">
        <v>97</v>
      </c>
      <c r="X144" s="3" t="s">
        <v>97</v>
      </c>
      <c r="Y144" s="29" t="s">
        <v>97</v>
      </c>
      <c r="Z144" s="3" t="s">
        <v>97</v>
      </c>
      <c r="AA144" s="29" t="s">
        <v>97</v>
      </c>
      <c r="AB144" s="3" t="s">
        <v>97</v>
      </c>
      <c r="AC144" s="29" t="s">
        <v>97</v>
      </c>
      <c r="AD144" s="3" t="s">
        <v>97</v>
      </c>
      <c r="AE144" s="29" t="s">
        <v>97</v>
      </c>
      <c r="AF144" s="3" t="s">
        <v>97</v>
      </c>
      <c r="AG144" s="29" t="s">
        <v>97</v>
      </c>
      <c r="AH144" s="3" t="s">
        <v>97</v>
      </c>
      <c r="AI144" s="29" t="s">
        <v>97</v>
      </c>
      <c r="AJ144" s="3" t="s">
        <v>97</v>
      </c>
      <c r="AK144" s="3" t="s">
        <v>97</v>
      </c>
      <c r="AL144" s="29" t="s">
        <v>97</v>
      </c>
      <c r="AM144" s="29" t="s">
        <v>97</v>
      </c>
      <c r="AN144" s="29" t="s">
        <v>97</v>
      </c>
    </row>
    <row r="145" spans="2:40">
      <c r="B145" s="38" t="s">
        <v>178</v>
      </c>
      <c r="C145" s="39" t="s">
        <v>179</v>
      </c>
      <c r="D145" s="42" t="s">
        <v>97</v>
      </c>
      <c r="E145" s="43" t="s">
        <v>97</v>
      </c>
      <c r="F145" s="5" t="s">
        <v>97</v>
      </c>
      <c r="G145" s="5" t="s">
        <v>97</v>
      </c>
      <c r="H145" s="3" t="s">
        <v>97</v>
      </c>
      <c r="I145" s="3" t="s">
        <v>97</v>
      </c>
      <c r="J145" s="3" t="s">
        <v>97</v>
      </c>
      <c r="K145" s="3" t="s">
        <v>97</v>
      </c>
      <c r="L145" s="3" t="s">
        <v>97</v>
      </c>
      <c r="M145" s="3" t="s">
        <v>97</v>
      </c>
      <c r="N145" s="29" t="s">
        <v>97</v>
      </c>
      <c r="O145" s="3" t="s">
        <v>97</v>
      </c>
      <c r="P145" s="3" t="s">
        <v>97</v>
      </c>
      <c r="Q145" s="3" t="s">
        <v>97</v>
      </c>
      <c r="R145" s="3" t="s">
        <v>97</v>
      </c>
      <c r="S145" s="29" t="s">
        <v>97</v>
      </c>
      <c r="T145" s="3" t="s">
        <v>97</v>
      </c>
      <c r="U145" s="29" t="s">
        <v>97</v>
      </c>
      <c r="V145" s="3" t="s">
        <v>97</v>
      </c>
      <c r="W145" s="29" t="s">
        <v>97</v>
      </c>
      <c r="X145" s="3" t="s">
        <v>97</v>
      </c>
      <c r="Y145" s="29" t="s">
        <v>97</v>
      </c>
      <c r="Z145" s="3" t="s">
        <v>97</v>
      </c>
      <c r="AA145" s="29" t="s">
        <v>97</v>
      </c>
      <c r="AB145" s="3" t="s">
        <v>97</v>
      </c>
      <c r="AC145" s="29" t="s">
        <v>97</v>
      </c>
      <c r="AD145" s="3" t="s">
        <v>97</v>
      </c>
      <c r="AE145" s="29" t="s">
        <v>97</v>
      </c>
      <c r="AF145" s="3" t="s">
        <v>97</v>
      </c>
      <c r="AG145" s="29" t="s">
        <v>97</v>
      </c>
      <c r="AH145" s="3" t="s">
        <v>97</v>
      </c>
      <c r="AI145" s="29" t="s">
        <v>97</v>
      </c>
      <c r="AJ145" s="3" t="s">
        <v>97</v>
      </c>
      <c r="AK145" s="3" t="s">
        <v>97</v>
      </c>
      <c r="AL145" s="29" t="s">
        <v>97</v>
      </c>
      <c r="AM145" s="29" t="s">
        <v>97</v>
      </c>
      <c r="AN145" s="29" t="s">
        <v>97</v>
      </c>
    </row>
    <row r="146" spans="2:40">
      <c r="B146" s="38" t="s">
        <v>180</v>
      </c>
      <c r="C146" s="39" t="s">
        <v>181</v>
      </c>
      <c r="D146" s="42" t="s">
        <v>97</v>
      </c>
      <c r="E146" s="43" t="s">
        <v>97</v>
      </c>
      <c r="F146" s="5" t="s">
        <v>97</v>
      </c>
      <c r="G146" s="5" t="s">
        <v>97</v>
      </c>
      <c r="H146" s="3" t="s">
        <v>97</v>
      </c>
      <c r="I146" s="3" t="s">
        <v>97</v>
      </c>
      <c r="J146" s="3" t="s">
        <v>97</v>
      </c>
      <c r="K146" s="3" t="s">
        <v>97</v>
      </c>
      <c r="L146" s="3" t="s">
        <v>97</v>
      </c>
      <c r="M146" s="3" t="s">
        <v>97</v>
      </c>
      <c r="N146" s="29" t="s">
        <v>97</v>
      </c>
      <c r="O146" s="3" t="s">
        <v>97</v>
      </c>
      <c r="P146" s="3" t="s">
        <v>97</v>
      </c>
      <c r="Q146" s="3" t="s">
        <v>97</v>
      </c>
      <c r="R146" s="3" t="s">
        <v>97</v>
      </c>
      <c r="S146" s="29" t="s">
        <v>97</v>
      </c>
      <c r="T146" s="3" t="s">
        <v>97</v>
      </c>
      <c r="U146" s="29" t="s">
        <v>97</v>
      </c>
      <c r="V146" s="3" t="s">
        <v>97</v>
      </c>
      <c r="W146" s="29" t="s">
        <v>97</v>
      </c>
      <c r="X146" s="3" t="s">
        <v>97</v>
      </c>
      <c r="Y146" s="29" t="s">
        <v>97</v>
      </c>
      <c r="Z146" s="3" t="s">
        <v>97</v>
      </c>
      <c r="AA146" s="29" t="s">
        <v>97</v>
      </c>
      <c r="AB146" s="3" t="s">
        <v>97</v>
      </c>
      <c r="AC146" s="29" t="s">
        <v>97</v>
      </c>
      <c r="AD146" s="3" t="s">
        <v>97</v>
      </c>
      <c r="AE146" s="29" t="s">
        <v>97</v>
      </c>
      <c r="AF146" s="3" t="s">
        <v>97</v>
      </c>
      <c r="AG146" s="29" t="s">
        <v>97</v>
      </c>
      <c r="AH146" s="3" t="s">
        <v>97</v>
      </c>
      <c r="AI146" s="29" t="s">
        <v>97</v>
      </c>
      <c r="AJ146" s="3" t="s">
        <v>97</v>
      </c>
      <c r="AK146" s="3" t="s">
        <v>97</v>
      </c>
      <c r="AL146" s="29" t="s">
        <v>97</v>
      </c>
      <c r="AM146" s="29" t="s">
        <v>97</v>
      </c>
      <c r="AN146" s="29" t="s">
        <v>97</v>
      </c>
    </row>
    <row r="147" spans="2:40">
      <c r="B147" s="38" t="s">
        <v>182</v>
      </c>
      <c r="C147" s="39" t="s">
        <v>183</v>
      </c>
      <c r="D147" s="42" t="s">
        <v>97</v>
      </c>
      <c r="E147" s="43" t="s">
        <v>97</v>
      </c>
      <c r="F147" s="5" t="s">
        <v>97</v>
      </c>
      <c r="G147" s="5" t="s">
        <v>97</v>
      </c>
      <c r="H147" s="3" t="s">
        <v>97</v>
      </c>
      <c r="I147" s="3" t="s">
        <v>97</v>
      </c>
      <c r="J147" s="3" t="s">
        <v>97</v>
      </c>
      <c r="K147" s="3" t="s">
        <v>97</v>
      </c>
      <c r="L147" s="3" t="s">
        <v>97</v>
      </c>
      <c r="M147" s="3" t="s">
        <v>97</v>
      </c>
      <c r="N147" s="29" t="s">
        <v>97</v>
      </c>
      <c r="O147" s="3" t="s">
        <v>97</v>
      </c>
      <c r="P147" s="3" t="s">
        <v>97</v>
      </c>
      <c r="Q147" s="3" t="s">
        <v>97</v>
      </c>
      <c r="R147" s="3" t="s">
        <v>97</v>
      </c>
      <c r="S147" s="29" t="s">
        <v>97</v>
      </c>
      <c r="T147" s="3" t="s">
        <v>97</v>
      </c>
      <c r="U147" s="29" t="s">
        <v>97</v>
      </c>
      <c r="V147" s="3" t="s">
        <v>97</v>
      </c>
      <c r="W147" s="29" t="s">
        <v>97</v>
      </c>
      <c r="X147" s="3" t="s">
        <v>97</v>
      </c>
      <c r="Y147" s="29" t="s">
        <v>97</v>
      </c>
      <c r="Z147" s="3" t="s">
        <v>97</v>
      </c>
      <c r="AA147" s="29" t="s">
        <v>97</v>
      </c>
      <c r="AB147" s="3" t="s">
        <v>97</v>
      </c>
      <c r="AC147" s="29" t="s">
        <v>97</v>
      </c>
      <c r="AD147" s="3" t="s">
        <v>97</v>
      </c>
      <c r="AE147" s="29" t="s">
        <v>97</v>
      </c>
      <c r="AF147" s="3" t="s">
        <v>97</v>
      </c>
      <c r="AG147" s="29" t="s">
        <v>97</v>
      </c>
      <c r="AH147" s="3" t="s">
        <v>97</v>
      </c>
      <c r="AI147" s="29" t="s">
        <v>97</v>
      </c>
      <c r="AJ147" s="3" t="s">
        <v>97</v>
      </c>
      <c r="AK147" s="3" t="s">
        <v>97</v>
      </c>
      <c r="AL147" s="29" t="s">
        <v>97</v>
      </c>
      <c r="AM147" s="29" t="s">
        <v>97</v>
      </c>
      <c r="AN147" s="29" t="s">
        <v>97</v>
      </c>
    </row>
    <row r="148" spans="2:40">
      <c r="B148" s="38" t="s">
        <v>184</v>
      </c>
      <c r="C148" s="39" t="s">
        <v>185</v>
      </c>
      <c r="D148" s="42" t="s">
        <v>97</v>
      </c>
      <c r="E148" s="43" t="s">
        <v>97</v>
      </c>
      <c r="F148" s="5" t="s">
        <v>97</v>
      </c>
      <c r="G148" s="5" t="s">
        <v>97</v>
      </c>
      <c r="H148" s="3" t="s">
        <v>97</v>
      </c>
      <c r="I148" s="3" t="s">
        <v>97</v>
      </c>
      <c r="J148" s="3" t="s">
        <v>97</v>
      </c>
      <c r="K148" s="3" t="s">
        <v>97</v>
      </c>
      <c r="L148" s="3" t="s">
        <v>97</v>
      </c>
      <c r="M148" s="3" t="s">
        <v>97</v>
      </c>
      <c r="N148" s="29" t="s">
        <v>97</v>
      </c>
      <c r="O148" s="3" t="s">
        <v>97</v>
      </c>
      <c r="P148" s="3" t="s">
        <v>97</v>
      </c>
      <c r="Q148" s="3" t="s">
        <v>97</v>
      </c>
      <c r="R148" s="3" t="s">
        <v>97</v>
      </c>
      <c r="S148" s="29" t="s">
        <v>97</v>
      </c>
      <c r="T148" s="3" t="s">
        <v>97</v>
      </c>
      <c r="U148" s="29" t="s">
        <v>97</v>
      </c>
      <c r="V148" s="3" t="s">
        <v>97</v>
      </c>
      <c r="W148" s="29" t="s">
        <v>97</v>
      </c>
      <c r="X148" s="3" t="s">
        <v>97</v>
      </c>
      <c r="Y148" s="29" t="s">
        <v>97</v>
      </c>
      <c r="Z148" s="3" t="s">
        <v>97</v>
      </c>
      <c r="AA148" s="29" t="s">
        <v>97</v>
      </c>
      <c r="AB148" s="3" t="s">
        <v>97</v>
      </c>
      <c r="AC148" s="29" t="s">
        <v>97</v>
      </c>
      <c r="AD148" s="3" t="s">
        <v>97</v>
      </c>
      <c r="AE148" s="29" t="s">
        <v>97</v>
      </c>
      <c r="AF148" s="3" t="s">
        <v>97</v>
      </c>
      <c r="AG148" s="29" t="s">
        <v>97</v>
      </c>
      <c r="AH148" s="3" t="s">
        <v>97</v>
      </c>
      <c r="AI148" s="29" t="s">
        <v>97</v>
      </c>
      <c r="AJ148" s="3" t="s">
        <v>97</v>
      </c>
      <c r="AK148" s="3" t="s">
        <v>97</v>
      </c>
      <c r="AL148" s="29" t="s">
        <v>97</v>
      </c>
      <c r="AM148" s="29" t="s">
        <v>97</v>
      </c>
      <c r="AN148" s="29" t="s">
        <v>97</v>
      </c>
    </row>
    <row r="149" spans="2:40">
      <c r="B149" s="38" t="s">
        <v>186</v>
      </c>
      <c r="C149" s="39" t="s">
        <v>187</v>
      </c>
      <c r="D149" s="16">
        <v>351467.17221493775</v>
      </c>
      <c r="E149" s="17">
        <f t="shared" ref="E149:E150" si="102">D149*1.05</f>
        <v>369040.53082568466</v>
      </c>
      <c r="F149" s="57">
        <f>E149*1.045</f>
        <v>385647.35471284046</v>
      </c>
      <c r="G149" s="57">
        <f t="shared" si="72"/>
        <v>399067.8826568473</v>
      </c>
      <c r="H149" s="57">
        <f t="shared" si="73"/>
        <v>443412.30577767623</v>
      </c>
      <c r="I149" s="57">
        <f t="shared" si="74"/>
        <v>409842.71548858215</v>
      </c>
      <c r="J149" s="57">
        <f t="shared" si="74"/>
        <v>455384.43803367345</v>
      </c>
      <c r="K149" s="57">
        <f t="shared" si="75"/>
        <v>419678.94066030812</v>
      </c>
      <c r="L149" s="9">
        <f t="shared" si="75"/>
        <v>466313.66454648162</v>
      </c>
      <c r="M149" s="9">
        <f t="shared" si="76"/>
        <v>431010.27205813641</v>
      </c>
      <c r="N149" s="58">
        <f t="shared" si="76"/>
        <v>478904.13348923658</v>
      </c>
      <c r="O149" s="80">
        <f t="shared" si="77"/>
        <v>440492.49804341543</v>
      </c>
      <c r="P149" s="78">
        <f t="shared" si="77"/>
        <v>489440.02442599979</v>
      </c>
      <c r="Q149" s="1">
        <f t="shared" si="78"/>
        <v>451064.31799645739</v>
      </c>
      <c r="R149" s="80">
        <f t="shared" si="79"/>
        <v>501186.5850122238</v>
      </c>
      <c r="S149" s="1">
        <f t="shared" si="80"/>
        <v>467753.69776232628</v>
      </c>
      <c r="T149" s="78">
        <f t="shared" si="81"/>
        <v>519730.48865767603</v>
      </c>
      <c r="U149" s="1">
        <f t="shared" si="82"/>
        <v>480850.80129967141</v>
      </c>
      <c r="V149" s="99">
        <f t="shared" si="83"/>
        <v>534282.94234009099</v>
      </c>
      <c r="W149" s="80">
        <f t="shared" si="84"/>
        <v>488063.56331916642</v>
      </c>
      <c r="X149" s="80">
        <f t="shared" si="85"/>
        <v>542297.18647519231</v>
      </c>
      <c r="Y149" s="78">
        <f t="shared" si="86"/>
        <v>495872.58033227309</v>
      </c>
      <c r="Z149" s="78">
        <f t="shared" si="87"/>
        <v>550973.94145879545</v>
      </c>
      <c r="AA149" s="80">
        <f t="shared" si="88"/>
        <v>505294.15935858624</v>
      </c>
      <c r="AB149" s="80">
        <f t="shared" si="89"/>
        <v>561442.44634651253</v>
      </c>
      <c r="AC149" s="101">
        <f t="shared" si="90"/>
        <v>514894.74838639935</v>
      </c>
      <c r="AD149" s="80">
        <f t="shared" si="91"/>
        <v>572109.85282709624</v>
      </c>
      <c r="AE149" s="101">
        <f t="shared" si="92"/>
        <v>525707.53810251364</v>
      </c>
      <c r="AF149" s="80">
        <f t="shared" si="93"/>
        <v>584124.1597364652</v>
      </c>
      <c r="AG149" s="143">
        <f t="shared" si="94"/>
        <v>532541.7360978463</v>
      </c>
      <c r="AH149" s="152">
        <f t="shared" si="95"/>
        <v>591717.77381303918</v>
      </c>
      <c r="AI149" s="143">
        <f t="shared" si="96"/>
        <v>543192.57081980328</v>
      </c>
      <c r="AJ149" s="152">
        <f t="shared" si="97"/>
        <v>603552.12928929995</v>
      </c>
      <c r="AK149" s="143">
        <f t="shared" si="98"/>
        <v>558945.15537357749</v>
      </c>
      <c r="AL149" s="152">
        <f t="shared" si="99"/>
        <v>621055.14103868965</v>
      </c>
      <c r="AM149" s="143">
        <f t="shared" si="100"/>
        <v>594158.70016211283</v>
      </c>
      <c r="AN149" s="143">
        <f t="shared" si="101"/>
        <v>660181.614924127</v>
      </c>
    </row>
    <row r="150" spans="2:40">
      <c r="B150" s="38" t="s">
        <v>188</v>
      </c>
      <c r="C150" s="39" t="s">
        <v>189</v>
      </c>
      <c r="D150" s="16">
        <v>570890.51661660476</v>
      </c>
      <c r="E150" s="17">
        <f t="shared" si="102"/>
        <v>599435.04244743497</v>
      </c>
      <c r="F150" s="57">
        <f>E150*1.045</f>
        <v>626409.61935756949</v>
      </c>
      <c r="G150" s="57">
        <f t="shared" si="72"/>
        <v>648208.67411121284</v>
      </c>
      <c r="H150" s="57">
        <f t="shared" si="73"/>
        <v>720237.62197845092</v>
      </c>
      <c r="I150" s="57">
        <f t="shared" si="74"/>
        <v>665710.30831221549</v>
      </c>
      <c r="J150" s="57">
        <f t="shared" si="74"/>
        <v>739684.03777186899</v>
      </c>
      <c r="K150" s="57">
        <f t="shared" si="75"/>
        <v>681687.35571170866</v>
      </c>
      <c r="L150" s="9">
        <f t="shared" si="75"/>
        <v>757436.4546783939</v>
      </c>
      <c r="M150" s="9">
        <f t="shared" si="76"/>
        <v>700092.91431592475</v>
      </c>
      <c r="N150" s="71">
        <f t="shared" si="76"/>
        <v>777887.23895471042</v>
      </c>
      <c r="O150" s="79">
        <f t="shared" si="77"/>
        <v>715494.95843087509</v>
      </c>
      <c r="P150" s="78">
        <f t="shared" si="77"/>
        <v>795000.7582117141</v>
      </c>
      <c r="Q150" s="1">
        <f t="shared" si="78"/>
        <v>732666.83743321616</v>
      </c>
      <c r="R150" s="79">
        <f t="shared" si="79"/>
        <v>814080.77640879527</v>
      </c>
      <c r="S150" s="1">
        <f t="shared" si="80"/>
        <v>759775.5104182451</v>
      </c>
      <c r="T150" s="78">
        <f t="shared" si="81"/>
        <v>844201.76513592061</v>
      </c>
      <c r="U150" s="1">
        <f t="shared" si="82"/>
        <v>781049.22470995598</v>
      </c>
      <c r="V150" s="99">
        <f t="shared" si="83"/>
        <v>867839.41455972637</v>
      </c>
      <c r="W150" s="78">
        <f t="shared" si="84"/>
        <v>792764.96308060526</v>
      </c>
      <c r="X150" s="79">
        <f t="shared" si="85"/>
        <v>880857.00577812223</v>
      </c>
      <c r="Y150" s="79">
        <f t="shared" si="86"/>
        <v>805449.20248989493</v>
      </c>
      <c r="Z150" s="79">
        <f t="shared" si="87"/>
        <v>894950.71787057223</v>
      </c>
      <c r="AA150" s="79">
        <f t="shared" si="88"/>
        <v>820752.73733720288</v>
      </c>
      <c r="AB150" s="79">
        <f t="shared" si="89"/>
        <v>911954.78151011304</v>
      </c>
      <c r="AC150" s="100">
        <f t="shared" si="90"/>
        <v>836347.03934660961</v>
      </c>
      <c r="AD150" s="79">
        <f t="shared" si="91"/>
        <v>929281.92235880508</v>
      </c>
      <c r="AE150" s="100">
        <f t="shared" si="92"/>
        <v>853910.32717288833</v>
      </c>
      <c r="AF150" s="79">
        <f t="shared" si="93"/>
        <v>948796.84272833995</v>
      </c>
      <c r="AG150" s="142">
        <f t="shared" si="94"/>
        <v>865011.1614261358</v>
      </c>
      <c r="AH150" s="174">
        <f t="shared" si="95"/>
        <v>961131.20168380823</v>
      </c>
      <c r="AI150" s="142">
        <f t="shared" si="96"/>
        <v>882311.3846546585</v>
      </c>
      <c r="AJ150" s="174">
        <f t="shared" si="97"/>
        <v>980353.82571748446</v>
      </c>
      <c r="AK150" s="142">
        <f t="shared" si="98"/>
        <v>907898.41480964352</v>
      </c>
      <c r="AL150" s="174">
        <f t="shared" si="99"/>
        <v>1008784.0866632914</v>
      </c>
      <c r="AM150" s="141">
        <f t="shared" si="100"/>
        <v>965096.01494265103</v>
      </c>
      <c r="AN150" s="141">
        <f t="shared" si="101"/>
        <v>1072337.4841230786</v>
      </c>
    </row>
    <row r="151" spans="2:40">
      <c r="B151" s="38" t="s">
        <v>190</v>
      </c>
      <c r="C151" s="39" t="s">
        <v>191</v>
      </c>
      <c r="D151" s="42" t="s">
        <v>97</v>
      </c>
      <c r="E151" s="43" t="s">
        <v>97</v>
      </c>
      <c r="F151" s="5" t="s">
        <v>97</v>
      </c>
      <c r="G151" s="5" t="s">
        <v>97</v>
      </c>
      <c r="H151" s="3" t="s">
        <v>97</v>
      </c>
      <c r="I151" s="3" t="s">
        <v>97</v>
      </c>
      <c r="J151" s="3" t="s">
        <v>97</v>
      </c>
      <c r="K151" s="3" t="s">
        <v>97</v>
      </c>
      <c r="L151" s="3" t="s">
        <v>97</v>
      </c>
      <c r="M151" s="3" t="s">
        <v>97</v>
      </c>
      <c r="N151" s="29" t="s">
        <v>97</v>
      </c>
      <c r="O151" s="3" t="s">
        <v>97</v>
      </c>
      <c r="P151" s="3" t="s">
        <v>97</v>
      </c>
      <c r="Q151" s="3" t="s">
        <v>97</v>
      </c>
      <c r="R151" s="3" t="s">
        <v>97</v>
      </c>
      <c r="S151" s="29" t="s">
        <v>97</v>
      </c>
      <c r="T151" s="3" t="s">
        <v>97</v>
      </c>
      <c r="U151" s="29" t="s">
        <v>97</v>
      </c>
      <c r="V151" s="3" t="s">
        <v>97</v>
      </c>
      <c r="W151" s="3" t="s">
        <v>97</v>
      </c>
      <c r="X151" s="3" t="s">
        <v>97</v>
      </c>
      <c r="Y151" s="29" t="s">
        <v>97</v>
      </c>
      <c r="Z151" s="3" t="s">
        <v>97</v>
      </c>
      <c r="AA151" s="29" t="s">
        <v>97</v>
      </c>
      <c r="AB151" s="3" t="s">
        <v>97</v>
      </c>
      <c r="AC151" s="29" t="s">
        <v>97</v>
      </c>
      <c r="AD151" s="3" t="s">
        <v>97</v>
      </c>
      <c r="AE151" s="29" t="s">
        <v>97</v>
      </c>
      <c r="AF151" s="3" t="s">
        <v>97</v>
      </c>
      <c r="AG151" s="29" t="s">
        <v>97</v>
      </c>
      <c r="AH151" s="3" t="s">
        <v>97</v>
      </c>
      <c r="AI151" s="29" t="s">
        <v>97</v>
      </c>
      <c r="AJ151" s="3" t="s">
        <v>97</v>
      </c>
      <c r="AK151" s="29" t="s">
        <v>97</v>
      </c>
      <c r="AL151" s="3" t="s">
        <v>97</v>
      </c>
      <c r="AM151" s="3" t="s">
        <v>97</v>
      </c>
      <c r="AN151" s="3" t="s">
        <v>97</v>
      </c>
    </row>
    <row r="152" spans="2:40">
      <c r="B152" s="38" t="s">
        <v>192</v>
      </c>
      <c r="C152" s="39" t="s">
        <v>193</v>
      </c>
      <c r="D152" s="42" t="s">
        <v>97</v>
      </c>
      <c r="E152" s="43" t="s">
        <v>97</v>
      </c>
      <c r="F152" s="5" t="s">
        <v>97</v>
      </c>
      <c r="G152" s="5" t="s">
        <v>97</v>
      </c>
      <c r="H152" s="3" t="s">
        <v>97</v>
      </c>
      <c r="I152" s="3" t="s">
        <v>97</v>
      </c>
      <c r="J152" s="3" t="s">
        <v>97</v>
      </c>
      <c r="K152" s="3" t="s">
        <v>97</v>
      </c>
      <c r="L152" s="3" t="s">
        <v>97</v>
      </c>
      <c r="M152" s="3" t="s">
        <v>97</v>
      </c>
      <c r="N152" s="29" t="s">
        <v>97</v>
      </c>
      <c r="O152" s="3" t="s">
        <v>97</v>
      </c>
      <c r="P152" s="3" t="s">
        <v>97</v>
      </c>
      <c r="Q152" s="3" t="s">
        <v>97</v>
      </c>
      <c r="R152" s="3" t="s">
        <v>97</v>
      </c>
      <c r="S152" s="29" t="s">
        <v>97</v>
      </c>
      <c r="T152" s="3" t="s">
        <v>97</v>
      </c>
      <c r="U152" s="29" t="s">
        <v>97</v>
      </c>
      <c r="V152" s="3" t="s">
        <v>97</v>
      </c>
      <c r="W152" s="3" t="s">
        <v>97</v>
      </c>
      <c r="X152" s="3" t="s">
        <v>97</v>
      </c>
      <c r="Y152" s="29" t="s">
        <v>97</v>
      </c>
      <c r="Z152" s="3" t="s">
        <v>97</v>
      </c>
      <c r="AA152" s="29" t="s">
        <v>97</v>
      </c>
      <c r="AB152" s="3" t="s">
        <v>97</v>
      </c>
      <c r="AC152" s="29" t="s">
        <v>97</v>
      </c>
      <c r="AD152" s="3" t="s">
        <v>97</v>
      </c>
      <c r="AE152" s="29" t="s">
        <v>97</v>
      </c>
      <c r="AF152" s="3" t="s">
        <v>97</v>
      </c>
      <c r="AG152" s="29" t="s">
        <v>97</v>
      </c>
      <c r="AH152" s="3" t="s">
        <v>97</v>
      </c>
      <c r="AI152" s="29" t="s">
        <v>97</v>
      </c>
      <c r="AJ152" s="3" t="s">
        <v>97</v>
      </c>
      <c r="AK152" s="29" t="s">
        <v>97</v>
      </c>
      <c r="AL152" s="3" t="s">
        <v>97</v>
      </c>
      <c r="AM152" s="3" t="s">
        <v>97</v>
      </c>
      <c r="AN152" s="3" t="s">
        <v>97</v>
      </c>
    </row>
    <row r="153" spans="2:40">
      <c r="B153" s="38" t="s">
        <v>194</v>
      </c>
      <c r="C153" s="39" t="s">
        <v>195</v>
      </c>
      <c r="D153" s="16">
        <v>570890.51661660476</v>
      </c>
      <c r="E153" s="17">
        <f>D153*1.05</f>
        <v>599435.04244743497</v>
      </c>
      <c r="F153" s="57">
        <f>E153*1.045</f>
        <v>626409.61935756949</v>
      </c>
      <c r="G153" s="57">
        <f t="shared" si="72"/>
        <v>648208.67411121284</v>
      </c>
      <c r="H153" s="57">
        <f t="shared" si="73"/>
        <v>720237.62197845092</v>
      </c>
      <c r="I153" s="57">
        <f t="shared" si="74"/>
        <v>665710.30831221549</v>
      </c>
      <c r="J153" s="57">
        <f t="shared" si="74"/>
        <v>739684.03777186899</v>
      </c>
      <c r="K153" s="57">
        <f t="shared" si="75"/>
        <v>681687.35571170866</v>
      </c>
      <c r="L153" s="9">
        <f t="shared" si="75"/>
        <v>757436.4546783939</v>
      </c>
      <c r="M153" s="9">
        <f t="shared" si="76"/>
        <v>700092.91431592475</v>
      </c>
      <c r="N153" s="72">
        <f t="shared" si="76"/>
        <v>777887.23895471042</v>
      </c>
      <c r="O153" s="81">
        <f t="shared" si="77"/>
        <v>715494.95843087509</v>
      </c>
      <c r="P153" s="78">
        <f t="shared" si="77"/>
        <v>795000.7582117141</v>
      </c>
      <c r="Q153" s="1">
        <f t="shared" si="78"/>
        <v>732666.83743321616</v>
      </c>
      <c r="R153" s="81">
        <f t="shared" si="79"/>
        <v>814080.77640879527</v>
      </c>
      <c r="S153" s="1">
        <f t="shared" si="80"/>
        <v>759775.5104182451</v>
      </c>
      <c r="T153" s="78">
        <f t="shared" si="81"/>
        <v>844201.76513592061</v>
      </c>
      <c r="U153" s="1">
        <f t="shared" si="82"/>
        <v>781049.22470995598</v>
      </c>
      <c r="V153" s="99">
        <f t="shared" si="83"/>
        <v>867839.41455972637</v>
      </c>
      <c r="W153" s="79">
        <f t="shared" si="84"/>
        <v>792764.96308060526</v>
      </c>
      <c r="X153" s="81">
        <f t="shared" si="85"/>
        <v>880857.00577812223</v>
      </c>
      <c r="Y153" s="81">
        <f t="shared" si="86"/>
        <v>805449.20248989493</v>
      </c>
      <c r="Z153" s="81">
        <f t="shared" si="87"/>
        <v>894950.71787057223</v>
      </c>
      <c r="AA153" s="81">
        <f t="shared" si="88"/>
        <v>820752.73733720288</v>
      </c>
      <c r="AB153" s="81">
        <f t="shared" si="89"/>
        <v>911954.78151011304</v>
      </c>
      <c r="AC153" s="102">
        <f t="shared" si="90"/>
        <v>836347.03934660961</v>
      </c>
      <c r="AD153" s="81">
        <f t="shared" si="91"/>
        <v>929281.92235880508</v>
      </c>
      <c r="AE153" s="102">
        <f t="shared" si="92"/>
        <v>853910.32717288833</v>
      </c>
      <c r="AF153" s="81">
        <f t="shared" si="93"/>
        <v>948796.84272833995</v>
      </c>
      <c r="AG153" s="144">
        <f t="shared" si="94"/>
        <v>865011.1614261358</v>
      </c>
      <c r="AH153" s="175">
        <f t="shared" si="95"/>
        <v>961131.20168380823</v>
      </c>
      <c r="AI153" s="144">
        <f t="shared" si="96"/>
        <v>882311.3846546585</v>
      </c>
      <c r="AJ153" s="175">
        <f t="shared" si="97"/>
        <v>980353.82571748446</v>
      </c>
      <c r="AK153" s="144">
        <f t="shared" si="98"/>
        <v>907898.41480964352</v>
      </c>
      <c r="AL153" s="175">
        <f t="shared" si="99"/>
        <v>1008784.0866632914</v>
      </c>
      <c r="AM153" s="141">
        <f t="shared" si="100"/>
        <v>965096.01494265103</v>
      </c>
      <c r="AN153" s="141">
        <f t="shared" si="101"/>
        <v>1072337.4841230786</v>
      </c>
    </row>
    <row r="154" spans="2:40">
      <c r="B154" s="38" t="s">
        <v>196</v>
      </c>
      <c r="C154" s="39" t="s">
        <v>197</v>
      </c>
      <c r="D154" s="42" t="s">
        <v>97</v>
      </c>
      <c r="E154" s="43" t="s">
        <v>97</v>
      </c>
      <c r="F154" s="5" t="s">
        <v>97</v>
      </c>
      <c r="G154" s="5" t="s">
        <v>97</v>
      </c>
      <c r="H154" s="3" t="s">
        <v>97</v>
      </c>
      <c r="I154" s="3" t="s">
        <v>97</v>
      </c>
      <c r="J154" s="3" t="s">
        <v>97</v>
      </c>
      <c r="K154" s="3" t="s">
        <v>97</v>
      </c>
      <c r="L154" s="3" t="s">
        <v>97</v>
      </c>
      <c r="M154" s="3" t="s">
        <v>97</v>
      </c>
      <c r="N154" s="29" t="s">
        <v>97</v>
      </c>
      <c r="O154" s="3" t="s">
        <v>97</v>
      </c>
      <c r="P154" s="3" t="s">
        <v>97</v>
      </c>
      <c r="Q154" s="3" t="s">
        <v>97</v>
      </c>
      <c r="R154" s="3" t="s">
        <v>97</v>
      </c>
      <c r="S154" s="29" t="s">
        <v>97</v>
      </c>
      <c r="T154" s="3" t="s">
        <v>97</v>
      </c>
      <c r="U154" s="29" t="s">
        <v>97</v>
      </c>
      <c r="V154" s="3" t="s">
        <v>97</v>
      </c>
      <c r="W154" s="29" t="s">
        <v>97</v>
      </c>
      <c r="X154" s="3" t="s">
        <v>97</v>
      </c>
      <c r="Y154" s="29" t="s">
        <v>97</v>
      </c>
      <c r="Z154" s="3" t="s">
        <v>97</v>
      </c>
      <c r="AA154" s="29" t="s">
        <v>97</v>
      </c>
      <c r="AB154" s="3" t="s">
        <v>97</v>
      </c>
      <c r="AC154" s="29" t="s">
        <v>97</v>
      </c>
      <c r="AD154" s="3" t="s">
        <v>97</v>
      </c>
      <c r="AE154" s="29" t="s">
        <v>97</v>
      </c>
      <c r="AF154" s="3" t="s">
        <v>97</v>
      </c>
      <c r="AG154" s="29" t="s">
        <v>97</v>
      </c>
      <c r="AH154" s="3" t="s">
        <v>97</v>
      </c>
      <c r="AI154" s="29" t="s">
        <v>97</v>
      </c>
      <c r="AJ154" s="3" t="s">
        <v>97</v>
      </c>
      <c r="AK154" s="29" t="s">
        <v>97</v>
      </c>
      <c r="AL154" s="3" t="s">
        <v>97</v>
      </c>
      <c r="AM154" s="3" t="s">
        <v>97</v>
      </c>
      <c r="AN154" s="3" t="s">
        <v>97</v>
      </c>
    </row>
    <row r="155" spans="2:40">
      <c r="B155" s="38" t="s">
        <v>198</v>
      </c>
      <c r="C155" s="39" t="s">
        <v>199</v>
      </c>
      <c r="D155" s="42" t="s">
        <v>97</v>
      </c>
      <c r="E155" s="43" t="s">
        <v>97</v>
      </c>
      <c r="F155" s="5" t="s">
        <v>97</v>
      </c>
      <c r="G155" s="5" t="s">
        <v>97</v>
      </c>
      <c r="H155" s="3" t="s">
        <v>97</v>
      </c>
      <c r="I155" s="3" t="s">
        <v>97</v>
      </c>
      <c r="J155" s="3" t="s">
        <v>97</v>
      </c>
      <c r="K155" s="3" t="s">
        <v>97</v>
      </c>
      <c r="L155" s="3" t="s">
        <v>97</v>
      </c>
      <c r="M155" s="3" t="s">
        <v>97</v>
      </c>
      <c r="N155" s="29" t="s">
        <v>97</v>
      </c>
      <c r="O155" s="3" t="s">
        <v>97</v>
      </c>
      <c r="P155" s="3" t="s">
        <v>97</v>
      </c>
      <c r="Q155" s="3" t="s">
        <v>97</v>
      </c>
      <c r="R155" s="3" t="s">
        <v>97</v>
      </c>
      <c r="S155" s="29" t="s">
        <v>97</v>
      </c>
      <c r="T155" s="3" t="s">
        <v>97</v>
      </c>
      <c r="U155" s="29" t="s">
        <v>97</v>
      </c>
      <c r="V155" s="3" t="s">
        <v>97</v>
      </c>
      <c r="W155" s="29" t="s">
        <v>97</v>
      </c>
      <c r="X155" s="3" t="s">
        <v>97</v>
      </c>
      <c r="Y155" s="29" t="s">
        <v>97</v>
      </c>
      <c r="Z155" s="3" t="s">
        <v>97</v>
      </c>
      <c r="AA155" s="29" t="s">
        <v>97</v>
      </c>
      <c r="AB155" s="3" t="s">
        <v>97</v>
      </c>
      <c r="AC155" s="29" t="s">
        <v>97</v>
      </c>
      <c r="AD155" s="3" t="s">
        <v>97</v>
      </c>
      <c r="AE155" s="29" t="s">
        <v>97</v>
      </c>
      <c r="AF155" s="3" t="s">
        <v>97</v>
      </c>
      <c r="AG155" s="29" t="s">
        <v>97</v>
      </c>
      <c r="AH155" s="3" t="s">
        <v>97</v>
      </c>
      <c r="AI155" s="29" t="s">
        <v>97</v>
      </c>
      <c r="AJ155" s="3" t="s">
        <v>97</v>
      </c>
      <c r="AK155" s="29" t="s">
        <v>97</v>
      </c>
      <c r="AL155" s="3" t="s">
        <v>97</v>
      </c>
      <c r="AM155" s="3" t="s">
        <v>97</v>
      </c>
      <c r="AN155" s="3" t="s">
        <v>97</v>
      </c>
    </row>
    <row r="156" spans="2:40">
      <c r="B156" s="38" t="s">
        <v>200</v>
      </c>
      <c r="C156" s="39" t="s">
        <v>201</v>
      </c>
      <c r="D156" s="42" t="s">
        <v>97</v>
      </c>
      <c r="E156" s="43" t="s">
        <v>97</v>
      </c>
      <c r="F156" s="5" t="s">
        <v>97</v>
      </c>
      <c r="G156" s="5" t="s">
        <v>97</v>
      </c>
      <c r="H156" s="3" t="s">
        <v>97</v>
      </c>
      <c r="I156" s="3" t="s">
        <v>97</v>
      </c>
      <c r="J156" s="3" t="s">
        <v>97</v>
      </c>
      <c r="K156" s="3" t="s">
        <v>97</v>
      </c>
      <c r="L156" s="3" t="s">
        <v>97</v>
      </c>
      <c r="M156" s="3" t="s">
        <v>97</v>
      </c>
      <c r="N156" s="29" t="s">
        <v>97</v>
      </c>
      <c r="O156" s="3" t="s">
        <v>97</v>
      </c>
      <c r="P156" s="3" t="s">
        <v>97</v>
      </c>
      <c r="Q156" s="3" t="s">
        <v>97</v>
      </c>
      <c r="R156" s="3" t="s">
        <v>97</v>
      </c>
      <c r="S156" s="29" t="s">
        <v>97</v>
      </c>
      <c r="T156" s="3" t="s">
        <v>97</v>
      </c>
      <c r="U156" s="29" t="s">
        <v>97</v>
      </c>
      <c r="V156" s="3" t="s">
        <v>97</v>
      </c>
      <c r="W156" s="29" t="s">
        <v>97</v>
      </c>
      <c r="X156" s="3" t="s">
        <v>97</v>
      </c>
      <c r="Y156" s="29" t="s">
        <v>97</v>
      </c>
      <c r="Z156" s="3" t="s">
        <v>97</v>
      </c>
      <c r="AA156" s="29" t="s">
        <v>97</v>
      </c>
      <c r="AB156" s="3" t="s">
        <v>97</v>
      </c>
      <c r="AC156" s="29" t="s">
        <v>97</v>
      </c>
      <c r="AD156" s="3" t="s">
        <v>97</v>
      </c>
      <c r="AE156" s="29" t="s">
        <v>97</v>
      </c>
      <c r="AF156" s="3" t="s">
        <v>97</v>
      </c>
      <c r="AG156" s="29" t="s">
        <v>97</v>
      </c>
      <c r="AH156" s="3" t="s">
        <v>97</v>
      </c>
      <c r="AI156" s="29" t="s">
        <v>97</v>
      </c>
      <c r="AJ156" s="3" t="s">
        <v>97</v>
      </c>
      <c r="AK156" s="29" t="s">
        <v>97</v>
      </c>
      <c r="AL156" s="3" t="s">
        <v>97</v>
      </c>
      <c r="AM156" s="3" t="s">
        <v>97</v>
      </c>
      <c r="AN156" s="3" t="s">
        <v>97</v>
      </c>
    </row>
    <row r="157" spans="2:40">
      <c r="B157" s="38" t="s">
        <v>202</v>
      </c>
      <c r="C157" s="39" t="s">
        <v>203</v>
      </c>
      <c r="D157" s="16">
        <v>951048</v>
      </c>
      <c r="E157" s="17">
        <f t="shared" ref="E157:E158" si="103">D157*1.05</f>
        <v>998600.4</v>
      </c>
      <c r="F157" s="57">
        <f>E157*1.045</f>
        <v>1043537.4179999999</v>
      </c>
      <c r="G157" s="57">
        <f t="shared" si="72"/>
        <v>1079852.5201464</v>
      </c>
      <c r="H157" s="57">
        <f t="shared" si="73"/>
        <v>1199845.7321850681</v>
      </c>
      <c r="I157" s="57">
        <f t="shared" si="74"/>
        <v>1109008.5381903527</v>
      </c>
      <c r="J157" s="57">
        <f t="shared" si="74"/>
        <v>1232241.5669540649</v>
      </c>
      <c r="K157" s="57">
        <f t="shared" si="75"/>
        <v>1135624.7431069212</v>
      </c>
      <c r="L157" s="9">
        <f t="shared" si="75"/>
        <v>1261815.3645609624</v>
      </c>
      <c r="M157" s="9">
        <f t="shared" si="76"/>
        <v>1166286.6111708081</v>
      </c>
      <c r="N157" s="58">
        <f t="shared" si="76"/>
        <v>1295884.3794041083</v>
      </c>
      <c r="O157" s="80">
        <f t="shared" si="77"/>
        <v>1191944.9166165658</v>
      </c>
      <c r="P157" s="78">
        <f t="shared" si="77"/>
        <v>1324393.8357509987</v>
      </c>
      <c r="Q157" s="1">
        <f t="shared" si="78"/>
        <v>1220551.5946153633</v>
      </c>
      <c r="R157" s="80">
        <f t="shared" si="79"/>
        <v>1356179.2878090227</v>
      </c>
      <c r="S157" s="1">
        <f t="shared" si="80"/>
        <v>1265712.0036161316</v>
      </c>
      <c r="T157" s="78">
        <f t="shared" si="81"/>
        <v>1406357.9214579565</v>
      </c>
      <c r="U157" s="1">
        <f t="shared" si="82"/>
        <v>1301151.9397173834</v>
      </c>
      <c r="V157" s="99">
        <f t="shared" si="83"/>
        <v>1445735.9432587794</v>
      </c>
      <c r="W157" s="80">
        <f t="shared" si="84"/>
        <v>1320669.2188131439</v>
      </c>
      <c r="X157" s="80">
        <f t="shared" si="85"/>
        <v>1467421.9824076609</v>
      </c>
      <c r="Y157" s="80">
        <f t="shared" si="86"/>
        <v>1341799.9263141542</v>
      </c>
      <c r="Z157" s="80">
        <f t="shared" si="87"/>
        <v>1490900.7341261834</v>
      </c>
      <c r="AA157" s="80">
        <f t="shared" si="88"/>
        <v>1367294.124914123</v>
      </c>
      <c r="AB157" s="80">
        <f t="shared" si="89"/>
        <v>1519227.8480745808</v>
      </c>
      <c r="AC157" s="101">
        <f t="shared" si="90"/>
        <v>1393272.7132874911</v>
      </c>
      <c r="AD157" s="80">
        <f t="shared" si="91"/>
        <v>1548093.1771879976</v>
      </c>
      <c r="AE157" s="101">
        <f t="shared" si="92"/>
        <v>1422531.4402665284</v>
      </c>
      <c r="AF157" s="80">
        <f t="shared" si="93"/>
        <v>1580603.1339089454</v>
      </c>
      <c r="AG157" s="143">
        <f t="shared" si="94"/>
        <v>1441024.3489899931</v>
      </c>
      <c r="AH157" s="152">
        <f t="shared" si="95"/>
        <v>1601150.9746497616</v>
      </c>
      <c r="AI157" s="143">
        <f t="shared" si="96"/>
        <v>1469844.8359697929</v>
      </c>
      <c r="AJ157" s="152">
        <f t="shared" si="97"/>
        <v>1633173.9941427568</v>
      </c>
      <c r="AK157" s="143">
        <f t="shared" si="98"/>
        <v>1512470.3362129168</v>
      </c>
      <c r="AL157" s="152">
        <f t="shared" si="99"/>
        <v>1680536.0399728967</v>
      </c>
      <c r="AM157" s="141">
        <f t="shared" si="100"/>
        <v>1607755.9673943305</v>
      </c>
      <c r="AN157" s="141">
        <f t="shared" si="101"/>
        <v>1786409.8104911891</v>
      </c>
    </row>
    <row r="158" spans="2:40">
      <c r="B158" s="38" t="s">
        <v>204</v>
      </c>
      <c r="C158" s="39" t="s">
        <v>205</v>
      </c>
      <c r="D158" s="16">
        <v>875080.53968289273</v>
      </c>
      <c r="E158" s="17">
        <f t="shared" si="103"/>
        <v>918834.56666703743</v>
      </c>
      <c r="F158" s="57">
        <f>E158*1.045</f>
        <v>960182.1221670541</v>
      </c>
      <c r="G158" s="57">
        <f t="shared" si="72"/>
        <v>993596.46001846751</v>
      </c>
      <c r="H158" s="57">
        <f t="shared" si="73"/>
        <v>1104004.8986557198</v>
      </c>
      <c r="I158" s="57">
        <f t="shared" si="74"/>
        <v>1020423.564438966</v>
      </c>
      <c r="J158" s="57">
        <f t="shared" si="74"/>
        <v>1133813.0309194243</v>
      </c>
      <c r="K158" s="57">
        <f t="shared" si="75"/>
        <v>1044913.7299855012</v>
      </c>
      <c r="L158" s="9">
        <f t="shared" si="75"/>
        <v>1161024.5436614905</v>
      </c>
      <c r="M158" s="9">
        <f t="shared" si="76"/>
        <v>1073126.4006951095</v>
      </c>
      <c r="N158" s="71">
        <f t="shared" si="76"/>
        <v>1192372.2063403507</v>
      </c>
      <c r="O158" s="79">
        <f t="shared" si="77"/>
        <v>1096735.1815104019</v>
      </c>
      <c r="P158" s="78">
        <f t="shared" si="77"/>
        <v>1218604.3948798385</v>
      </c>
      <c r="Q158" s="1">
        <f t="shared" si="78"/>
        <v>1123056.8258666515</v>
      </c>
      <c r="R158" s="79">
        <f t="shared" si="79"/>
        <v>1247850.9003569547</v>
      </c>
      <c r="S158" s="1">
        <f t="shared" si="80"/>
        <v>1164609.9284237176</v>
      </c>
      <c r="T158" s="78">
        <f t="shared" si="81"/>
        <v>1294021.3836701619</v>
      </c>
      <c r="U158" s="1">
        <f t="shared" si="82"/>
        <v>1197219.0064195818</v>
      </c>
      <c r="V158" s="99">
        <f t="shared" si="83"/>
        <v>1330253.9824129266</v>
      </c>
      <c r="W158" s="79">
        <f t="shared" si="84"/>
        <v>1215177.2915158754</v>
      </c>
      <c r="X158" s="79">
        <f t="shared" si="85"/>
        <v>1350207.7921491205</v>
      </c>
      <c r="Y158" s="79">
        <f t="shared" si="86"/>
        <v>1234620.1281801295</v>
      </c>
      <c r="Z158" s="79">
        <f t="shared" si="87"/>
        <v>1371811.1168235063</v>
      </c>
      <c r="AA158" s="79">
        <f t="shared" si="88"/>
        <v>1258077.9106155518</v>
      </c>
      <c r="AB158" s="79">
        <f t="shared" si="89"/>
        <v>1397875.5280431528</v>
      </c>
      <c r="AC158" s="100">
        <f t="shared" si="90"/>
        <v>1281981.3909172472</v>
      </c>
      <c r="AD158" s="79">
        <f t="shared" si="91"/>
        <v>1424435.1630759726</v>
      </c>
      <c r="AE158" s="100">
        <f t="shared" si="92"/>
        <v>1308903.0001265092</v>
      </c>
      <c r="AF158" s="79">
        <f t="shared" si="93"/>
        <v>1454348.3015005679</v>
      </c>
      <c r="AG158" s="142">
        <f t="shared" si="94"/>
        <v>1325918.7391281538</v>
      </c>
      <c r="AH158" s="174">
        <f t="shared" si="95"/>
        <v>1473254.8294200753</v>
      </c>
      <c r="AI158" s="142">
        <f t="shared" si="96"/>
        <v>1352437.113910717</v>
      </c>
      <c r="AJ158" s="174">
        <f t="shared" si="97"/>
        <v>1502719.9260084769</v>
      </c>
      <c r="AK158" s="142">
        <f t="shared" si="98"/>
        <v>1391657.7902141276</v>
      </c>
      <c r="AL158" s="174">
        <f t="shared" si="99"/>
        <v>1546298.8038627226</v>
      </c>
      <c r="AM158" s="142">
        <f t="shared" si="100"/>
        <v>1479332.2309976176</v>
      </c>
      <c r="AN158" s="142">
        <f t="shared" si="101"/>
        <v>1643715.628506074</v>
      </c>
    </row>
    <row r="159" spans="2:40">
      <c r="B159" s="38" t="s">
        <v>206</v>
      </c>
      <c r="C159" s="39" t="s">
        <v>207</v>
      </c>
      <c r="D159" s="42" t="s">
        <v>97</v>
      </c>
      <c r="E159" s="43" t="s">
        <v>97</v>
      </c>
      <c r="F159" s="5" t="s">
        <v>97</v>
      </c>
      <c r="G159" s="5" t="s">
        <v>97</v>
      </c>
      <c r="H159" s="3" t="s">
        <v>97</v>
      </c>
      <c r="I159" s="3" t="s">
        <v>97</v>
      </c>
      <c r="J159" s="3" t="s">
        <v>97</v>
      </c>
      <c r="K159" s="3" t="s">
        <v>97</v>
      </c>
      <c r="L159" s="3" t="s">
        <v>97</v>
      </c>
      <c r="M159" s="3" t="s">
        <v>97</v>
      </c>
      <c r="N159" s="29" t="s">
        <v>97</v>
      </c>
      <c r="O159" s="3" t="s">
        <v>97</v>
      </c>
      <c r="P159" s="3" t="s">
        <v>97</v>
      </c>
      <c r="Q159" s="3" t="s">
        <v>97</v>
      </c>
      <c r="R159" s="3" t="s">
        <v>97</v>
      </c>
      <c r="S159" s="29" t="s">
        <v>97</v>
      </c>
      <c r="T159" s="3" t="s">
        <v>97</v>
      </c>
      <c r="U159" s="29" t="s">
        <v>97</v>
      </c>
      <c r="V159" s="3" t="s">
        <v>97</v>
      </c>
      <c r="W159" s="29" t="s">
        <v>97</v>
      </c>
      <c r="X159" s="3" t="s">
        <v>97</v>
      </c>
      <c r="Y159" s="29" t="s">
        <v>97</v>
      </c>
      <c r="Z159" s="3" t="s">
        <v>97</v>
      </c>
      <c r="AA159" s="29" t="s">
        <v>97</v>
      </c>
      <c r="AB159" s="3" t="s">
        <v>97</v>
      </c>
      <c r="AC159" s="29" t="s">
        <v>97</v>
      </c>
      <c r="AD159" s="3" t="s">
        <v>97</v>
      </c>
      <c r="AE159" s="29" t="s">
        <v>97</v>
      </c>
      <c r="AF159" s="3" t="s">
        <v>97</v>
      </c>
      <c r="AG159" s="29" t="s">
        <v>97</v>
      </c>
      <c r="AH159" s="3" t="s">
        <v>97</v>
      </c>
      <c r="AI159" s="29" t="s">
        <v>97</v>
      </c>
      <c r="AJ159" s="3" t="s">
        <v>97</v>
      </c>
      <c r="AK159" s="3" t="s">
        <v>97</v>
      </c>
      <c r="AL159" s="29" t="s">
        <v>97</v>
      </c>
      <c r="AM159" s="29" t="s">
        <v>97</v>
      </c>
      <c r="AN159" s="29" t="s">
        <v>97</v>
      </c>
    </row>
    <row r="160" spans="2:40">
      <c r="B160" s="38" t="s">
        <v>208</v>
      </c>
      <c r="C160" s="39" t="s">
        <v>209</v>
      </c>
      <c r="D160" s="42" t="s">
        <v>97</v>
      </c>
      <c r="E160" s="43" t="s">
        <v>97</v>
      </c>
      <c r="F160" s="5" t="s">
        <v>97</v>
      </c>
      <c r="G160" s="5" t="s">
        <v>97</v>
      </c>
      <c r="H160" s="3" t="s">
        <v>97</v>
      </c>
      <c r="I160" s="3" t="s">
        <v>97</v>
      </c>
      <c r="J160" s="3" t="s">
        <v>97</v>
      </c>
      <c r="K160" s="3" t="s">
        <v>97</v>
      </c>
      <c r="L160" s="3" t="s">
        <v>97</v>
      </c>
      <c r="M160" s="3" t="s">
        <v>97</v>
      </c>
      <c r="N160" s="29" t="s">
        <v>97</v>
      </c>
      <c r="O160" s="3" t="s">
        <v>97</v>
      </c>
      <c r="P160" s="3" t="s">
        <v>97</v>
      </c>
      <c r="Q160" s="3" t="s">
        <v>97</v>
      </c>
      <c r="R160" s="3" t="s">
        <v>97</v>
      </c>
      <c r="S160" s="29" t="s">
        <v>97</v>
      </c>
      <c r="T160" s="3" t="s">
        <v>97</v>
      </c>
      <c r="U160" s="29" t="s">
        <v>97</v>
      </c>
      <c r="V160" s="3" t="s">
        <v>97</v>
      </c>
      <c r="W160" s="29" t="s">
        <v>97</v>
      </c>
      <c r="X160" s="3" t="s">
        <v>97</v>
      </c>
      <c r="Y160" s="29" t="s">
        <v>97</v>
      </c>
      <c r="Z160" s="3" t="s">
        <v>97</v>
      </c>
      <c r="AA160" s="29" t="s">
        <v>97</v>
      </c>
      <c r="AB160" s="3" t="s">
        <v>97</v>
      </c>
      <c r="AC160" s="29" t="s">
        <v>97</v>
      </c>
      <c r="AD160" s="3" t="s">
        <v>97</v>
      </c>
      <c r="AE160" s="29" t="s">
        <v>97</v>
      </c>
      <c r="AF160" s="3" t="s">
        <v>97</v>
      </c>
      <c r="AG160" s="29" t="s">
        <v>97</v>
      </c>
      <c r="AH160" s="3" t="s">
        <v>97</v>
      </c>
      <c r="AI160" s="29" t="s">
        <v>97</v>
      </c>
      <c r="AJ160" s="3" t="s">
        <v>97</v>
      </c>
      <c r="AK160" s="3" t="s">
        <v>97</v>
      </c>
      <c r="AL160" s="29" t="s">
        <v>97</v>
      </c>
      <c r="AM160" s="29" t="s">
        <v>97</v>
      </c>
      <c r="AN160" s="29" t="s">
        <v>97</v>
      </c>
    </row>
    <row r="161" spans="2:40">
      <c r="B161" s="38" t="s">
        <v>210</v>
      </c>
      <c r="C161" s="39" t="s">
        <v>211</v>
      </c>
      <c r="D161" s="42" t="s">
        <v>97</v>
      </c>
      <c r="E161" s="43" t="s">
        <v>97</v>
      </c>
      <c r="F161" s="5" t="s">
        <v>97</v>
      </c>
      <c r="G161" s="5" t="s">
        <v>97</v>
      </c>
      <c r="H161" s="3" t="s">
        <v>97</v>
      </c>
      <c r="I161" s="3" t="s">
        <v>97</v>
      </c>
      <c r="J161" s="3" t="s">
        <v>97</v>
      </c>
      <c r="K161" s="3" t="s">
        <v>97</v>
      </c>
      <c r="L161" s="3" t="s">
        <v>97</v>
      </c>
      <c r="M161" s="3" t="s">
        <v>97</v>
      </c>
      <c r="N161" s="29" t="s">
        <v>97</v>
      </c>
      <c r="O161" s="3" t="s">
        <v>97</v>
      </c>
      <c r="P161" s="3" t="s">
        <v>97</v>
      </c>
      <c r="Q161" s="3" t="s">
        <v>97</v>
      </c>
      <c r="R161" s="3" t="s">
        <v>97</v>
      </c>
      <c r="S161" s="29" t="s">
        <v>97</v>
      </c>
      <c r="T161" s="3" t="s">
        <v>97</v>
      </c>
      <c r="U161" s="29" t="s">
        <v>97</v>
      </c>
      <c r="V161" s="3" t="s">
        <v>97</v>
      </c>
      <c r="W161" s="29" t="s">
        <v>97</v>
      </c>
      <c r="X161" s="3" t="s">
        <v>97</v>
      </c>
      <c r="Y161" s="29" t="s">
        <v>97</v>
      </c>
      <c r="Z161" s="3" t="s">
        <v>97</v>
      </c>
      <c r="AA161" s="29" t="s">
        <v>97</v>
      </c>
      <c r="AB161" s="3" t="s">
        <v>97</v>
      </c>
      <c r="AC161" s="29" t="s">
        <v>97</v>
      </c>
      <c r="AD161" s="3" t="s">
        <v>97</v>
      </c>
      <c r="AE161" s="29" t="s">
        <v>97</v>
      </c>
      <c r="AF161" s="3" t="s">
        <v>97</v>
      </c>
      <c r="AG161" s="29" t="s">
        <v>97</v>
      </c>
      <c r="AH161" s="3" t="s">
        <v>97</v>
      </c>
      <c r="AI161" s="29" t="s">
        <v>97</v>
      </c>
      <c r="AJ161" s="3" t="s">
        <v>97</v>
      </c>
      <c r="AK161" s="3" t="s">
        <v>97</v>
      </c>
      <c r="AL161" s="29" t="s">
        <v>97</v>
      </c>
      <c r="AM161" s="29" t="s">
        <v>97</v>
      </c>
      <c r="AN161" s="29" t="s">
        <v>97</v>
      </c>
    </row>
    <row r="162" spans="2:40">
      <c r="B162" s="38" t="s">
        <v>212</v>
      </c>
      <c r="C162" s="39" t="s">
        <v>213</v>
      </c>
      <c r="D162" s="42" t="s">
        <v>97</v>
      </c>
      <c r="E162" s="43" t="s">
        <v>97</v>
      </c>
      <c r="F162" s="5" t="s">
        <v>97</v>
      </c>
      <c r="G162" s="5" t="s">
        <v>97</v>
      </c>
      <c r="H162" s="3" t="s">
        <v>97</v>
      </c>
      <c r="I162" s="3" t="s">
        <v>97</v>
      </c>
      <c r="J162" s="3" t="s">
        <v>97</v>
      </c>
      <c r="K162" s="3" t="s">
        <v>97</v>
      </c>
      <c r="L162" s="3" t="s">
        <v>97</v>
      </c>
      <c r="M162" s="3" t="s">
        <v>97</v>
      </c>
      <c r="N162" s="29" t="s">
        <v>97</v>
      </c>
      <c r="O162" s="3" t="s">
        <v>97</v>
      </c>
      <c r="P162" s="3" t="s">
        <v>97</v>
      </c>
      <c r="Q162" s="3" t="s">
        <v>97</v>
      </c>
      <c r="R162" s="3" t="s">
        <v>97</v>
      </c>
      <c r="S162" s="29" t="s">
        <v>97</v>
      </c>
      <c r="T162" s="3" t="s">
        <v>97</v>
      </c>
      <c r="U162" s="29" t="s">
        <v>97</v>
      </c>
      <c r="V162" s="3" t="s">
        <v>97</v>
      </c>
      <c r="W162" s="29" t="s">
        <v>97</v>
      </c>
      <c r="X162" s="3" t="s">
        <v>97</v>
      </c>
      <c r="Y162" s="29" t="s">
        <v>97</v>
      </c>
      <c r="Z162" s="3" t="s">
        <v>97</v>
      </c>
      <c r="AA162" s="29" t="s">
        <v>97</v>
      </c>
      <c r="AB162" s="3" t="s">
        <v>97</v>
      </c>
      <c r="AC162" s="29" t="s">
        <v>97</v>
      </c>
      <c r="AD162" s="3" t="s">
        <v>97</v>
      </c>
      <c r="AE162" s="29" t="s">
        <v>97</v>
      </c>
      <c r="AF162" s="3" t="s">
        <v>97</v>
      </c>
      <c r="AG162" s="29" t="s">
        <v>97</v>
      </c>
      <c r="AH162" s="3" t="s">
        <v>97</v>
      </c>
      <c r="AI162" s="29" t="s">
        <v>97</v>
      </c>
      <c r="AJ162" s="3" t="s">
        <v>97</v>
      </c>
      <c r="AK162" s="3" t="s">
        <v>97</v>
      </c>
      <c r="AL162" s="29" t="s">
        <v>97</v>
      </c>
      <c r="AM162" s="29" t="s">
        <v>97</v>
      </c>
      <c r="AN162" s="29" t="s">
        <v>97</v>
      </c>
    </row>
    <row r="163" spans="2:40">
      <c r="B163" s="38" t="s">
        <v>214</v>
      </c>
      <c r="C163" s="39" t="s">
        <v>215</v>
      </c>
      <c r="D163" s="42" t="s">
        <v>97</v>
      </c>
      <c r="E163" s="43" t="s">
        <v>97</v>
      </c>
      <c r="F163" s="5" t="s">
        <v>97</v>
      </c>
      <c r="G163" s="5" t="s">
        <v>97</v>
      </c>
      <c r="H163" s="3" t="s">
        <v>97</v>
      </c>
      <c r="I163" s="3" t="s">
        <v>97</v>
      </c>
      <c r="J163" s="3" t="s">
        <v>97</v>
      </c>
      <c r="K163" s="3" t="s">
        <v>97</v>
      </c>
      <c r="L163" s="3" t="s">
        <v>97</v>
      </c>
      <c r="M163" s="3" t="s">
        <v>97</v>
      </c>
      <c r="N163" s="29" t="s">
        <v>97</v>
      </c>
      <c r="O163" s="3" t="s">
        <v>97</v>
      </c>
      <c r="P163" s="3" t="s">
        <v>97</v>
      </c>
      <c r="Q163" s="3" t="s">
        <v>97</v>
      </c>
      <c r="R163" s="3" t="s">
        <v>97</v>
      </c>
      <c r="S163" s="29" t="s">
        <v>97</v>
      </c>
      <c r="T163" s="3" t="s">
        <v>97</v>
      </c>
      <c r="U163" s="29" t="s">
        <v>97</v>
      </c>
      <c r="V163" s="3" t="s">
        <v>97</v>
      </c>
      <c r="W163" s="29" t="s">
        <v>97</v>
      </c>
      <c r="X163" s="3" t="s">
        <v>97</v>
      </c>
      <c r="Y163" s="29" t="s">
        <v>97</v>
      </c>
      <c r="Z163" s="3" t="s">
        <v>97</v>
      </c>
      <c r="AA163" s="29" t="s">
        <v>97</v>
      </c>
      <c r="AB163" s="3" t="s">
        <v>97</v>
      </c>
      <c r="AC163" s="29" t="s">
        <v>97</v>
      </c>
      <c r="AD163" s="3" t="s">
        <v>97</v>
      </c>
      <c r="AE163" s="29" t="s">
        <v>97</v>
      </c>
      <c r="AF163" s="3" t="s">
        <v>97</v>
      </c>
      <c r="AG163" s="29" t="s">
        <v>97</v>
      </c>
      <c r="AH163" s="3" t="s">
        <v>97</v>
      </c>
      <c r="AI163" s="29" t="s">
        <v>97</v>
      </c>
      <c r="AJ163" s="3" t="s">
        <v>97</v>
      </c>
      <c r="AK163" s="3" t="s">
        <v>97</v>
      </c>
      <c r="AL163" s="29" t="s">
        <v>97</v>
      </c>
      <c r="AM163" s="29" t="s">
        <v>97</v>
      </c>
      <c r="AN163" s="29" t="s">
        <v>97</v>
      </c>
    </row>
    <row r="164" spans="2:40">
      <c r="B164" s="38" t="s">
        <v>216</v>
      </c>
      <c r="C164" s="39" t="s">
        <v>217</v>
      </c>
      <c r="D164" s="16">
        <v>943250.00919704745</v>
      </c>
      <c r="E164" s="17">
        <f t="shared" ref="E164:E166" si="104">D164*1.05</f>
        <v>990412.50965689984</v>
      </c>
      <c r="F164" s="57">
        <f>E164*1.045</f>
        <v>1034981.0725914603</v>
      </c>
      <c r="G164" s="57">
        <f t="shared" si="72"/>
        <v>1070998.413917643</v>
      </c>
      <c r="H164" s="57">
        <f t="shared" si="73"/>
        <v>1190007.7576721716</v>
      </c>
      <c r="I164" s="57">
        <f t="shared" si="74"/>
        <v>1099915.3710934194</v>
      </c>
      <c r="J164" s="57">
        <f t="shared" si="74"/>
        <v>1222137.9671293201</v>
      </c>
      <c r="K164" s="57">
        <f t="shared" si="75"/>
        <v>1126313.3399996615</v>
      </c>
      <c r="L164" s="9">
        <f t="shared" si="75"/>
        <v>1251469.2783404239</v>
      </c>
      <c r="M164" s="9">
        <f t="shared" si="76"/>
        <v>1156723.8001796524</v>
      </c>
      <c r="N164" s="58">
        <f t="shared" si="76"/>
        <v>1285258.9488556152</v>
      </c>
      <c r="O164" s="80">
        <f t="shared" si="77"/>
        <v>1182171.7237836048</v>
      </c>
      <c r="P164" s="78">
        <f t="shared" si="77"/>
        <v>1313534.6457304389</v>
      </c>
      <c r="Q164" s="1">
        <f t="shared" si="78"/>
        <v>1210543.8451544114</v>
      </c>
      <c r="R164" s="80">
        <f t="shared" si="79"/>
        <v>1345059.4772279693</v>
      </c>
      <c r="S164" s="1">
        <f t="shared" si="80"/>
        <v>1255333.9674251245</v>
      </c>
      <c r="T164" s="78">
        <f t="shared" si="81"/>
        <v>1394826.6778854041</v>
      </c>
      <c r="U164" s="1">
        <f t="shared" si="82"/>
        <v>1290483.3185130281</v>
      </c>
      <c r="V164" s="99">
        <f t="shared" si="83"/>
        <v>1433881.8248661954</v>
      </c>
      <c r="W164" s="80">
        <f t="shared" si="84"/>
        <v>1309840.5682907235</v>
      </c>
      <c r="X164" s="80">
        <f t="shared" si="85"/>
        <v>1455390.0522391882</v>
      </c>
      <c r="Y164" s="80">
        <f t="shared" si="86"/>
        <v>1330798.017383375</v>
      </c>
      <c r="Z164" s="80">
        <f t="shared" si="87"/>
        <v>1478676.2930750153</v>
      </c>
      <c r="AA164" s="80">
        <f t="shared" si="88"/>
        <v>1356083.179713659</v>
      </c>
      <c r="AB164" s="80">
        <f t="shared" si="89"/>
        <v>1506771.1426434405</v>
      </c>
      <c r="AC164" s="101">
        <f t="shared" si="90"/>
        <v>1381848.7601282184</v>
      </c>
      <c r="AD164" s="80">
        <f t="shared" si="91"/>
        <v>1535399.7943536658</v>
      </c>
      <c r="AE164" s="101">
        <f t="shared" si="92"/>
        <v>1410867.5840909109</v>
      </c>
      <c r="AF164" s="80">
        <f t="shared" si="93"/>
        <v>1567643.1900350926</v>
      </c>
      <c r="AG164" s="143">
        <f t="shared" si="94"/>
        <v>1429208.8626840925</v>
      </c>
      <c r="AH164" s="152">
        <f t="shared" si="95"/>
        <v>1588022.5515055486</v>
      </c>
      <c r="AI164" s="143">
        <f t="shared" si="96"/>
        <v>1457793.0399377744</v>
      </c>
      <c r="AJ164" s="152">
        <f t="shared" si="97"/>
        <v>1619783.0025356596</v>
      </c>
      <c r="AK164" s="143">
        <f t="shared" si="98"/>
        <v>1500069.0380959697</v>
      </c>
      <c r="AL164" s="152">
        <f t="shared" si="99"/>
        <v>1666756.7096091935</v>
      </c>
      <c r="AM164" s="143">
        <f t="shared" si="100"/>
        <v>1594573.3874960158</v>
      </c>
      <c r="AN164" s="143">
        <f t="shared" si="101"/>
        <v>1771762.3823145726</v>
      </c>
    </row>
    <row r="165" spans="2:40">
      <c r="B165" s="38" t="s">
        <v>218</v>
      </c>
      <c r="C165" s="39" t="s">
        <v>219</v>
      </c>
      <c r="D165" s="16">
        <v>1052086.5487197835</v>
      </c>
      <c r="E165" s="17">
        <f t="shared" si="104"/>
        <v>1104690.8761557727</v>
      </c>
      <c r="F165" s="57">
        <f>E165*1.045</f>
        <v>1154401.9655827824</v>
      </c>
      <c r="G165" s="57">
        <f t="shared" si="72"/>
        <v>1194575.1539850631</v>
      </c>
      <c r="H165" s="57">
        <f t="shared" si="73"/>
        <v>1327316.3450958834</v>
      </c>
      <c r="I165" s="57">
        <f t="shared" si="74"/>
        <v>1226828.6831426597</v>
      </c>
      <c r="J165" s="57">
        <f t="shared" si="74"/>
        <v>1363153.886413472</v>
      </c>
      <c r="K165" s="57">
        <f t="shared" si="75"/>
        <v>1256272.5715380835</v>
      </c>
      <c r="L165" s="9">
        <f t="shared" si="75"/>
        <v>1395869.5796873954</v>
      </c>
      <c r="M165" s="9">
        <f t="shared" si="76"/>
        <v>1290191.9309696117</v>
      </c>
      <c r="N165" s="9">
        <f t="shared" si="76"/>
        <v>1433558.0583389548</v>
      </c>
      <c r="O165" s="78">
        <f t="shared" si="77"/>
        <v>1318576.1534509433</v>
      </c>
      <c r="P165" s="78">
        <f t="shared" si="77"/>
        <v>1465096.3356224119</v>
      </c>
      <c r="Q165" s="1">
        <f t="shared" si="78"/>
        <v>1350221.981133766</v>
      </c>
      <c r="R165" s="78">
        <f t="shared" si="79"/>
        <v>1500258.6476773499</v>
      </c>
      <c r="S165" s="1">
        <f t="shared" si="80"/>
        <v>1400180.1944357152</v>
      </c>
      <c r="T165" s="78">
        <f t="shared" si="81"/>
        <v>1555768.2176414116</v>
      </c>
      <c r="U165" s="1">
        <f t="shared" si="82"/>
        <v>1439385.2398799153</v>
      </c>
      <c r="V165" s="99">
        <f t="shared" si="83"/>
        <v>1599329.7277353711</v>
      </c>
      <c r="W165" s="78">
        <f t="shared" si="84"/>
        <v>1460976.0184781139</v>
      </c>
      <c r="X165" s="78">
        <f t="shared" si="85"/>
        <v>1623319.6736514014</v>
      </c>
      <c r="Y165" s="78">
        <f t="shared" si="86"/>
        <v>1484351.6347737638</v>
      </c>
      <c r="Z165" s="78">
        <f t="shared" si="87"/>
        <v>1649292.7884298239</v>
      </c>
      <c r="AA165" s="78">
        <f t="shared" si="88"/>
        <v>1512554.3158344652</v>
      </c>
      <c r="AB165" s="78">
        <f t="shared" si="89"/>
        <v>1680629.3514099903</v>
      </c>
      <c r="AC165" s="1">
        <f t="shared" si="90"/>
        <v>1541292.8478353198</v>
      </c>
      <c r="AD165" s="78">
        <f t="shared" si="91"/>
        <v>1712561.3090867801</v>
      </c>
      <c r="AE165" s="1">
        <f t="shared" si="92"/>
        <v>1573659.9976398614</v>
      </c>
      <c r="AF165" s="78">
        <f t="shared" si="93"/>
        <v>1748525.0965776022</v>
      </c>
      <c r="AG165" s="141">
        <f t="shared" si="94"/>
        <v>1594117.5776091795</v>
      </c>
      <c r="AH165" s="140">
        <f t="shared" si="95"/>
        <v>1771255.9228331109</v>
      </c>
      <c r="AI165" s="141">
        <f t="shared" si="96"/>
        <v>1625999.929161363</v>
      </c>
      <c r="AJ165" s="140">
        <f t="shared" si="97"/>
        <v>1806681.0412897731</v>
      </c>
      <c r="AK165" s="141">
        <f t="shared" si="98"/>
        <v>1673153.9271070424</v>
      </c>
      <c r="AL165" s="140">
        <f t="shared" si="99"/>
        <v>1859074.7914871764</v>
      </c>
      <c r="AM165" s="141">
        <f t="shared" si="100"/>
        <v>1778562.6245147861</v>
      </c>
      <c r="AN165" s="141">
        <f t="shared" si="101"/>
        <v>1976196.5033508684</v>
      </c>
    </row>
    <row r="166" spans="2:40">
      <c r="B166" s="38" t="s">
        <v>220</v>
      </c>
      <c r="C166" s="39" t="s">
        <v>221</v>
      </c>
      <c r="D166" s="16">
        <v>1052086.5487197835</v>
      </c>
      <c r="E166" s="17">
        <f t="shared" si="104"/>
        <v>1104690.8761557727</v>
      </c>
      <c r="F166" s="57">
        <f>E166*1.045</f>
        <v>1154401.9655827824</v>
      </c>
      <c r="G166" s="57">
        <f t="shared" si="72"/>
        <v>1194575.1539850631</v>
      </c>
      <c r="H166" s="57">
        <f t="shared" si="73"/>
        <v>1327316.3450958834</v>
      </c>
      <c r="I166" s="57">
        <f t="shared" si="74"/>
        <v>1226828.6831426597</v>
      </c>
      <c r="J166" s="57">
        <f t="shared" si="74"/>
        <v>1363153.886413472</v>
      </c>
      <c r="K166" s="57">
        <f t="shared" si="75"/>
        <v>1256272.5715380835</v>
      </c>
      <c r="L166" s="9">
        <f t="shared" si="75"/>
        <v>1395869.5796873954</v>
      </c>
      <c r="M166" s="9">
        <f t="shared" si="76"/>
        <v>1290191.9309696117</v>
      </c>
      <c r="N166" s="71">
        <f t="shared" si="76"/>
        <v>1433558.0583389548</v>
      </c>
      <c r="O166" s="79">
        <f t="shared" si="77"/>
        <v>1318576.1534509433</v>
      </c>
      <c r="P166" s="78">
        <f t="shared" si="77"/>
        <v>1465096.3356224119</v>
      </c>
      <c r="Q166" s="1">
        <f t="shared" si="78"/>
        <v>1350221.981133766</v>
      </c>
      <c r="R166" s="79">
        <f t="shared" si="79"/>
        <v>1500258.6476773499</v>
      </c>
      <c r="S166" s="1">
        <f t="shared" si="80"/>
        <v>1400180.1944357152</v>
      </c>
      <c r="T166" s="78">
        <f t="shared" si="81"/>
        <v>1555768.2176414116</v>
      </c>
      <c r="U166" s="1">
        <f t="shared" si="82"/>
        <v>1439385.2398799153</v>
      </c>
      <c r="V166" s="99">
        <f t="shared" si="83"/>
        <v>1599329.7277353711</v>
      </c>
      <c r="W166" s="79">
        <f t="shared" si="84"/>
        <v>1460976.0184781139</v>
      </c>
      <c r="X166" s="79">
        <f t="shared" si="85"/>
        <v>1623319.6736514014</v>
      </c>
      <c r="Y166" s="79">
        <f t="shared" si="86"/>
        <v>1484351.6347737638</v>
      </c>
      <c r="Z166" s="79">
        <f t="shared" si="87"/>
        <v>1649292.7884298239</v>
      </c>
      <c r="AA166" s="79">
        <f t="shared" si="88"/>
        <v>1512554.3158344652</v>
      </c>
      <c r="AB166" s="79">
        <f t="shared" si="89"/>
        <v>1680629.3514099903</v>
      </c>
      <c r="AC166" s="100">
        <f t="shared" si="90"/>
        <v>1541292.8478353198</v>
      </c>
      <c r="AD166" s="79">
        <f t="shared" si="91"/>
        <v>1712561.3090867801</v>
      </c>
      <c r="AE166" s="100">
        <f t="shared" si="92"/>
        <v>1573659.9976398614</v>
      </c>
      <c r="AF166" s="79">
        <f t="shared" si="93"/>
        <v>1748525.0965776022</v>
      </c>
      <c r="AG166" s="142">
        <f t="shared" si="94"/>
        <v>1594117.5776091795</v>
      </c>
      <c r="AH166" s="174">
        <f t="shared" si="95"/>
        <v>1771255.9228331109</v>
      </c>
      <c r="AI166" s="142">
        <f t="shared" si="96"/>
        <v>1625999.929161363</v>
      </c>
      <c r="AJ166" s="174">
        <f t="shared" si="97"/>
        <v>1806681.0412897731</v>
      </c>
      <c r="AK166" s="142">
        <f t="shared" si="98"/>
        <v>1673153.9271070424</v>
      </c>
      <c r="AL166" s="174">
        <f t="shared" si="99"/>
        <v>1859074.7914871764</v>
      </c>
      <c r="AM166" s="142">
        <f t="shared" si="100"/>
        <v>1778562.6245147861</v>
      </c>
      <c r="AN166" s="142">
        <f t="shared" si="101"/>
        <v>1976196.5033508684</v>
      </c>
    </row>
    <row r="167" spans="2:40">
      <c r="B167" s="38" t="s">
        <v>222</v>
      </c>
      <c r="C167" s="39" t="s">
        <v>223</v>
      </c>
      <c r="D167" s="42" t="s">
        <v>97</v>
      </c>
      <c r="E167" s="43" t="s">
        <v>97</v>
      </c>
      <c r="F167" s="5" t="s">
        <v>97</v>
      </c>
      <c r="G167" s="5" t="s">
        <v>97</v>
      </c>
      <c r="H167" s="3" t="s">
        <v>97</v>
      </c>
      <c r="I167" s="3" t="s">
        <v>97</v>
      </c>
      <c r="J167" s="3" t="s">
        <v>97</v>
      </c>
      <c r="K167" s="3" t="s">
        <v>97</v>
      </c>
      <c r="L167" s="3" t="s">
        <v>97</v>
      </c>
      <c r="M167" s="3" t="s">
        <v>97</v>
      </c>
      <c r="N167" s="29" t="s">
        <v>97</v>
      </c>
      <c r="O167" s="3" t="s">
        <v>97</v>
      </c>
      <c r="P167" s="3" t="s">
        <v>97</v>
      </c>
      <c r="Q167" s="3" t="s">
        <v>97</v>
      </c>
      <c r="R167" s="3" t="s">
        <v>97</v>
      </c>
      <c r="S167" s="29" t="s">
        <v>97</v>
      </c>
      <c r="T167" s="3" t="s">
        <v>97</v>
      </c>
      <c r="U167" s="29" t="s">
        <v>97</v>
      </c>
      <c r="V167" s="3" t="s">
        <v>97</v>
      </c>
      <c r="W167" s="29" t="s">
        <v>97</v>
      </c>
      <c r="X167" s="3" t="s">
        <v>97</v>
      </c>
      <c r="Y167" s="29" t="s">
        <v>97</v>
      </c>
      <c r="Z167" s="3" t="s">
        <v>97</v>
      </c>
      <c r="AA167" s="29" t="s">
        <v>97</v>
      </c>
      <c r="AB167" s="3" t="s">
        <v>97</v>
      </c>
      <c r="AC167" s="29" t="s">
        <v>97</v>
      </c>
      <c r="AD167" s="3" t="s">
        <v>97</v>
      </c>
      <c r="AE167" s="29" t="s">
        <v>97</v>
      </c>
      <c r="AF167" s="3" t="s">
        <v>97</v>
      </c>
      <c r="AG167" s="29" t="s">
        <v>97</v>
      </c>
      <c r="AH167" s="3" t="s">
        <v>97</v>
      </c>
      <c r="AI167" s="29" t="s">
        <v>97</v>
      </c>
      <c r="AJ167" s="3" t="s">
        <v>97</v>
      </c>
      <c r="AK167" s="3" t="s">
        <v>97</v>
      </c>
      <c r="AL167" s="29" t="s">
        <v>97</v>
      </c>
      <c r="AM167" s="29" t="s">
        <v>97</v>
      </c>
      <c r="AN167" s="29" t="s">
        <v>97</v>
      </c>
    </row>
    <row r="168" spans="2:40">
      <c r="B168" s="38" t="s">
        <v>224</v>
      </c>
      <c r="C168" s="39" t="s">
        <v>225</v>
      </c>
      <c r="D168" s="16">
        <v>1455414.3496145951</v>
      </c>
      <c r="E168" s="17">
        <f>D168*1.05</f>
        <v>1528185.0670953249</v>
      </c>
      <c r="F168" s="57">
        <f>E168*1.045</f>
        <v>1596953.3951146144</v>
      </c>
      <c r="G168" s="57">
        <f t="shared" si="72"/>
        <v>1652527.3732646029</v>
      </c>
      <c r="H168" s="57">
        <f t="shared" si="73"/>
        <v>1836156.2149817657</v>
      </c>
      <c r="I168" s="57">
        <f t="shared" si="74"/>
        <v>1697145.6123427469</v>
      </c>
      <c r="J168" s="57">
        <f t="shared" si="74"/>
        <v>1885732.4327862733</v>
      </c>
      <c r="K168" s="57">
        <f t="shared" si="75"/>
        <v>1737877.1070389729</v>
      </c>
      <c r="L168" s="9">
        <f t="shared" si="75"/>
        <v>1930990.011173144</v>
      </c>
      <c r="M168" s="9">
        <f t="shared" si="76"/>
        <v>1784799.7889290249</v>
      </c>
      <c r="N168" s="72">
        <f t="shared" si="76"/>
        <v>1983126.7414748187</v>
      </c>
      <c r="O168" s="81">
        <f t="shared" si="77"/>
        <v>1824065.3842854635</v>
      </c>
      <c r="P168" s="78">
        <f t="shared" si="77"/>
        <v>2026755.5297872648</v>
      </c>
      <c r="Q168" s="1">
        <f t="shared" si="78"/>
        <v>1867842.9535083147</v>
      </c>
      <c r="R168" s="81">
        <f t="shared" si="79"/>
        <v>2075397.6625021591</v>
      </c>
      <c r="S168" s="1">
        <f t="shared" si="80"/>
        <v>1936953.1427881222</v>
      </c>
      <c r="T168" s="78">
        <f t="shared" si="81"/>
        <v>2152187.3760147388</v>
      </c>
      <c r="U168" s="1">
        <f t="shared" si="82"/>
        <v>1991187.8307861895</v>
      </c>
      <c r="V168" s="99">
        <f t="shared" si="83"/>
        <v>2212448.6225431515</v>
      </c>
      <c r="W168" s="81">
        <f t="shared" si="84"/>
        <v>2021055.6482479821</v>
      </c>
      <c r="X168" s="81">
        <f t="shared" si="85"/>
        <v>2245635.3518812987</v>
      </c>
      <c r="Y168" s="81">
        <f t="shared" si="86"/>
        <v>2053392.5386199499</v>
      </c>
      <c r="Z168" s="81">
        <f t="shared" si="87"/>
        <v>2281565.5175113995</v>
      </c>
      <c r="AA168" s="81">
        <f t="shared" si="88"/>
        <v>2092406.9968537288</v>
      </c>
      <c r="AB168" s="81">
        <f t="shared" si="89"/>
        <v>2324915.2623441159</v>
      </c>
      <c r="AC168" s="102">
        <f t="shared" si="90"/>
        <v>2132162.7297939495</v>
      </c>
      <c r="AD168" s="81">
        <f t="shared" si="91"/>
        <v>2369088.6523286537</v>
      </c>
      <c r="AE168" s="102">
        <f t="shared" si="92"/>
        <v>2176938.1471196222</v>
      </c>
      <c r="AF168" s="81">
        <f t="shared" si="93"/>
        <v>2418839.514027555</v>
      </c>
      <c r="AG168" s="144">
        <f t="shared" si="94"/>
        <v>2205238.3430321771</v>
      </c>
      <c r="AH168" s="175">
        <f t="shared" si="95"/>
        <v>2450284.4277099129</v>
      </c>
      <c r="AI168" s="144">
        <f t="shared" si="96"/>
        <v>2249343.1098928205</v>
      </c>
      <c r="AJ168" s="175">
        <f t="shared" si="97"/>
        <v>2499290.1162641114</v>
      </c>
      <c r="AK168" s="143">
        <f t="shared" si="98"/>
        <v>2314574.060079712</v>
      </c>
      <c r="AL168" s="175">
        <f t="shared" si="99"/>
        <v>2571769.5296357702</v>
      </c>
      <c r="AM168" s="144">
        <f t="shared" si="100"/>
        <v>2460392.2258647336</v>
      </c>
      <c r="AN168" s="144">
        <f t="shared" si="101"/>
        <v>2733791.0100028235</v>
      </c>
    </row>
    <row r="169" spans="2:40">
      <c r="B169" s="38" t="s">
        <v>226</v>
      </c>
      <c r="C169" s="39" t="s">
        <v>227</v>
      </c>
      <c r="D169" s="42" t="s">
        <v>97</v>
      </c>
      <c r="E169" s="43" t="s">
        <v>97</v>
      </c>
      <c r="F169" s="5" t="s">
        <v>97</v>
      </c>
      <c r="G169" s="5" t="s">
        <v>97</v>
      </c>
      <c r="H169" s="3" t="s">
        <v>97</v>
      </c>
      <c r="I169" s="3" t="s">
        <v>97</v>
      </c>
      <c r="J169" s="3" t="s">
        <v>97</v>
      </c>
      <c r="K169" s="3" t="s">
        <v>97</v>
      </c>
      <c r="L169" s="3" t="s">
        <v>97</v>
      </c>
      <c r="M169" s="3" t="s">
        <v>97</v>
      </c>
      <c r="N169" s="29" t="s">
        <v>97</v>
      </c>
      <c r="O169" s="3" t="s">
        <v>97</v>
      </c>
      <c r="P169" s="3" t="s">
        <v>97</v>
      </c>
      <c r="Q169" s="3" t="s">
        <v>97</v>
      </c>
      <c r="R169" s="3" t="s">
        <v>97</v>
      </c>
      <c r="S169" s="29" t="s">
        <v>97</v>
      </c>
      <c r="T169" s="3" t="s">
        <v>97</v>
      </c>
      <c r="U169" s="29" t="s">
        <v>97</v>
      </c>
      <c r="V169" s="3" t="s">
        <v>97</v>
      </c>
      <c r="W169" s="29" t="s">
        <v>97</v>
      </c>
      <c r="X169" s="3" t="s">
        <v>97</v>
      </c>
      <c r="Y169" s="29" t="s">
        <v>97</v>
      </c>
      <c r="Z169" s="3" t="s">
        <v>97</v>
      </c>
      <c r="AA169" s="29" t="s">
        <v>97</v>
      </c>
      <c r="AB169" s="3" t="s">
        <v>97</v>
      </c>
      <c r="AC169" s="29" t="s">
        <v>97</v>
      </c>
      <c r="AD169" s="3" t="s">
        <v>97</v>
      </c>
      <c r="AE169" s="29" t="s">
        <v>97</v>
      </c>
      <c r="AF169" s="3" t="s">
        <v>97</v>
      </c>
      <c r="AG169" s="29" t="s">
        <v>97</v>
      </c>
      <c r="AH169" s="3" t="s">
        <v>97</v>
      </c>
      <c r="AI169" s="29" t="s">
        <v>97</v>
      </c>
      <c r="AJ169" s="3" t="s">
        <v>97</v>
      </c>
      <c r="AK169" s="3" t="s">
        <v>97</v>
      </c>
      <c r="AL169" s="29" t="s">
        <v>97</v>
      </c>
      <c r="AM169" s="29" t="s">
        <v>97</v>
      </c>
      <c r="AN169" s="29" t="s">
        <v>97</v>
      </c>
    </row>
    <row r="170" spans="2:40">
      <c r="B170" s="38" t="s">
        <v>228</v>
      </c>
      <c r="C170" s="39" t="s">
        <v>229</v>
      </c>
      <c r="D170" s="42" t="s">
        <v>97</v>
      </c>
      <c r="E170" s="43" t="s">
        <v>97</v>
      </c>
      <c r="F170" s="5" t="s">
        <v>97</v>
      </c>
      <c r="G170" s="5" t="s">
        <v>97</v>
      </c>
      <c r="H170" s="3" t="s">
        <v>97</v>
      </c>
      <c r="I170" s="3" t="s">
        <v>97</v>
      </c>
      <c r="J170" s="3" t="s">
        <v>97</v>
      </c>
      <c r="K170" s="3" t="s">
        <v>97</v>
      </c>
      <c r="L170" s="3" t="s">
        <v>97</v>
      </c>
      <c r="M170" s="3" t="s">
        <v>97</v>
      </c>
      <c r="N170" s="29" t="s">
        <v>97</v>
      </c>
      <c r="O170" s="3" t="s">
        <v>97</v>
      </c>
      <c r="P170" s="3" t="s">
        <v>97</v>
      </c>
      <c r="Q170" s="3" t="s">
        <v>97</v>
      </c>
      <c r="R170" s="3" t="s">
        <v>97</v>
      </c>
      <c r="S170" s="29" t="s">
        <v>97</v>
      </c>
      <c r="T170" s="3" t="s">
        <v>97</v>
      </c>
      <c r="U170" s="29" t="s">
        <v>97</v>
      </c>
      <c r="V170" s="3" t="s">
        <v>97</v>
      </c>
      <c r="W170" s="29" t="s">
        <v>97</v>
      </c>
      <c r="X170" s="3" t="s">
        <v>97</v>
      </c>
      <c r="Y170" s="29" t="s">
        <v>97</v>
      </c>
      <c r="Z170" s="3" t="s">
        <v>97</v>
      </c>
      <c r="AA170" s="29" t="s">
        <v>97</v>
      </c>
      <c r="AB170" s="3" t="s">
        <v>97</v>
      </c>
      <c r="AC170" s="29" t="s">
        <v>97</v>
      </c>
      <c r="AD170" s="3" t="s">
        <v>97</v>
      </c>
      <c r="AE170" s="29" t="s">
        <v>97</v>
      </c>
      <c r="AF170" s="3" t="s">
        <v>97</v>
      </c>
      <c r="AG170" s="29" t="s">
        <v>97</v>
      </c>
      <c r="AH170" s="3" t="s">
        <v>97</v>
      </c>
      <c r="AI170" s="29" t="s">
        <v>97</v>
      </c>
      <c r="AJ170" s="3" t="s">
        <v>97</v>
      </c>
      <c r="AK170" s="3" t="s">
        <v>97</v>
      </c>
      <c r="AL170" s="29" t="s">
        <v>97</v>
      </c>
      <c r="AM170" s="29" t="s">
        <v>97</v>
      </c>
      <c r="AN170" s="29" t="s">
        <v>97</v>
      </c>
    </row>
    <row r="171" spans="2:40">
      <c r="B171" s="38" t="s">
        <v>230</v>
      </c>
      <c r="C171" s="39" t="s">
        <v>231</v>
      </c>
      <c r="D171" s="42" t="s">
        <v>97</v>
      </c>
      <c r="E171" s="43" t="s">
        <v>97</v>
      </c>
      <c r="F171" s="5" t="s">
        <v>97</v>
      </c>
      <c r="G171" s="5" t="s">
        <v>97</v>
      </c>
      <c r="H171" s="3" t="s">
        <v>97</v>
      </c>
      <c r="I171" s="3" t="s">
        <v>97</v>
      </c>
      <c r="J171" s="3" t="s">
        <v>97</v>
      </c>
      <c r="K171" s="3" t="s">
        <v>97</v>
      </c>
      <c r="L171" s="3" t="s">
        <v>97</v>
      </c>
      <c r="M171" s="3" t="s">
        <v>97</v>
      </c>
      <c r="N171" s="29" t="s">
        <v>97</v>
      </c>
      <c r="O171" s="3" t="s">
        <v>97</v>
      </c>
      <c r="P171" s="3" t="s">
        <v>97</v>
      </c>
      <c r="Q171" s="3" t="s">
        <v>97</v>
      </c>
      <c r="R171" s="3" t="s">
        <v>97</v>
      </c>
      <c r="S171" s="29" t="s">
        <v>97</v>
      </c>
      <c r="T171" s="3" t="s">
        <v>97</v>
      </c>
      <c r="U171" s="29" t="s">
        <v>97</v>
      </c>
      <c r="V171" s="3" t="s">
        <v>97</v>
      </c>
      <c r="W171" s="29" t="s">
        <v>97</v>
      </c>
      <c r="X171" s="3" t="s">
        <v>97</v>
      </c>
      <c r="Y171" s="29" t="s">
        <v>97</v>
      </c>
      <c r="Z171" s="3" t="s">
        <v>97</v>
      </c>
      <c r="AA171" s="29" t="s">
        <v>97</v>
      </c>
      <c r="AB171" s="3" t="s">
        <v>97</v>
      </c>
      <c r="AC171" s="29" t="s">
        <v>97</v>
      </c>
      <c r="AD171" s="3" t="s">
        <v>97</v>
      </c>
      <c r="AE171" s="29" t="s">
        <v>97</v>
      </c>
      <c r="AF171" s="3" t="s">
        <v>97</v>
      </c>
      <c r="AG171" s="29" t="s">
        <v>97</v>
      </c>
      <c r="AH171" s="3" t="s">
        <v>97</v>
      </c>
      <c r="AI171" s="29" t="s">
        <v>97</v>
      </c>
      <c r="AJ171" s="3" t="s">
        <v>97</v>
      </c>
      <c r="AK171" s="3" t="s">
        <v>97</v>
      </c>
      <c r="AL171" s="29" t="s">
        <v>97</v>
      </c>
      <c r="AM171" s="29" t="s">
        <v>97</v>
      </c>
      <c r="AN171" s="29" t="s">
        <v>97</v>
      </c>
    </row>
    <row r="172" spans="2:40">
      <c r="B172" s="38" t="s">
        <v>232</v>
      </c>
      <c r="C172" s="39" t="s">
        <v>233</v>
      </c>
      <c r="D172" s="42" t="s">
        <v>97</v>
      </c>
      <c r="E172" s="43" t="s">
        <v>97</v>
      </c>
      <c r="F172" s="5" t="s">
        <v>97</v>
      </c>
      <c r="G172" s="5" t="s">
        <v>97</v>
      </c>
      <c r="H172" s="3" t="s">
        <v>97</v>
      </c>
      <c r="I172" s="3" t="s">
        <v>97</v>
      </c>
      <c r="J172" s="3" t="s">
        <v>97</v>
      </c>
      <c r="K172" s="3" t="s">
        <v>97</v>
      </c>
      <c r="L172" s="3" t="s">
        <v>97</v>
      </c>
      <c r="M172" s="3" t="s">
        <v>97</v>
      </c>
      <c r="N172" s="29" t="s">
        <v>97</v>
      </c>
      <c r="O172" s="3" t="s">
        <v>97</v>
      </c>
      <c r="P172" s="3" t="s">
        <v>97</v>
      </c>
      <c r="Q172" s="3" t="s">
        <v>97</v>
      </c>
      <c r="R172" s="3" t="s">
        <v>97</v>
      </c>
      <c r="S172" s="29" t="s">
        <v>97</v>
      </c>
      <c r="T172" s="3" t="s">
        <v>97</v>
      </c>
      <c r="U172" s="29" t="s">
        <v>97</v>
      </c>
      <c r="V172" s="3" t="s">
        <v>97</v>
      </c>
      <c r="W172" s="29" t="s">
        <v>97</v>
      </c>
      <c r="X172" s="3" t="s">
        <v>97</v>
      </c>
      <c r="Y172" s="29" t="s">
        <v>97</v>
      </c>
      <c r="Z172" s="3" t="s">
        <v>97</v>
      </c>
      <c r="AA172" s="29" t="s">
        <v>97</v>
      </c>
      <c r="AB172" s="3" t="s">
        <v>97</v>
      </c>
      <c r="AC172" s="29" t="s">
        <v>97</v>
      </c>
      <c r="AD172" s="3" t="s">
        <v>97</v>
      </c>
      <c r="AE172" s="29" t="s">
        <v>97</v>
      </c>
      <c r="AF172" s="3" t="s">
        <v>97</v>
      </c>
      <c r="AG172" s="29" t="s">
        <v>97</v>
      </c>
      <c r="AH172" s="3" t="s">
        <v>97</v>
      </c>
      <c r="AI172" s="29" t="s">
        <v>97</v>
      </c>
      <c r="AJ172" s="3" t="s">
        <v>97</v>
      </c>
      <c r="AK172" s="3" t="s">
        <v>97</v>
      </c>
      <c r="AL172" s="29" t="s">
        <v>97</v>
      </c>
      <c r="AM172" s="29" t="s">
        <v>97</v>
      </c>
      <c r="AN172" s="29" t="s">
        <v>97</v>
      </c>
    </row>
    <row r="173" spans="2:40">
      <c r="B173" s="38" t="s">
        <v>234</v>
      </c>
      <c r="C173" s="39" t="s">
        <v>235</v>
      </c>
      <c r="D173" s="16">
        <v>2803361.4028634853</v>
      </c>
      <c r="E173" s="17">
        <f>D173*1.05</f>
        <v>2943529.4730066597</v>
      </c>
      <c r="F173" s="57">
        <f>E173*1.045</f>
        <v>3075988.299291959</v>
      </c>
      <c r="G173" s="57">
        <f t="shared" si="72"/>
        <v>3183032.6921073189</v>
      </c>
      <c r="H173" s="57">
        <f t="shared" si="73"/>
        <v>3536731.2848542845</v>
      </c>
      <c r="I173" s="57">
        <f t="shared" si="74"/>
        <v>3268974.5747942161</v>
      </c>
      <c r="J173" s="57">
        <f t="shared" si="74"/>
        <v>3632223.02954535</v>
      </c>
      <c r="K173" s="57">
        <f t="shared" si="75"/>
        <v>3347429.9645892773</v>
      </c>
      <c r="L173" s="9">
        <f t="shared" si="75"/>
        <v>3719396.3822544385</v>
      </c>
      <c r="M173" s="9">
        <f t="shared" si="76"/>
        <v>3437810.5736331875</v>
      </c>
      <c r="N173" s="72">
        <f t="shared" si="76"/>
        <v>3819820.084575308</v>
      </c>
      <c r="O173" s="81">
        <f t="shared" si="77"/>
        <v>3513442.4062531176</v>
      </c>
      <c r="P173" s="78">
        <f t="shared" si="77"/>
        <v>3903856.1264359648</v>
      </c>
      <c r="Q173" s="1">
        <f t="shared" si="78"/>
        <v>3597765.0240031923</v>
      </c>
      <c r="R173" s="81">
        <f t="shared" si="79"/>
        <v>3997548.6734704282</v>
      </c>
      <c r="S173" s="1">
        <f t="shared" si="80"/>
        <v>3730882.3298913101</v>
      </c>
      <c r="T173" s="78">
        <f t="shared" si="81"/>
        <v>4145457.9743888336</v>
      </c>
      <c r="U173" s="1">
        <f t="shared" si="82"/>
        <v>3835347.035128267</v>
      </c>
      <c r="V173" s="99">
        <f t="shared" si="83"/>
        <v>4261530.7976717213</v>
      </c>
      <c r="W173" s="81">
        <f t="shared" si="84"/>
        <v>3892877.2406551908</v>
      </c>
      <c r="X173" s="81">
        <f t="shared" si="85"/>
        <v>4325453.759636797</v>
      </c>
      <c r="Y173" s="81">
        <f t="shared" si="86"/>
        <v>3955163.2765056738</v>
      </c>
      <c r="Z173" s="81">
        <f t="shared" si="87"/>
        <v>4394661.0197909856</v>
      </c>
      <c r="AA173" s="81">
        <f t="shared" si="88"/>
        <v>4030311.3787592812</v>
      </c>
      <c r="AB173" s="81">
        <f t="shared" si="89"/>
        <v>4478159.579167014</v>
      </c>
      <c r="AC173" s="102">
        <f t="shared" si="90"/>
        <v>4106887.2949557072</v>
      </c>
      <c r="AD173" s="81">
        <f t="shared" si="91"/>
        <v>4563244.6111711869</v>
      </c>
      <c r="AE173" s="102">
        <f t="shared" si="92"/>
        <v>4193131.9281497765</v>
      </c>
      <c r="AF173" s="81">
        <f t="shared" si="93"/>
        <v>4659072.7480057813</v>
      </c>
      <c r="AG173" s="144">
        <f t="shared" si="94"/>
        <v>4247642.6432157233</v>
      </c>
      <c r="AH173" s="175">
        <f t="shared" si="95"/>
        <v>4719640.6937298561</v>
      </c>
      <c r="AI173" s="144">
        <f t="shared" si="96"/>
        <v>4332595.4960800381</v>
      </c>
      <c r="AJ173" s="175">
        <f t="shared" si="97"/>
        <v>4814033.5076044537</v>
      </c>
      <c r="AK173" s="142">
        <f t="shared" si="98"/>
        <v>4458240.7654663585</v>
      </c>
      <c r="AL173" s="175">
        <f t="shared" si="99"/>
        <v>4953640.4793249825</v>
      </c>
      <c r="AM173" s="144">
        <f t="shared" si="100"/>
        <v>4739109.9336907389</v>
      </c>
      <c r="AN173" s="144">
        <f t="shared" si="101"/>
        <v>5265719.829522456</v>
      </c>
    </row>
    <row r="174" spans="2:40">
      <c r="B174" s="38" t="s">
        <v>236</v>
      </c>
      <c r="C174" s="39" t="s">
        <v>237</v>
      </c>
      <c r="D174" s="42" t="s">
        <v>97</v>
      </c>
      <c r="E174" s="43" t="s">
        <v>97</v>
      </c>
      <c r="F174" s="5" t="s">
        <v>97</v>
      </c>
      <c r="G174" s="5" t="s">
        <v>97</v>
      </c>
      <c r="H174" s="3" t="s">
        <v>97</v>
      </c>
      <c r="I174" s="3" t="s">
        <v>97</v>
      </c>
      <c r="J174" s="3" t="s">
        <v>97</v>
      </c>
      <c r="K174" s="3" t="s">
        <v>97</v>
      </c>
      <c r="L174" s="3" t="s">
        <v>97</v>
      </c>
      <c r="M174" s="3" t="s">
        <v>97</v>
      </c>
      <c r="N174" s="29" t="s">
        <v>97</v>
      </c>
      <c r="O174" s="3" t="s">
        <v>97</v>
      </c>
      <c r="P174" s="3" t="s">
        <v>97</v>
      </c>
      <c r="Q174" s="3" t="s">
        <v>97</v>
      </c>
      <c r="R174" s="3" t="s">
        <v>97</v>
      </c>
      <c r="S174" s="29" t="s">
        <v>97</v>
      </c>
      <c r="T174" s="3" t="s">
        <v>97</v>
      </c>
      <c r="U174" s="29" t="s">
        <v>97</v>
      </c>
      <c r="V174" s="3" t="s">
        <v>97</v>
      </c>
      <c r="W174" s="29" t="s">
        <v>97</v>
      </c>
      <c r="X174" s="3" t="s">
        <v>97</v>
      </c>
      <c r="Y174" s="29" t="s">
        <v>97</v>
      </c>
      <c r="Z174" s="3" t="s">
        <v>97</v>
      </c>
      <c r="AA174" s="29" t="s">
        <v>97</v>
      </c>
      <c r="AB174" s="3" t="s">
        <v>97</v>
      </c>
      <c r="AC174" s="29" t="s">
        <v>97</v>
      </c>
      <c r="AD174" s="3" t="s">
        <v>97</v>
      </c>
      <c r="AE174" s="29" t="s">
        <v>97</v>
      </c>
      <c r="AF174" s="3" t="s">
        <v>97</v>
      </c>
      <c r="AG174" s="29" t="s">
        <v>97</v>
      </c>
      <c r="AH174" s="3" t="s">
        <v>97</v>
      </c>
      <c r="AI174" s="29" t="s">
        <v>97</v>
      </c>
      <c r="AJ174" s="3" t="s">
        <v>97</v>
      </c>
      <c r="AK174" s="3" t="s">
        <v>97</v>
      </c>
      <c r="AL174" s="29" t="s">
        <v>97</v>
      </c>
      <c r="AM174" s="29" t="s">
        <v>97</v>
      </c>
      <c r="AN174" s="29" t="s">
        <v>97</v>
      </c>
    </row>
    <row r="175" spans="2:40">
      <c r="B175" s="38" t="s">
        <v>238</v>
      </c>
      <c r="C175" s="39" t="s">
        <v>239</v>
      </c>
      <c r="D175" s="42" t="s">
        <v>97</v>
      </c>
      <c r="E175" s="43" t="s">
        <v>97</v>
      </c>
      <c r="F175" s="5" t="s">
        <v>97</v>
      </c>
      <c r="G175" s="5" t="s">
        <v>97</v>
      </c>
      <c r="H175" s="3" t="s">
        <v>97</v>
      </c>
      <c r="I175" s="3" t="s">
        <v>97</v>
      </c>
      <c r="J175" s="3" t="s">
        <v>97</v>
      </c>
      <c r="K175" s="3" t="s">
        <v>97</v>
      </c>
      <c r="L175" s="3" t="s">
        <v>97</v>
      </c>
      <c r="M175" s="3" t="s">
        <v>97</v>
      </c>
      <c r="N175" s="29" t="s">
        <v>97</v>
      </c>
      <c r="O175" s="3" t="s">
        <v>97</v>
      </c>
      <c r="P175" s="3" t="s">
        <v>97</v>
      </c>
      <c r="Q175" s="3" t="s">
        <v>97</v>
      </c>
      <c r="R175" s="3" t="s">
        <v>97</v>
      </c>
      <c r="S175" s="29" t="s">
        <v>97</v>
      </c>
      <c r="T175" s="3" t="s">
        <v>97</v>
      </c>
      <c r="U175" s="29" t="s">
        <v>97</v>
      </c>
      <c r="V175" s="3" t="s">
        <v>97</v>
      </c>
      <c r="W175" s="29" t="s">
        <v>97</v>
      </c>
      <c r="X175" s="3" t="s">
        <v>97</v>
      </c>
      <c r="Y175" s="29" t="s">
        <v>97</v>
      </c>
      <c r="Z175" s="3" t="s">
        <v>97</v>
      </c>
      <c r="AA175" s="29" t="s">
        <v>97</v>
      </c>
      <c r="AB175" s="3" t="s">
        <v>97</v>
      </c>
      <c r="AC175" s="29" t="s">
        <v>97</v>
      </c>
      <c r="AD175" s="3" t="s">
        <v>97</v>
      </c>
      <c r="AE175" s="29" t="s">
        <v>97</v>
      </c>
      <c r="AF175" s="3" t="s">
        <v>97</v>
      </c>
      <c r="AG175" s="29" t="s">
        <v>97</v>
      </c>
      <c r="AH175" s="3" t="s">
        <v>97</v>
      </c>
      <c r="AI175" s="29" t="s">
        <v>97</v>
      </c>
      <c r="AJ175" s="3" t="s">
        <v>97</v>
      </c>
      <c r="AK175" s="3" t="s">
        <v>97</v>
      </c>
      <c r="AL175" s="29" t="s">
        <v>97</v>
      </c>
      <c r="AM175" s="29" t="s">
        <v>97</v>
      </c>
      <c r="AN175" s="29" t="s">
        <v>97</v>
      </c>
    </row>
    <row r="176" spans="2:40">
      <c r="B176" s="40" t="s">
        <v>240</v>
      </c>
      <c r="C176" s="41" t="s">
        <v>241</v>
      </c>
      <c r="D176" s="132" t="s">
        <v>97</v>
      </c>
      <c r="E176" s="133" t="s">
        <v>97</v>
      </c>
      <c r="F176" s="134" t="s">
        <v>97</v>
      </c>
      <c r="G176" s="134" t="s">
        <v>97</v>
      </c>
      <c r="H176" s="89" t="s">
        <v>97</v>
      </c>
      <c r="I176" s="89" t="s">
        <v>97</v>
      </c>
      <c r="J176" s="89" t="s">
        <v>97</v>
      </c>
      <c r="K176" s="89" t="s">
        <v>97</v>
      </c>
      <c r="L176" s="89" t="s">
        <v>97</v>
      </c>
      <c r="M176" s="89" t="s">
        <v>97</v>
      </c>
      <c r="N176" s="90" t="s">
        <v>97</v>
      </c>
      <c r="O176" s="89" t="s">
        <v>97</v>
      </c>
      <c r="P176" s="89" t="s">
        <v>97</v>
      </c>
      <c r="Q176" s="89" t="s">
        <v>97</v>
      </c>
      <c r="R176" s="89" t="s">
        <v>97</v>
      </c>
      <c r="S176" s="90" t="s">
        <v>97</v>
      </c>
      <c r="T176" s="89" t="s">
        <v>97</v>
      </c>
      <c r="U176" s="90" t="s">
        <v>97</v>
      </c>
      <c r="V176" s="89" t="s">
        <v>97</v>
      </c>
      <c r="W176" s="90" t="s">
        <v>97</v>
      </c>
      <c r="X176" s="89" t="s">
        <v>97</v>
      </c>
      <c r="Y176" s="90" t="s">
        <v>97</v>
      </c>
      <c r="Z176" s="89" t="s">
        <v>97</v>
      </c>
      <c r="AA176" s="90" t="s">
        <v>97</v>
      </c>
      <c r="AB176" s="89" t="s">
        <v>97</v>
      </c>
      <c r="AC176" s="90" t="s">
        <v>97</v>
      </c>
      <c r="AD176" s="89" t="s">
        <v>97</v>
      </c>
      <c r="AE176" s="90" t="s">
        <v>97</v>
      </c>
      <c r="AF176" s="89" t="s">
        <v>97</v>
      </c>
      <c r="AG176" s="90" t="s">
        <v>97</v>
      </c>
      <c r="AH176" s="89" t="s">
        <v>97</v>
      </c>
      <c r="AI176" s="90" t="s">
        <v>97</v>
      </c>
      <c r="AJ176" s="89" t="s">
        <v>97</v>
      </c>
      <c r="AK176" s="89" t="s">
        <v>97</v>
      </c>
      <c r="AL176" s="90" t="s">
        <v>97</v>
      </c>
      <c r="AM176" s="90" t="s">
        <v>97</v>
      </c>
      <c r="AN176" s="90" t="s">
        <v>97</v>
      </c>
    </row>
    <row r="177" spans="2:40" ht="15" customHeight="1">
      <c r="B177" s="180" t="s">
        <v>242</v>
      </c>
      <c r="C177" s="181"/>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c r="AC177" s="182"/>
      <c r="AD177" s="182"/>
      <c r="AE177" s="182"/>
      <c r="AF177" s="182"/>
      <c r="AG177" s="182"/>
      <c r="AH177" s="182"/>
      <c r="AI177" s="182"/>
      <c r="AJ177" s="182"/>
      <c r="AK177" s="180"/>
      <c r="AL177" s="183"/>
      <c r="AM177" s="183"/>
      <c r="AN177" s="181"/>
    </row>
    <row r="178" spans="2:40">
      <c r="B178" s="36" t="s">
        <v>243</v>
      </c>
      <c r="C178" s="37" t="s">
        <v>244</v>
      </c>
      <c r="D178" s="112">
        <v>40423.344191999997</v>
      </c>
      <c r="E178" s="118">
        <f t="shared" ref="E178:E214" si="105">D178*1.05</f>
        <v>42444.511401600001</v>
      </c>
      <c r="F178" s="70">
        <f>E178*1.045</f>
        <v>44354.514414671998</v>
      </c>
      <c r="G178" s="70">
        <f t="shared" si="72"/>
        <v>45898.051516302578</v>
      </c>
      <c r="H178" s="70">
        <f t="shared" si="73"/>
        <v>50998.243000794122</v>
      </c>
      <c r="I178" s="70">
        <f t="shared" si="74"/>
        <v>47137.298907242744</v>
      </c>
      <c r="J178" s="70">
        <f t="shared" si="74"/>
        <v>52375.195561815563</v>
      </c>
      <c r="K178" s="70">
        <f t="shared" si="75"/>
        <v>48268.59408101657</v>
      </c>
      <c r="L178" s="58">
        <f t="shared" si="75"/>
        <v>53632.20025529914</v>
      </c>
      <c r="M178" s="58">
        <f t="shared" si="76"/>
        <v>49571.846121204013</v>
      </c>
      <c r="N178" s="58">
        <f t="shared" si="76"/>
        <v>55080.269662192215</v>
      </c>
      <c r="O178" s="80">
        <f t="shared" si="77"/>
        <v>50662.426735870504</v>
      </c>
      <c r="P178" s="80">
        <f t="shared" si="77"/>
        <v>56292.035594760448</v>
      </c>
      <c r="Q178" s="101">
        <f t="shared" si="78"/>
        <v>51878.324977531396</v>
      </c>
      <c r="R178" s="80">
        <f t="shared" si="79"/>
        <v>57643.0444490347</v>
      </c>
      <c r="S178" s="101">
        <f t="shared" si="80"/>
        <v>53797.823001700053</v>
      </c>
      <c r="T178" s="80">
        <f t="shared" si="81"/>
        <v>59775.837093648981</v>
      </c>
      <c r="U178" s="101">
        <f t="shared" si="82"/>
        <v>55304.162045747653</v>
      </c>
      <c r="V178" s="114">
        <f t="shared" si="83"/>
        <v>61449.560532271156</v>
      </c>
      <c r="W178" s="80">
        <f t="shared" si="84"/>
        <v>56133.724476433861</v>
      </c>
      <c r="X178" s="80">
        <f t="shared" si="85"/>
        <v>62371.303940255217</v>
      </c>
      <c r="Y178" s="80">
        <f t="shared" si="86"/>
        <v>57031.864068056806</v>
      </c>
      <c r="Z178" s="80">
        <f t="shared" si="87"/>
        <v>63369.244803299298</v>
      </c>
      <c r="AA178" s="80">
        <f t="shared" si="88"/>
        <v>58115.46948534988</v>
      </c>
      <c r="AB178" s="80">
        <f t="shared" si="89"/>
        <v>64573.260454561976</v>
      </c>
      <c r="AC178" s="101">
        <f t="shared" si="90"/>
        <v>59219.663405571526</v>
      </c>
      <c r="AD178" s="80">
        <f t="shared" si="91"/>
        <v>65800.152403198648</v>
      </c>
      <c r="AE178" s="101">
        <f t="shared" si="92"/>
        <v>60463.276337088522</v>
      </c>
      <c r="AF178" s="80">
        <f t="shared" si="93"/>
        <v>67181.955603665818</v>
      </c>
      <c r="AG178" s="143">
        <f t="shared" si="94"/>
        <v>61249.298929470664</v>
      </c>
      <c r="AH178" s="152">
        <f t="shared" si="95"/>
        <v>68055.321026513469</v>
      </c>
      <c r="AI178" s="143">
        <f t="shared" si="96"/>
        <v>62474.284908060079</v>
      </c>
      <c r="AJ178" s="152">
        <f t="shared" si="97"/>
        <v>69416.427447043738</v>
      </c>
      <c r="AK178" s="143">
        <f t="shared" si="98"/>
        <v>64286.039170393815</v>
      </c>
      <c r="AL178" s="152">
        <f t="shared" si="99"/>
        <v>71429.503843008002</v>
      </c>
      <c r="AM178" s="143">
        <f t="shared" si="100"/>
        <v>68336.059638128616</v>
      </c>
      <c r="AN178" s="143">
        <f t="shared" si="101"/>
        <v>75929.562585117499</v>
      </c>
    </row>
    <row r="179" spans="2:40">
      <c r="B179" s="38" t="s">
        <v>245</v>
      </c>
      <c r="C179" s="39" t="s">
        <v>246</v>
      </c>
      <c r="D179" s="16">
        <v>35073.603326361597</v>
      </c>
      <c r="E179" s="17">
        <f t="shared" si="105"/>
        <v>36827.283492679679</v>
      </c>
      <c r="F179" s="57">
        <f>E179*1.045</f>
        <v>38484.511249850264</v>
      </c>
      <c r="G179" s="57">
        <f t="shared" si="72"/>
        <v>39823.772241345054</v>
      </c>
      <c r="H179" s="57">
        <f t="shared" si="73"/>
        <v>44248.989812803324</v>
      </c>
      <c r="I179" s="57">
        <f t="shared" si="74"/>
        <v>40899.014091861369</v>
      </c>
      <c r="J179" s="57">
        <f t="shared" si="74"/>
        <v>45443.712537749008</v>
      </c>
      <c r="K179" s="57">
        <f t="shared" si="75"/>
        <v>41880.59043006604</v>
      </c>
      <c r="L179" s="9">
        <f t="shared" si="75"/>
        <v>46534.361638654984</v>
      </c>
      <c r="M179" s="9">
        <f t="shared" si="76"/>
        <v>43011.366371677817</v>
      </c>
      <c r="N179" s="9">
        <f t="shared" si="76"/>
        <v>47790.789402898663</v>
      </c>
      <c r="O179" s="78">
        <f t="shared" si="77"/>
        <v>43957.616431854731</v>
      </c>
      <c r="P179" s="78">
        <f t="shared" si="77"/>
        <v>48842.186769762433</v>
      </c>
      <c r="Q179" s="1">
        <f t="shared" si="78"/>
        <v>45012.599226219245</v>
      </c>
      <c r="R179" s="78">
        <f t="shared" si="79"/>
        <v>50014.399252236733</v>
      </c>
      <c r="S179" s="1">
        <f t="shared" si="80"/>
        <v>46678.065397589351</v>
      </c>
      <c r="T179" s="78">
        <f t="shared" si="81"/>
        <v>51864.932024569491</v>
      </c>
      <c r="U179" s="1">
        <f t="shared" si="82"/>
        <v>47985.051228721852</v>
      </c>
      <c r="V179" s="99">
        <f t="shared" si="83"/>
        <v>53317.150121257437</v>
      </c>
      <c r="W179" s="78">
        <f t="shared" si="84"/>
        <v>48704.826997152675</v>
      </c>
      <c r="X179" s="78">
        <f t="shared" si="85"/>
        <v>54116.90737307629</v>
      </c>
      <c r="Y179" s="78">
        <f t="shared" si="86"/>
        <v>49484.104229107121</v>
      </c>
      <c r="Z179" s="78">
        <f t="shared" si="87"/>
        <v>54982.777891045509</v>
      </c>
      <c r="AA179" s="78">
        <f t="shared" si="88"/>
        <v>50424.302209460155</v>
      </c>
      <c r="AB179" s="78">
        <f t="shared" si="89"/>
        <v>56027.45067097537</v>
      </c>
      <c r="AC179" s="1">
        <f t="shared" si="90"/>
        <v>51382.363951439896</v>
      </c>
      <c r="AD179" s="78">
        <f t="shared" si="91"/>
        <v>57091.972233723893</v>
      </c>
      <c r="AE179" s="1">
        <f t="shared" si="92"/>
        <v>52461.393594420129</v>
      </c>
      <c r="AF179" s="78">
        <f t="shared" si="93"/>
        <v>58290.903650632092</v>
      </c>
      <c r="AG179" s="141">
        <f t="shared" si="94"/>
        <v>53143.391711147589</v>
      </c>
      <c r="AH179" s="140">
        <f t="shared" si="95"/>
        <v>59048.685398090303</v>
      </c>
      <c r="AI179" s="141">
        <f t="shared" si="96"/>
        <v>54206.259545370543</v>
      </c>
      <c r="AJ179" s="140">
        <f t="shared" si="97"/>
        <v>60229.65910605211</v>
      </c>
      <c r="AK179" s="141">
        <f t="shared" si="98"/>
        <v>55778.241072186283</v>
      </c>
      <c r="AL179" s="140">
        <f t="shared" si="99"/>
        <v>61976.319220127618</v>
      </c>
      <c r="AM179" s="141">
        <f t="shared" si="100"/>
        <v>59292.270259734018</v>
      </c>
      <c r="AN179" s="141">
        <f t="shared" si="101"/>
        <v>65880.827330995657</v>
      </c>
    </row>
    <row r="180" spans="2:40">
      <c r="B180" s="38" t="s">
        <v>247</v>
      </c>
      <c r="C180" s="39" t="s">
        <v>248</v>
      </c>
      <c r="D180" s="16">
        <v>15824.391806361595</v>
      </c>
      <c r="E180" s="17">
        <f t="shared" si="105"/>
        <v>16615.611396679677</v>
      </c>
      <c r="F180" s="57">
        <f>E180*1.045</f>
        <v>17363.313909530261</v>
      </c>
      <c r="G180" s="57">
        <f t="shared" si="72"/>
        <v>17967.557233581912</v>
      </c>
      <c r="H180" s="57">
        <f t="shared" si="73"/>
        <v>19964.112193377536</v>
      </c>
      <c r="I180" s="57">
        <f t="shared" si="74"/>
        <v>18452.681278888624</v>
      </c>
      <c r="J180" s="57">
        <f t="shared" si="74"/>
        <v>20503.143222598726</v>
      </c>
      <c r="K180" s="57">
        <f t="shared" si="75"/>
        <v>18895.545629581949</v>
      </c>
      <c r="L180" s="9">
        <f t="shared" si="75"/>
        <v>20995.218659941096</v>
      </c>
      <c r="M180" s="9">
        <f t="shared" si="76"/>
        <v>19405.725361580662</v>
      </c>
      <c r="N180" s="9">
        <f t="shared" si="76"/>
        <v>21562.089563759502</v>
      </c>
      <c r="O180" s="78">
        <f t="shared" si="77"/>
        <v>19832.651319535438</v>
      </c>
      <c r="P180" s="78">
        <f t="shared" si="77"/>
        <v>22036.455534162211</v>
      </c>
      <c r="Q180" s="1">
        <f t="shared" si="78"/>
        <v>20308.634951204291</v>
      </c>
      <c r="R180" s="78">
        <f t="shared" si="79"/>
        <v>22565.330466982105</v>
      </c>
      <c r="S180" s="1">
        <f t="shared" si="80"/>
        <v>21060.054444398847</v>
      </c>
      <c r="T180" s="78">
        <f t="shared" si="81"/>
        <v>23400.247694260441</v>
      </c>
      <c r="U180" s="1">
        <f t="shared" si="82"/>
        <v>21649.735968842015</v>
      </c>
      <c r="V180" s="99">
        <f t="shared" si="83"/>
        <v>24055.454629699732</v>
      </c>
      <c r="W180" s="78">
        <f t="shared" si="84"/>
        <v>21974.482008374642</v>
      </c>
      <c r="X180" s="78">
        <f t="shared" si="85"/>
        <v>24416.286449145227</v>
      </c>
      <c r="Y180" s="78">
        <f t="shared" si="86"/>
        <v>22326.073720508637</v>
      </c>
      <c r="Z180" s="78">
        <f t="shared" si="87"/>
        <v>24806.947032331551</v>
      </c>
      <c r="AA180" s="78">
        <f t="shared" si="88"/>
        <v>22750.2691211983</v>
      </c>
      <c r="AB180" s="78">
        <f t="shared" si="89"/>
        <v>25278.279025945849</v>
      </c>
      <c r="AC180" s="1">
        <f t="shared" si="90"/>
        <v>23182.524234501067</v>
      </c>
      <c r="AD180" s="78">
        <f t="shared" si="91"/>
        <v>25758.566327438817</v>
      </c>
      <c r="AE180" s="1">
        <f t="shared" si="92"/>
        <v>23669.357243425588</v>
      </c>
      <c r="AF180" s="78">
        <f t="shared" si="93"/>
        <v>26299.496220315032</v>
      </c>
      <c r="AG180" s="141">
        <f t="shared" si="94"/>
        <v>23977.058887590119</v>
      </c>
      <c r="AH180" s="140">
        <f t="shared" si="95"/>
        <v>26641.389671179124</v>
      </c>
      <c r="AI180" s="141">
        <f t="shared" si="96"/>
        <v>24456.600065341921</v>
      </c>
      <c r="AJ180" s="140">
        <f t="shared" si="97"/>
        <v>27174.217464602705</v>
      </c>
      <c r="AK180" s="141">
        <f t="shared" si="98"/>
        <v>25165.841467236834</v>
      </c>
      <c r="AL180" s="140">
        <f t="shared" si="99"/>
        <v>27962.269771076182</v>
      </c>
      <c r="AM180" s="141">
        <f t="shared" si="100"/>
        <v>26751.289479672752</v>
      </c>
      <c r="AN180" s="141">
        <f t="shared" si="101"/>
        <v>29723.892766653978</v>
      </c>
    </row>
    <row r="181" spans="2:40">
      <c r="B181" s="38" t="s">
        <v>249</v>
      </c>
      <c r="C181" s="39" t="s">
        <v>250</v>
      </c>
      <c r="D181" s="16">
        <v>27373.918718361598</v>
      </c>
      <c r="E181" s="17">
        <f t="shared" si="105"/>
        <v>28742.614654279678</v>
      </c>
      <c r="F181" s="57">
        <f>E181*1.045</f>
        <v>30036.032313722262</v>
      </c>
      <c r="G181" s="57">
        <f t="shared" si="72"/>
        <v>31081.286238239794</v>
      </c>
      <c r="H181" s="57">
        <f t="shared" si="73"/>
        <v>34535.038765033001</v>
      </c>
      <c r="I181" s="57">
        <f t="shared" si="74"/>
        <v>31920.480966672265</v>
      </c>
      <c r="J181" s="57">
        <f t="shared" si="74"/>
        <v>35467.48481168889</v>
      </c>
      <c r="K181" s="57">
        <f t="shared" si="75"/>
        <v>32686.5725098724</v>
      </c>
      <c r="L181" s="9">
        <f t="shared" si="75"/>
        <v>36318.704447169424</v>
      </c>
      <c r="M181" s="9">
        <f t="shared" si="76"/>
        <v>33569.109967638949</v>
      </c>
      <c r="N181" s="9">
        <f t="shared" si="76"/>
        <v>37299.309467242994</v>
      </c>
      <c r="O181" s="78">
        <f t="shared" si="77"/>
        <v>34307.630386927005</v>
      </c>
      <c r="P181" s="78">
        <f t="shared" si="77"/>
        <v>38119.89427552234</v>
      </c>
      <c r="Q181" s="1">
        <f t="shared" si="78"/>
        <v>35131.013516213257</v>
      </c>
      <c r="R181" s="78">
        <f t="shared" si="79"/>
        <v>39034.771738134878</v>
      </c>
      <c r="S181" s="1">
        <f t="shared" si="80"/>
        <v>36430.861016313145</v>
      </c>
      <c r="T181" s="78">
        <f t="shared" si="81"/>
        <v>40479.058292445865</v>
      </c>
      <c r="U181" s="1">
        <f t="shared" si="82"/>
        <v>37450.925124769914</v>
      </c>
      <c r="V181" s="99">
        <f t="shared" si="83"/>
        <v>41612.471924634352</v>
      </c>
      <c r="W181" s="78">
        <f t="shared" si="84"/>
        <v>38012.689001641462</v>
      </c>
      <c r="X181" s="78">
        <f t="shared" si="85"/>
        <v>42236.659003503861</v>
      </c>
      <c r="Y181" s="78">
        <f t="shared" si="86"/>
        <v>38620.892025667723</v>
      </c>
      <c r="Z181" s="78">
        <f t="shared" si="87"/>
        <v>42912.445547559924</v>
      </c>
      <c r="AA181" s="78">
        <f t="shared" si="88"/>
        <v>39354.688974155404</v>
      </c>
      <c r="AB181" s="78">
        <f t="shared" si="89"/>
        <v>43727.782012963558</v>
      </c>
      <c r="AC181" s="1">
        <f t="shared" si="90"/>
        <v>40102.428064664353</v>
      </c>
      <c r="AD181" s="78">
        <f t="shared" si="91"/>
        <v>44558.609871209861</v>
      </c>
      <c r="AE181" s="1">
        <f t="shared" si="92"/>
        <v>40944.579054022302</v>
      </c>
      <c r="AF181" s="78">
        <f t="shared" si="93"/>
        <v>45494.340678505265</v>
      </c>
      <c r="AG181" s="141">
        <f t="shared" si="94"/>
        <v>41476.858581724591</v>
      </c>
      <c r="AH181" s="140">
        <f t="shared" si="95"/>
        <v>46085.767107325832</v>
      </c>
      <c r="AI181" s="141">
        <f t="shared" si="96"/>
        <v>42306.395753359087</v>
      </c>
      <c r="AJ181" s="140">
        <f t="shared" si="97"/>
        <v>47007.482449472351</v>
      </c>
      <c r="AK181" s="141">
        <f t="shared" si="98"/>
        <v>43533.281230206499</v>
      </c>
      <c r="AL181" s="140">
        <f t="shared" si="99"/>
        <v>48370.699440507044</v>
      </c>
      <c r="AM181" s="141">
        <f t="shared" si="100"/>
        <v>46275.877947709509</v>
      </c>
      <c r="AN181" s="141">
        <f t="shared" si="101"/>
        <v>51418.053505258984</v>
      </c>
    </row>
    <row r="182" spans="2:40">
      <c r="B182" s="38" t="s">
        <v>251</v>
      </c>
      <c r="C182" s="39" t="s">
        <v>252</v>
      </c>
      <c r="D182" s="16">
        <v>11974.5495023616</v>
      </c>
      <c r="E182" s="17">
        <f t="shared" si="105"/>
        <v>12573.276977479682</v>
      </c>
      <c r="F182" s="57">
        <f>E182*1.045</f>
        <v>13139.074441466266</v>
      </c>
      <c r="G182" s="57">
        <f t="shared" si="72"/>
        <v>13596.314232029292</v>
      </c>
      <c r="H182" s="57">
        <f t="shared" si="73"/>
        <v>15107.136669492389</v>
      </c>
      <c r="I182" s="57">
        <f t="shared" si="74"/>
        <v>13963.414716294081</v>
      </c>
      <c r="J182" s="57">
        <f t="shared" si="74"/>
        <v>15515.029359568682</v>
      </c>
      <c r="K182" s="57">
        <f t="shared" si="75"/>
        <v>14298.536669485138</v>
      </c>
      <c r="L182" s="9">
        <f t="shared" si="75"/>
        <v>15887.390064198331</v>
      </c>
      <c r="M182" s="9">
        <f t="shared" si="76"/>
        <v>14684.597159561235</v>
      </c>
      <c r="N182" s="9">
        <f t="shared" si="76"/>
        <v>16316.349595931684</v>
      </c>
      <c r="O182" s="78">
        <f t="shared" si="77"/>
        <v>15007.658297071583</v>
      </c>
      <c r="P182" s="78">
        <f t="shared" si="77"/>
        <v>16675.309287042182</v>
      </c>
      <c r="Q182" s="1">
        <f t="shared" si="78"/>
        <v>15367.842096201301</v>
      </c>
      <c r="R182" s="78">
        <f t="shared" si="79"/>
        <v>17075.516709931195</v>
      </c>
      <c r="S182" s="1">
        <f t="shared" si="80"/>
        <v>15936.452253760748</v>
      </c>
      <c r="T182" s="78">
        <f t="shared" si="81"/>
        <v>17707.310828198646</v>
      </c>
      <c r="U182" s="1">
        <f t="shared" si="82"/>
        <v>16382.672916866049</v>
      </c>
      <c r="V182" s="99">
        <f t="shared" si="83"/>
        <v>18203.115531388208</v>
      </c>
      <c r="W182" s="78">
        <f t="shared" si="84"/>
        <v>16628.413010619039</v>
      </c>
      <c r="X182" s="78">
        <f t="shared" si="85"/>
        <v>18476.162264359031</v>
      </c>
      <c r="Y182" s="78">
        <f t="shared" si="86"/>
        <v>16894.467618788942</v>
      </c>
      <c r="Z182" s="78">
        <f t="shared" si="87"/>
        <v>18771.780860588777</v>
      </c>
      <c r="AA182" s="78">
        <f t="shared" si="88"/>
        <v>17215.462503545928</v>
      </c>
      <c r="AB182" s="78">
        <f t="shared" si="89"/>
        <v>19128.444696939961</v>
      </c>
      <c r="AC182" s="1">
        <f t="shared" si="90"/>
        <v>17542.556291113298</v>
      </c>
      <c r="AD182" s="78">
        <f t="shared" si="91"/>
        <v>19491.885146181819</v>
      </c>
      <c r="AE182" s="1">
        <f t="shared" si="92"/>
        <v>17910.949973226678</v>
      </c>
      <c r="AF182" s="78">
        <f t="shared" si="93"/>
        <v>19901.214734251636</v>
      </c>
      <c r="AG182" s="141">
        <f t="shared" si="94"/>
        <v>18143.792322878624</v>
      </c>
      <c r="AH182" s="140">
        <f t="shared" si="95"/>
        <v>20159.930525796906</v>
      </c>
      <c r="AI182" s="141">
        <f t="shared" si="96"/>
        <v>18506.668169336197</v>
      </c>
      <c r="AJ182" s="140">
        <f t="shared" si="97"/>
        <v>20563.129136312844</v>
      </c>
      <c r="AK182" s="141">
        <f t="shared" si="98"/>
        <v>19043.361546246946</v>
      </c>
      <c r="AL182" s="140">
        <f t="shared" si="99"/>
        <v>21159.459881265913</v>
      </c>
      <c r="AM182" s="141">
        <f t="shared" si="100"/>
        <v>20243.093323660501</v>
      </c>
      <c r="AN182" s="141">
        <f t="shared" si="101"/>
        <v>22492.505853785664</v>
      </c>
    </row>
    <row r="183" spans="2:40">
      <c r="B183" s="38" t="s">
        <v>253</v>
      </c>
      <c r="C183" s="39" t="s">
        <v>254</v>
      </c>
      <c r="D183" s="16">
        <v>25079.797689408002</v>
      </c>
      <c r="E183" s="17">
        <f t="shared" si="105"/>
        <v>26333.787573878402</v>
      </c>
      <c r="F183" s="57">
        <f>E183*1.045</f>
        <v>27518.808014702929</v>
      </c>
      <c r="G183" s="57">
        <f t="shared" si="72"/>
        <v>28476.462533614587</v>
      </c>
      <c r="H183" s="57">
        <f t="shared" si="73"/>
        <v>31640.767050349845</v>
      </c>
      <c r="I183" s="57">
        <f t="shared" si="74"/>
        <v>29245.327022022178</v>
      </c>
      <c r="J183" s="57">
        <f t="shared" si="74"/>
        <v>32495.067760709288</v>
      </c>
      <c r="K183" s="57">
        <f t="shared" si="75"/>
        <v>29947.21487055071</v>
      </c>
      <c r="L183" s="9">
        <f t="shared" si="75"/>
        <v>33274.949386966313</v>
      </c>
      <c r="M183" s="9">
        <f t="shared" si="76"/>
        <v>30755.789672055576</v>
      </c>
      <c r="N183" s="9">
        <f t="shared" si="76"/>
        <v>34173.373020414401</v>
      </c>
      <c r="O183" s="78">
        <f t="shared" si="77"/>
        <v>31432.4170448408</v>
      </c>
      <c r="P183" s="78">
        <f t="shared" si="77"/>
        <v>34925.18722686352</v>
      </c>
      <c r="Q183" s="1">
        <f t="shared" si="78"/>
        <v>32186.79505391698</v>
      </c>
      <c r="R183" s="78">
        <f t="shared" si="79"/>
        <v>35763.391720308246</v>
      </c>
      <c r="S183" s="1">
        <f t="shared" si="80"/>
        <v>33377.706470911908</v>
      </c>
      <c r="T183" s="78">
        <f t="shared" si="81"/>
        <v>37086.63721395965</v>
      </c>
      <c r="U183" s="1">
        <f t="shared" si="82"/>
        <v>34312.282252097444</v>
      </c>
      <c r="V183" s="99">
        <f t="shared" si="83"/>
        <v>38125.063055950523</v>
      </c>
      <c r="W183" s="78">
        <f t="shared" si="84"/>
        <v>34826.966485878904</v>
      </c>
      <c r="X183" s="78">
        <f t="shared" si="85"/>
        <v>38696.939001789775</v>
      </c>
      <c r="Y183" s="78">
        <f t="shared" si="86"/>
        <v>35384.197949652968</v>
      </c>
      <c r="Z183" s="78">
        <f t="shared" si="87"/>
        <v>39316.090025818412</v>
      </c>
      <c r="AA183" s="78">
        <f t="shared" si="88"/>
        <v>36056.497710696371</v>
      </c>
      <c r="AB183" s="78">
        <f t="shared" si="89"/>
        <v>40063.095736308955</v>
      </c>
      <c r="AC183" s="1">
        <f t="shared" si="90"/>
        <v>36741.571167199596</v>
      </c>
      <c r="AD183" s="78">
        <f t="shared" si="91"/>
        <v>40824.294555298824</v>
      </c>
      <c r="AE183" s="1">
        <f t="shared" si="92"/>
        <v>37513.144161710785</v>
      </c>
      <c r="AF183" s="78">
        <f t="shared" si="93"/>
        <v>41681.604740960094</v>
      </c>
      <c r="AG183" s="141">
        <f t="shared" si="94"/>
        <v>38000.815035813022</v>
      </c>
      <c r="AH183" s="140">
        <f t="shared" si="95"/>
        <v>42223.465602592572</v>
      </c>
      <c r="AI183" s="141">
        <f t="shared" si="96"/>
        <v>38760.831336529285</v>
      </c>
      <c r="AJ183" s="140">
        <f t="shared" si="97"/>
        <v>43067.934914644422</v>
      </c>
      <c r="AK183" s="141">
        <f t="shared" si="98"/>
        <v>39884.895445288632</v>
      </c>
      <c r="AL183" s="140">
        <f t="shared" si="99"/>
        <v>44316.905027169109</v>
      </c>
      <c r="AM183" s="141">
        <f t="shared" si="100"/>
        <v>42397.643858341813</v>
      </c>
      <c r="AN183" s="141">
        <f t="shared" si="101"/>
        <v>47108.870043880757</v>
      </c>
    </row>
    <row r="184" spans="2:40">
      <c r="B184" s="38" t="s">
        <v>255</v>
      </c>
      <c r="C184" s="39" t="s">
        <v>256</v>
      </c>
      <c r="D184" s="16">
        <v>15824.391806361595</v>
      </c>
      <c r="E184" s="17">
        <f t="shared" si="105"/>
        <v>16615.611396679677</v>
      </c>
      <c r="F184" s="57">
        <f>E184*1.045</f>
        <v>17363.313909530261</v>
      </c>
      <c r="G184" s="57">
        <f t="shared" si="72"/>
        <v>17967.557233581912</v>
      </c>
      <c r="H184" s="57">
        <f t="shared" si="73"/>
        <v>19964.112193377536</v>
      </c>
      <c r="I184" s="57">
        <f t="shared" si="74"/>
        <v>18452.681278888624</v>
      </c>
      <c r="J184" s="57">
        <f t="shared" si="74"/>
        <v>20503.143222598726</v>
      </c>
      <c r="K184" s="57">
        <f t="shared" si="75"/>
        <v>18895.545629581949</v>
      </c>
      <c r="L184" s="9">
        <f t="shared" si="75"/>
        <v>20995.218659941096</v>
      </c>
      <c r="M184" s="9">
        <f t="shared" si="76"/>
        <v>19405.725361580662</v>
      </c>
      <c r="N184" s="9">
        <f t="shared" si="76"/>
        <v>21562.089563759502</v>
      </c>
      <c r="O184" s="78">
        <f t="shared" si="77"/>
        <v>19832.651319535438</v>
      </c>
      <c r="P184" s="78">
        <f t="shared" si="77"/>
        <v>22036.455534162211</v>
      </c>
      <c r="Q184" s="1">
        <f t="shared" si="78"/>
        <v>20308.634951204291</v>
      </c>
      <c r="R184" s="78">
        <f t="shared" si="79"/>
        <v>22565.330466982105</v>
      </c>
      <c r="S184" s="1">
        <f t="shared" si="80"/>
        <v>21060.054444398847</v>
      </c>
      <c r="T184" s="78">
        <f t="shared" si="81"/>
        <v>23400.247694260441</v>
      </c>
      <c r="U184" s="1">
        <f t="shared" si="82"/>
        <v>21649.735968842015</v>
      </c>
      <c r="V184" s="99">
        <f t="shared" si="83"/>
        <v>24055.454629699732</v>
      </c>
      <c r="W184" s="78">
        <f t="shared" si="84"/>
        <v>21974.482008374642</v>
      </c>
      <c r="X184" s="78">
        <f t="shared" si="85"/>
        <v>24416.286449145227</v>
      </c>
      <c r="Y184" s="78">
        <f t="shared" si="86"/>
        <v>22326.073720508637</v>
      </c>
      <c r="Z184" s="78">
        <f t="shared" si="87"/>
        <v>24806.947032331551</v>
      </c>
      <c r="AA184" s="78">
        <f t="shared" si="88"/>
        <v>22750.2691211983</v>
      </c>
      <c r="AB184" s="78">
        <f t="shared" si="89"/>
        <v>25278.279025945849</v>
      </c>
      <c r="AC184" s="1">
        <f t="shared" si="90"/>
        <v>23182.524234501067</v>
      </c>
      <c r="AD184" s="78">
        <f t="shared" si="91"/>
        <v>25758.566327438817</v>
      </c>
      <c r="AE184" s="1">
        <f t="shared" si="92"/>
        <v>23669.357243425588</v>
      </c>
      <c r="AF184" s="78">
        <f t="shared" si="93"/>
        <v>26299.496220315032</v>
      </c>
      <c r="AG184" s="141">
        <f t="shared" si="94"/>
        <v>23977.058887590119</v>
      </c>
      <c r="AH184" s="140">
        <f t="shared" si="95"/>
        <v>26641.389671179124</v>
      </c>
      <c r="AI184" s="141">
        <f t="shared" si="96"/>
        <v>24456.600065341921</v>
      </c>
      <c r="AJ184" s="140">
        <f t="shared" si="97"/>
        <v>27174.217464602705</v>
      </c>
      <c r="AK184" s="141">
        <f t="shared" si="98"/>
        <v>25165.841467236834</v>
      </c>
      <c r="AL184" s="140">
        <f t="shared" si="99"/>
        <v>27962.269771076182</v>
      </c>
      <c r="AM184" s="141">
        <f t="shared" si="100"/>
        <v>26751.289479672752</v>
      </c>
      <c r="AN184" s="141">
        <f t="shared" si="101"/>
        <v>29723.892766653978</v>
      </c>
    </row>
    <row r="185" spans="2:40">
      <c r="B185" s="38" t="s">
        <v>257</v>
      </c>
      <c r="C185" s="39" t="s">
        <v>258</v>
      </c>
      <c r="D185" s="16">
        <v>25079.797689408002</v>
      </c>
      <c r="E185" s="17">
        <f t="shared" si="105"/>
        <v>26333.787573878402</v>
      </c>
      <c r="F185" s="57">
        <f>E185*1.045</f>
        <v>27518.808014702929</v>
      </c>
      <c r="G185" s="57">
        <f t="shared" si="72"/>
        <v>28476.462533614587</v>
      </c>
      <c r="H185" s="57">
        <f t="shared" si="73"/>
        <v>31640.767050349845</v>
      </c>
      <c r="I185" s="57">
        <f t="shared" si="74"/>
        <v>29245.327022022178</v>
      </c>
      <c r="J185" s="57">
        <f t="shared" si="74"/>
        <v>32495.067760709288</v>
      </c>
      <c r="K185" s="57">
        <f t="shared" si="75"/>
        <v>29947.21487055071</v>
      </c>
      <c r="L185" s="9">
        <f t="shared" si="75"/>
        <v>33274.949386966313</v>
      </c>
      <c r="M185" s="9">
        <f t="shared" si="76"/>
        <v>30755.789672055576</v>
      </c>
      <c r="N185" s="9">
        <f t="shared" si="76"/>
        <v>34173.373020414401</v>
      </c>
      <c r="O185" s="78">
        <f t="shared" si="77"/>
        <v>31432.4170448408</v>
      </c>
      <c r="P185" s="78">
        <f t="shared" si="77"/>
        <v>34925.18722686352</v>
      </c>
      <c r="Q185" s="1">
        <f t="shared" si="78"/>
        <v>32186.79505391698</v>
      </c>
      <c r="R185" s="78">
        <f t="shared" si="79"/>
        <v>35763.391720308246</v>
      </c>
      <c r="S185" s="1">
        <f t="shared" si="80"/>
        <v>33377.706470911908</v>
      </c>
      <c r="T185" s="78">
        <f t="shared" si="81"/>
        <v>37086.63721395965</v>
      </c>
      <c r="U185" s="1">
        <f t="shared" si="82"/>
        <v>34312.282252097444</v>
      </c>
      <c r="V185" s="99">
        <f t="shared" si="83"/>
        <v>38125.063055950523</v>
      </c>
      <c r="W185" s="78">
        <f t="shared" si="84"/>
        <v>34826.966485878904</v>
      </c>
      <c r="X185" s="78">
        <f t="shared" si="85"/>
        <v>38696.939001789775</v>
      </c>
      <c r="Y185" s="78">
        <f t="shared" si="86"/>
        <v>35384.197949652968</v>
      </c>
      <c r="Z185" s="78">
        <f t="shared" si="87"/>
        <v>39316.090025818412</v>
      </c>
      <c r="AA185" s="78">
        <f t="shared" si="88"/>
        <v>36056.497710696371</v>
      </c>
      <c r="AB185" s="78">
        <f t="shared" si="89"/>
        <v>40063.095736308955</v>
      </c>
      <c r="AC185" s="1">
        <f t="shared" si="90"/>
        <v>36741.571167199596</v>
      </c>
      <c r="AD185" s="78">
        <f t="shared" si="91"/>
        <v>40824.294555298824</v>
      </c>
      <c r="AE185" s="1">
        <f t="shared" si="92"/>
        <v>37513.144161710785</v>
      </c>
      <c r="AF185" s="78">
        <f t="shared" si="93"/>
        <v>41681.604740960094</v>
      </c>
      <c r="AG185" s="141">
        <f t="shared" si="94"/>
        <v>38000.815035813022</v>
      </c>
      <c r="AH185" s="140">
        <f t="shared" si="95"/>
        <v>42223.465602592572</v>
      </c>
      <c r="AI185" s="141">
        <f t="shared" si="96"/>
        <v>38760.831336529285</v>
      </c>
      <c r="AJ185" s="140">
        <f t="shared" si="97"/>
        <v>43067.934914644422</v>
      </c>
      <c r="AK185" s="141">
        <f t="shared" si="98"/>
        <v>39884.895445288632</v>
      </c>
      <c r="AL185" s="140">
        <f t="shared" si="99"/>
        <v>44316.905027169109</v>
      </c>
      <c r="AM185" s="141">
        <f t="shared" si="100"/>
        <v>42397.643858341813</v>
      </c>
      <c r="AN185" s="141">
        <f t="shared" si="101"/>
        <v>47108.870043880757</v>
      </c>
    </row>
    <row r="186" spans="2:40">
      <c r="B186" s="38" t="s">
        <v>259</v>
      </c>
      <c r="C186" s="39" t="s">
        <v>260</v>
      </c>
      <c r="D186" s="16">
        <v>11974.5495023616</v>
      </c>
      <c r="E186" s="17">
        <f t="shared" si="105"/>
        <v>12573.276977479682</v>
      </c>
      <c r="F186" s="57">
        <f>E186*1.045</f>
        <v>13139.074441466266</v>
      </c>
      <c r="G186" s="57">
        <f t="shared" si="72"/>
        <v>13596.314232029292</v>
      </c>
      <c r="H186" s="57">
        <f t="shared" si="73"/>
        <v>15107.136669492389</v>
      </c>
      <c r="I186" s="57">
        <f t="shared" si="74"/>
        <v>13963.414716294081</v>
      </c>
      <c r="J186" s="57">
        <f t="shared" si="74"/>
        <v>15515.029359568682</v>
      </c>
      <c r="K186" s="57">
        <f t="shared" si="75"/>
        <v>14298.536669485138</v>
      </c>
      <c r="L186" s="9">
        <f t="shared" si="75"/>
        <v>15887.390064198331</v>
      </c>
      <c r="M186" s="9">
        <f t="shared" si="76"/>
        <v>14684.597159561235</v>
      </c>
      <c r="N186" s="9">
        <f t="shared" si="76"/>
        <v>16316.349595931684</v>
      </c>
      <c r="O186" s="78">
        <f t="shared" si="77"/>
        <v>15007.658297071583</v>
      </c>
      <c r="P186" s="78">
        <f t="shared" si="77"/>
        <v>16675.309287042182</v>
      </c>
      <c r="Q186" s="1">
        <f t="shared" si="78"/>
        <v>15367.842096201301</v>
      </c>
      <c r="R186" s="78">
        <f t="shared" si="79"/>
        <v>17075.516709931195</v>
      </c>
      <c r="S186" s="1">
        <f t="shared" si="80"/>
        <v>15936.452253760748</v>
      </c>
      <c r="T186" s="78">
        <f t="shared" si="81"/>
        <v>17707.310828198646</v>
      </c>
      <c r="U186" s="1">
        <f t="shared" si="82"/>
        <v>16382.672916866049</v>
      </c>
      <c r="V186" s="99">
        <f t="shared" si="83"/>
        <v>18203.115531388208</v>
      </c>
      <c r="W186" s="78">
        <f t="shared" si="84"/>
        <v>16628.413010619039</v>
      </c>
      <c r="X186" s="78">
        <f t="shared" si="85"/>
        <v>18476.162264359031</v>
      </c>
      <c r="Y186" s="78">
        <f t="shared" si="86"/>
        <v>16894.467618788942</v>
      </c>
      <c r="Z186" s="78">
        <f t="shared" si="87"/>
        <v>18771.780860588777</v>
      </c>
      <c r="AA186" s="78">
        <f t="shared" si="88"/>
        <v>17215.462503545928</v>
      </c>
      <c r="AB186" s="78">
        <f t="shared" si="89"/>
        <v>19128.444696939961</v>
      </c>
      <c r="AC186" s="1">
        <f t="shared" si="90"/>
        <v>17542.556291113298</v>
      </c>
      <c r="AD186" s="78">
        <f t="shared" si="91"/>
        <v>19491.885146181819</v>
      </c>
      <c r="AE186" s="1">
        <f t="shared" si="92"/>
        <v>17910.949973226678</v>
      </c>
      <c r="AF186" s="78">
        <f t="shared" si="93"/>
        <v>19901.214734251636</v>
      </c>
      <c r="AG186" s="141">
        <f t="shared" si="94"/>
        <v>18143.792322878624</v>
      </c>
      <c r="AH186" s="140">
        <f t="shared" si="95"/>
        <v>20159.930525796906</v>
      </c>
      <c r="AI186" s="141">
        <f t="shared" si="96"/>
        <v>18506.668169336197</v>
      </c>
      <c r="AJ186" s="140">
        <f t="shared" si="97"/>
        <v>20563.129136312844</v>
      </c>
      <c r="AK186" s="141">
        <f t="shared" si="98"/>
        <v>19043.361546246946</v>
      </c>
      <c r="AL186" s="140">
        <f t="shared" si="99"/>
        <v>21159.459881265913</v>
      </c>
      <c r="AM186" s="141">
        <f t="shared" si="100"/>
        <v>20243.093323660501</v>
      </c>
      <c r="AN186" s="141">
        <f t="shared" si="101"/>
        <v>22492.505853785664</v>
      </c>
    </row>
    <row r="187" spans="2:40">
      <c r="B187" s="38" t="s">
        <v>261</v>
      </c>
      <c r="C187" s="39" t="s">
        <v>262</v>
      </c>
      <c r="D187" s="16">
        <v>27373.918718361598</v>
      </c>
      <c r="E187" s="17">
        <f t="shared" si="105"/>
        <v>28742.614654279678</v>
      </c>
      <c r="F187" s="57">
        <f>E187*1.045</f>
        <v>30036.032313722262</v>
      </c>
      <c r="G187" s="57">
        <f t="shared" si="72"/>
        <v>31081.286238239794</v>
      </c>
      <c r="H187" s="57">
        <f t="shared" si="73"/>
        <v>34535.038765033001</v>
      </c>
      <c r="I187" s="57">
        <f t="shared" si="74"/>
        <v>31920.480966672265</v>
      </c>
      <c r="J187" s="57">
        <f t="shared" si="74"/>
        <v>35467.48481168889</v>
      </c>
      <c r="K187" s="57">
        <f t="shared" si="75"/>
        <v>32686.5725098724</v>
      </c>
      <c r="L187" s="9">
        <f t="shared" si="75"/>
        <v>36318.704447169424</v>
      </c>
      <c r="M187" s="9">
        <f t="shared" si="76"/>
        <v>33569.109967638949</v>
      </c>
      <c r="N187" s="9">
        <f t="shared" si="76"/>
        <v>37299.309467242994</v>
      </c>
      <c r="O187" s="78">
        <f t="shared" si="77"/>
        <v>34307.630386927005</v>
      </c>
      <c r="P187" s="78">
        <f t="shared" si="77"/>
        <v>38119.89427552234</v>
      </c>
      <c r="Q187" s="1">
        <f t="shared" si="78"/>
        <v>35131.013516213257</v>
      </c>
      <c r="R187" s="78">
        <f t="shared" si="79"/>
        <v>39034.771738134878</v>
      </c>
      <c r="S187" s="1">
        <f t="shared" si="80"/>
        <v>36430.861016313145</v>
      </c>
      <c r="T187" s="78">
        <f t="shared" si="81"/>
        <v>40479.058292445865</v>
      </c>
      <c r="U187" s="1">
        <f t="shared" si="82"/>
        <v>37450.925124769914</v>
      </c>
      <c r="V187" s="99">
        <f t="shared" si="83"/>
        <v>41612.471924634352</v>
      </c>
      <c r="W187" s="78">
        <f t="shared" si="84"/>
        <v>38012.689001641462</v>
      </c>
      <c r="X187" s="78">
        <f t="shared" si="85"/>
        <v>42236.659003503861</v>
      </c>
      <c r="Y187" s="78">
        <f t="shared" si="86"/>
        <v>38620.892025667723</v>
      </c>
      <c r="Z187" s="78">
        <f t="shared" si="87"/>
        <v>42912.445547559924</v>
      </c>
      <c r="AA187" s="78">
        <f t="shared" si="88"/>
        <v>39354.688974155404</v>
      </c>
      <c r="AB187" s="78">
        <f t="shared" si="89"/>
        <v>43727.782012963558</v>
      </c>
      <c r="AC187" s="1">
        <f t="shared" si="90"/>
        <v>40102.428064664353</v>
      </c>
      <c r="AD187" s="78">
        <f t="shared" si="91"/>
        <v>44558.609871209861</v>
      </c>
      <c r="AE187" s="1">
        <f t="shared" si="92"/>
        <v>40944.579054022302</v>
      </c>
      <c r="AF187" s="78">
        <f t="shared" si="93"/>
        <v>45494.340678505265</v>
      </c>
      <c r="AG187" s="141">
        <f t="shared" si="94"/>
        <v>41476.858581724591</v>
      </c>
      <c r="AH187" s="140">
        <f t="shared" si="95"/>
        <v>46085.767107325832</v>
      </c>
      <c r="AI187" s="141">
        <f t="shared" si="96"/>
        <v>42306.395753359087</v>
      </c>
      <c r="AJ187" s="140">
        <f t="shared" si="97"/>
        <v>47007.482449472351</v>
      </c>
      <c r="AK187" s="141">
        <f t="shared" si="98"/>
        <v>43533.281230206499</v>
      </c>
      <c r="AL187" s="140">
        <f t="shared" si="99"/>
        <v>48370.699440507044</v>
      </c>
      <c r="AM187" s="141">
        <f t="shared" si="100"/>
        <v>46275.877947709509</v>
      </c>
      <c r="AN187" s="141">
        <f t="shared" si="101"/>
        <v>51418.053505258984</v>
      </c>
    </row>
    <row r="188" spans="2:40">
      <c r="B188" s="38" t="s">
        <v>263</v>
      </c>
      <c r="C188" s="39" t="s">
        <v>264</v>
      </c>
      <c r="D188" s="16">
        <v>11974.5495023616</v>
      </c>
      <c r="E188" s="17">
        <f t="shared" si="105"/>
        <v>12573.276977479682</v>
      </c>
      <c r="F188" s="57">
        <f>E188*1.045</f>
        <v>13139.074441466266</v>
      </c>
      <c r="G188" s="57">
        <f t="shared" si="72"/>
        <v>13596.314232029292</v>
      </c>
      <c r="H188" s="57">
        <f t="shared" si="73"/>
        <v>15107.136669492389</v>
      </c>
      <c r="I188" s="57">
        <f t="shared" si="74"/>
        <v>13963.414716294081</v>
      </c>
      <c r="J188" s="57">
        <f t="shared" si="74"/>
        <v>15515.029359568682</v>
      </c>
      <c r="K188" s="57">
        <f t="shared" si="75"/>
        <v>14298.536669485138</v>
      </c>
      <c r="L188" s="9">
        <f t="shared" si="75"/>
        <v>15887.390064198331</v>
      </c>
      <c r="M188" s="9">
        <f t="shared" si="76"/>
        <v>14684.597159561235</v>
      </c>
      <c r="N188" s="9">
        <f t="shared" si="76"/>
        <v>16316.349595931684</v>
      </c>
      <c r="O188" s="78">
        <f t="shared" si="77"/>
        <v>15007.658297071583</v>
      </c>
      <c r="P188" s="78">
        <f t="shared" si="77"/>
        <v>16675.309287042182</v>
      </c>
      <c r="Q188" s="1">
        <f t="shared" si="78"/>
        <v>15367.842096201301</v>
      </c>
      <c r="R188" s="78">
        <f t="shared" si="79"/>
        <v>17075.516709931195</v>
      </c>
      <c r="S188" s="1">
        <f t="shared" si="80"/>
        <v>15936.452253760748</v>
      </c>
      <c r="T188" s="78">
        <f t="shared" si="81"/>
        <v>17707.310828198646</v>
      </c>
      <c r="U188" s="1">
        <f t="shared" si="82"/>
        <v>16382.672916866049</v>
      </c>
      <c r="V188" s="99">
        <f t="shared" si="83"/>
        <v>18203.115531388208</v>
      </c>
      <c r="W188" s="78">
        <f t="shared" si="84"/>
        <v>16628.413010619039</v>
      </c>
      <c r="X188" s="78">
        <f t="shared" si="85"/>
        <v>18476.162264359031</v>
      </c>
      <c r="Y188" s="78">
        <f t="shared" si="86"/>
        <v>16894.467618788942</v>
      </c>
      <c r="Z188" s="78">
        <f t="shared" si="87"/>
        <v>18771.780860588777</v>
      </c>
      <c r="AA188" s="78">
        <f t="shared" si="88"/>
        <v>17215.462503545928</v>
      </c>
      <c r="AB188" s="78">
        <f t="shared" si="89"/>
        <v>19128.444696939961</v>
      </c>
      <c r="AC188" s="1">
        <f t="shared" si="90"/>
        <v>17542.556291113298</v>
      </c>
      <c r="AD188" s="78">
        <f t="shared" si="91"/>
        <v>19491.885146181819</v>
      </c>
      <c r="AE188" s="1">
        <f t="shared" si="92"/>
        <v>17910.949973226678</v>
      </c>
      <c r="AF188" s="78">
        <f t="shared" si="93"/>
        <v>19901.214734251636</v>
      </c>
      <c r="AG188" s="141">
        <f t="shared" si="94"/>
        <v>18143.792322878624</v>
      </c>
      <c r="AH188" s="140">
        <f t="shared" si="95"/>
        <v>20159.930525796906</v>
      </c>
      <c r="AI188" s="141">
        <f t="shared" si="96"/>
        <v>18506.668169336197</v>
      </c>
      <c r="AJ188" s="140">
        <f t="shared" si="97"/>
        <v>20563.129136312844</v>
      </c>
      <c r="AK188" s="141">
        <f t="shared" si="98"/>
        <v>19043.361546246946</v>
      </c>
      <c r="AL188" s="140">
        <f t="shared" si="99"/>
        <v>21159.459881265913</v>
      </c>
      <c r="AM188" s="141">
        <f t="shared" si="100"/>
        <v>20243.093323660501</v>
      </c>
      <c r="AN188" s="141">
        <f t="shared" si="101"/>
        <v>22492.505853785664</v>
      </c>
    </row>
    <row r="189" spans="2:40">
      <c r="B189" s="38" t="s">
        <v>265</v>
      </c>
      <c r="C189" s="39" t="s">
        <v>266</v>
      </c>
      <c r="D189" s="16">
        <v>25079.797689408002</v>
      </c>
      <c r="E189" s="17">
        <f t="shared" si="105"/>
        <v>26333.787573878402</v>
      </c>
      <c r="F189" s="57">
        <f>E189*1.045</f>
        <v>27518.808014702929</v>
      </c>
      <c r="G189" s="57">
        <f t="shared" si="72"/>
        <v>28476.462533614587</v>
      </c>
      <c r="H189" s="57">
        <f t="shared" si="73"/>
        <v>31640.767050349845</v>
      </c>
      <c r="I189" s="57">
        <f t="shared" si="74"/>
        <v>29245.327022022178</v>
      </c>
      <c r="J189" s="57">
        <f t="shared" si="74"/>
        <v>32495.067760709288</v>
      </c>
      <c r="K189" s="57">
        <f t="shared" si="75"/>
        <v>29947.21487055071</v>
      </c>
      <c r="L189" s="9">
        <f t="shared" si="75"/>
        <v>33274.949386966313</v>
      </c>
      <c r="M189" s="9">
        <f t="shared" si="76"/>
        <v>30755.789672055576</v>
      </c>
      <c r="N189" s="9">
        <f t="shared" si="76"/>
        <v>34173.373020414401</v>
      </c>
      <c r="O189" s="78">
        <f t="shared" si="77"/>
        <v>31432.4170448408</v>
      </c>
      <c r="P189" s="78">
        <f t="shared" si="77"/>
        <v>34925.18722686352</v>
      </c>
      <c r="Q189" s="1">
        <f t="shared" si="78"/>
        <v>32186.79505391698</v>
      </c>
      <c r="R189" s="78">
        <f t="shared" si="79"/>
        <v>35763.391720308246</v>
      </c>
      <c r="S189" s="1">
        <f t="shared" si="80"/>
        <v>33377.706470911908</v>
      </c>
      <c r="T189" s="78">
        <f t="shared" si="81"/>
        <v>37086.63721395965</v>
      </c>
      <c r="U189" s="1">
        <f t="shared" si="82"/>
        <v>34312.282252097444</v>
      </c>
      <c r="V189" s="99">
        <f t="shared" si="83"/>
        <v>38125.063055950523</v>
      </c>
      <c r="W189" s="78">
        <f t="shared" si="84"/>
        <v>34826.966485878904</v>
      </c>
      <c r="X189" s="78">
        <f t="shared" si="85"/>
        <v>38696.939001789775</v>
      </c>
      <c r="Y189" s="78">
        <f t="shared" si="86"/>
        <v>35384.197949652968</v>
      </c>
      <c r="Z189" s="78">
        <f t="shared" si="87"/>
        <v>39316.090025818412</v>
      </c>
      <c r="AA189" s="78">
        <f t="shared" si="88"/>
        <v>36056.497710696371</v>
      </c>
      <c r="AB189" s="78">
        <f t="shared" si="89"/>
        <v>40063.095736308955</v>
      </c>
      <c r="AC189" s="1">
        <f t="shared" si="90"/>
        <v>36741.571167199596</v>
      </c>
      <c r="AD189" s="78">
        <f t="shared" si="91"/>
        <v>40824.294555298824</v>
      </c>
      <c r="AE189" s="1">
        <f t="shared" si="92"/>
        <v>37513.144161710785</v>
      </c>
      <c r="AF189" s="78">
        <f t="shared" si="93"/>
        <v>41681.604740960094</v>
      </c>
      <c r="AG189" s="141">
        <f t="shared" si="94"/>
        <v>38000.815035813022</v>
      </c>
      <c r="AH189" s="140">
        <f t="shared" si="95"/>
        <v>42223.465602592572</v>
      </c>
      <c r="AI189" s="141">
        <f t="shared" si="96"/>
        <v>38760.831336529285</v>
      </c>
      <c r="AJ189" s="140">
        <f t="shared" si="97"/>
        <v>43067.934914644422</v>
      </c>
      <c r="AK189" s="141">
        <f t="shared" si="98"/>
        <v>39884.895445288632</v>
      </c>
      <c r="AL189" s="140">
        <f t="shared" si="99"/>
        <v>44316.905027169109</v>
      </c>
      <c r="AM189" s="141">
        <f t="shared" si="100"/>
        <v>42397.643858341813</v>
      </c>
      <c r="AN189" s="141">
        <f t="shared" si="101"/>
        <v>47108.870043880757</v>
      </c>
    </row>
    <row r="190" spans="2:40">
      <c r="B190" s="38" t="s">
        <v>267</v>
      </c>
      <c r="C190" s="39" t="s">
        <v>268</v>
      </c>
      <c r="D190" s="16">
        <v>11974.5495023616</v>
      </c>
      <c r="E190" s="17">
        <f t="shared" si="105"/>
        <v>12573.276977479682</v>
      </c>
      <c r="F190" s="57">
        <f>E190*1.045</f>
        <v>13139.074441466266</v>
      </c>
      <c r="G190" s="57">
        <f t="shared" si="72"/>
        <v>13596.314232029292</v>
      </c>
      <c r="H190" s="57">
        <f t="shared" si="73"/>
        <v>15107.136669492389</v>
      </c>
      <c r="I190" s="57">
        <f t="shared" si="74"/>
        <v>13963.414716294081</v>
      </c>
      <c r="J190" s="57">
        <f t="shared" si="74"/>
        <v>15515.029359568682</v>
      </c>
      <c r="K190" s="57">
        <f t="shared" si="75"/>
        <v>14298.536669485138</v>
      </c>
      <c r="L190" s="9">
        <f t="shared" si="75"/>
        <v>15887.390064198331</v>
      </c>
      <c r="M190" s="9">
        <f t="shared" si="76"/>
        <v>14684.597159561235</v>
      </c>
      <c r="N190" s="9">
        <f t="shared" si="76"/>
        <v>16316.349595931684</v>
      </c>
      <c r="O190" s="78">
        <f t="shared" si="77"/>
        <v>15007.658297071583</v>
      </c>
      <c r="P190" s="78">
        <f t="shared" si="77"/>
        <v>16675.309287042182</v>
      </c>
      <c r="Q190" s="1">
        <f t="shared" si="78"/>
        <v>15367.842096201301</v>
      </c>
      <c r="R190" s="78">
        <f t="shared" si="79"/>
        <v>17075.516709931195</v>
      </c>
      <c r="S190" s="1">
        <f t="shared" si="80"/>
        <v>15936.452253760748</v>
      </c>
      <c r="T190" s="78">
        <f t="shared" si="81"/>
        <v>17707.310828198646</v>
      </c>
      <c r="U190" s="1">
        <f t="shared" si="82"/>
        <v>16382.672916866049</v>
      </c>
      <c r="V190" s="99">
        <f t="shared" si="83"/>
        <v>18203.115531388208</v>
      </c>
      <c r="W190" s="78">
        <f t="shared" si="84"/>
        <v>16628.413010619039</v>
      </c>
      <c r="X190" s="78">
        <f t="shared" si="85"/>
        <v>18476.162264359031</v>
      </c>
      <c r="Y190" s="78">
        <f t="shared" si="86"/>
        <v>16894.467618788942</v>
      </c>
      <c r="Z190" s="78">
        <f t="shared" si="87"/>
        <v>18771.780860588777</v>
      </c>
      <c r="AA190" s="78">
        <f t="shared" si="88"/>
        <v>17215.462503545928</v>
      </c>
      <c r="AB190" s="78">
        <f t="shared" si="89"/>
        <v>19128.444696939961</v>
      </c>
      <c r="AC190" s="1">
        <f t="shared" si="90"/>
        <v>17542.556291113298</v>
      </c>
      <c r="AD190" s="78">
        <f t="shared" si="91"/>
        <v>19491.885146181819</v>
      </c>
      <c r="AE190" s="1">
        <f t="shared" si="92"/>
        <v>17910.949973226678</v>
      </c>
      <c r="AF190" s="78">
        <f t="shared" si="93"/>
        <v>19901.214734251636</v>
      </c>
      <c r="AG190" s="141">
        <f t="shared" si="94"/>
        <v>18143.792322878624</v>
      </c>
      <c r="AH190" s="140">
        <f t="shared" si="95"/>
        <v>20159.930525796906</v>
      </c>
      <c r="AI190" s="141">
        <f t="shared" si="96"/>
        <v>18506.668169336197</v>
      </c>
      <c r="AJ190" s="140">
        <f t="shared" si="97"/>
        <v>20563.129136312844</v>
      </c>
      <c r="AK190" s="141">
        <f t="shared" si="98"/>
        <v>19043.361546246946</v>
      </c>
      <c r="AL190" s="140">
        <f t="shared" si="99"/>
        <v>21159.459881265913</v>
      </c>
      <c r="AM190" s="141">
        <f t="shared" si="100"/>
        <v>20243.093323660501</v>
      </c>
      <c r="AN190" s="141">
        <f t="shared" si="101"/>
        <v>22492.505853785664</v>
      </c>
    </row>
    <row r="191" spans="2:40">
      <c r="B191" s="38" t="s">
        <v>269</v>
      </c>
      <c r="C191" s="39" t="s">
        <v>270</v>
      </c>
      <c r="D191" s="16">
        <v>11974.5495023616</v>
      </c>
      <c r="E191" s="17">
        <f t="shared" si="105"/>
        <v>12573.276977479682</v>
      </c>
      <c r="F191" s="57">
        <f>E191*1.045</f>
        <v>13139.074441466266</v>
      </c>
      <c r="G191" s="57">
        <f t="shared" si="72"/>
        <v>13596.314232029292</v>
      </c>
      <c r="H191" s="57">
        <f t="shared" si="73"/>
        <v>15107.136669492389</v>
      </c>
      <c r="I191" s="57">
        <f t="shared" si="74"/>
        <v>13963.414716294081</v>
      </c>
      <c r="J191" s="57">
        <f t="shared" si="74"/>
        <v>15515.029359568682</v>
      </c>
      <c r="K191" s="57">
        <f t="shared" si="75"/>
        <v>14298.536669485138</v>
      </c>
      <c r="L191" s="9">
        <f t="shared" si="75"/>
        <v>15887.390064198331</v>
      </c>
      <c r="M191" s="9">
        <f t="shared" si="76"/>
        <v>14684.597159561235</v>
      </c>
      <c r="N191" s="9">
        <f t="shared" si="76"/>
        <v>16316.349595931684</v>
      </c>
      <c r="O191" s="78">
        <f t="shared" si="77"/>
        <v>15007.658297071583</v>
      </c>
      <c r="P191" s="78">
        <f t="shared" si="77"/>
        <v>16675.309287042182</v>
      </c>
      <c r="Q191" s="1">
        <f t="shared" si="78"/>
        <v>15367.842096201301</v>
      </c>
      <c r="R191" s="78">
        <f t="shared" si="79"/>
        <v>17075.516709931195</v>
      </c>
      <c r="S191" s="1">
        <f t="shared" si="80"/>
        <v>15936.452253760748</v>
      </c>
      <c r="T191" s="78">
        <f t="shared" si="81"/>
        <v>17707.310828198646</v>
      </c>
      <c r="U191" s="1">
        <f t="shared" si="82"/>
        <v>16382.672916866049</v>
      </c>
      <c r="V191" s="99">
        <f t="shared" si="83"/>
        <v>18203.115531388208</v>
      </c>
      <c r="W191" s="78">
        <f t="shared" si="84"/>
        <v>16628.413010619039</v>
      </c>
      <c r="X191" s="78">
        <f t="shared" si="85"/>
        <v>18476.162264359031</v>
      </c>
      <c r="Y191" s="78">
        <f t="shared" si="86"/>
        <v>16894.467618788942</v>
      </c>
      <c r="Z191" s="78">
        <f t="shared" si="87"/>
        <v>18771.780860588777</v>
      </c>
      <c r="AA191" s="78">
        <f t="shared" si="88"/>
        <v>17215.462503545928</v>
      </c>
      <c r="AB191" s="78">
        <f t="shared" si="89"/>
        <v>19128.444696939961</v>
      </c>
      <c r="AC191" s="1">
        <f t="shared" si="90"/>
        <v>17542.556291113298</v>
      </c>
      <c r="AD191" s="78">
        <f t="shared" si="91"/>
        <v>19491.885146181819</v>
      </c>
      <c r="AE191" s="1">
        <f t="shared" si="92"/>
        <v>17910.949973226678</v>
      </c>
      <c r="AF191" s="78">
        <f t="shared" si="93"/>
        <v>19901.214734251636</v>
      </c>
      <c r="AG191" s="141">
        <f t="shared" si="94"/>
        <v>18143.792322878624</v>
      </c>
      <c r="AH191" s="140">
        <f t="shared" si="95"/>
        <v>20159.930525796906</v>
      </c>
      <c r="AI191" s="141">
        <f t="shared" si="96"/>
        <v>18506.668169336197</v>
      </c>
      <c r="AJ191" s="140">
        <f t="shared" si="97"/>
        <v>20563.129136312844</v>
      </c>
      <c r="AK191" s="141">
        <f t="shared" si="98"/>
        <v>19043.361546246946</v>
      </c>
      <c r="AL191" s="140">
        <f t="shared" si="99"/>
        <v>21159.459881265913</v>
      </c>
      <c r="AM191" s="141">
        <f t="shared" si="100"/>
        <v>20243.093323660501</v>
      </c>
      <c r="AN191" s="141">
        <f t="shared" si="101"/>
        <v>22492.505853785664</v>
      </c>
    </row>
    <row r="192" spans="2:40">
      <c r="B192" s="38" t="s">
        <v>271</v>
      </c>
      <c r="C192" s="39" t="s">
        <v>272</v>
      </c>
      <c r="D192" s="16">
        <v>11974.5495023616</v>
      </c>
      <c r="E192" s="17">
        <f t="shared" si="105"/>
        <v>12573.276977479682</v>
      </c>
      <c r="F192" s="57">
        <f>E192*1.045</f>
        <v>13139.074441466266</v>
      </c>
      <c r="G192" s="57">
        <f t="shared" si="72"/>
        <v>13596.314232029292</v>
      </c>
      <c r="H192" s="57">
        <f t="shared" si="73"/>
        <v>15107.136669492389</v>
      </c>
      <c r="I192" s="57">
        <f t="shared" si="74"/>
        <v>13963.414716294081</v>
      </c>
      <c r="J192" s="57">
        <f t="shared" si="74"/>
        <v>15515.029359568682</v>
      </c>
      <c r="K192" s="57">
        <f t="shared" si="75"/>
        <v>14298.536669485138</v>
      </c>
      <c r="L192" s="9">
        <f t="shared" si="75"/>
        <v>15887.390064198331</v>
      </c>
      <c r="M192" s="9">
        <f t="shared" si="76"/>
        <v>14684.597159561235</v>
      </c>
      <c r="N192" s="9">
        <f t="shared" si="76"/>
        <v>16316.349595931684</v>
      </c>
      <c r="O192" s="78">
        <f t="shared" si="77"/>
        <v>15007.658297071583</v>
      </c>
      <c r="P192" s="78">
        <f t="shared" si="77"/>
        <v>16675.309287042182</v>
      </c>
      <c r="Q192" s="1">
        <f t="shared" si="78"/>
        <v>15367.842096201301</v>
      </c>
      <c r="R192" s="78">
        <f t="shared" si="79"/>
        <v>17075.516709931195</v>
      </c>
      <c r="S192" s="1">
        <f t="shared" si="80"/>
        <v>15936.452253760748</v>
      </c>
      <c r="T192" s="78">
        <f t="shared" si="81"/>
        <v>17707.310828198646</v>
      </c>
      <c r="U192" s="1">
        <f t="shared" si="82"/>
        <v>16382.672916866049</v>
      </c>
      <c r="V192" s="99">
        <f t="shared" si="83"/>
        <v>18203.115531388208</v>
      </c>
      <c r="W192" s="78">
        <f t="shared" si="84"/>
        <v>16628.413010619039</v>
      </c>
      <c r="X192" s="78">
        <f t="shared" si="85"/>
        <v>18476.162264359031</v>
      </c>
      <c r="Y192" s="78">
        <f t="shared" si="86"/>
        <v>16894.467618788942</v>
      </c>
      <c r="Z192" s="78">
        <f t="shared" si="87"/>
        <v>18771.780860588777</v>
      </c>
      <c r="AA192" s="78">
        <f t="shared" si="88"/>
        <v>17215.462503545928</v>
      </c>
      <c r="AB192" s="78">
        <f t="shared" si="89"/>
        <v>19128.444696939961</v>
      </c>
      <c r="AC192" s="1">
        <f t="shared" si="90"/>
        <v>17542.556291113298</v>
      </c>
      <c r="AD192" s="78">
        <f t="shared" si="91"/>
        <v>19491.885146181819</v>
      </c>
      <c r="AE192" s="1">
        <f t="shared" si="92"/>
        <v>17910.949973226678</v>
      </c>
      <c r="AF192" s="78">
        <f t="shared" si="93"/>
        <v>19901.214734251636</v>
      </c>
      <c r="AG192" s="141">
        <f t="shared" si="94"/>
        <v>18143.792322878624</v>
      </c>
      <c r="AH192" s="140">
        <f t="shared" si="95"/>
        <v>20159.930525796906</v>
      </c>
      <c r="AI192" s="141">
        <f t="shared" si="96"/>
        <v>18506.668169336197</v>
      </c>
      <c r="AJ192" s="140">
        <f t="shared" si="97"/>
        <v>20563.129136312844</v>
      </c>
      <c r="AK192" s="141">
        <f t="shared" si="98"/>
        <v>19043.361546246946</v>
      </c>
      <c r="AL192" s="140">
        <f t="shared" si="99"/>
        <v>21159.459881265913</v>
      </c>
      <c r="AM192" s="141">
        <f t="shared" si="100"/>
        <v>20243.093323660501</v>
      </c>
      <c r="AN192" s="141">
        <f t="shared" si="101"/>
        <v>22492.505853785664</v>
      </c>
    </row>
    <row r="193" spans="2:40">
      <c r="B193" s="38" t="s">
        <v>273</v>
      </c>
      <c r="C193" s="39" t="s">
        <v>274</v>
      </c>
      <c r="D193" s="16">
        <v>11974.5495023616</v>
      </c>
      <c r="E193" s="17">
        <f t="shared" si="105"/>
        <v>12573.276977479682</v>
      </c>
      <c r="F193" s="57">
        <f>E193*1.045</f>
        <v>13139.074441466266</v>
      </c>
      <c r="G193" s="57">
        <f t="shared" si="72"/>
        <v>13596.314232029292</v>
      </c>
      <c r="H193" s="57">
        <f t="shared" si="73"/>
        <v>15107.136669492389</v>
      </c>
      <c r="I193" s="57">
        <f t="shared" si="74"/>
        <v>13963.414716294081</v>
      </c>
      <c r="J193" s="57">
        <f t="shared" si="74"/>
        <v>15515.029359568682</v>
      </c>
      <c r="K193" s="57">
        <f t="shared" si="75"/>
        <v>14298.536669485138</v>
      </c>
      <c r="L193" s="9">
        <f t="shared" si="75"/>
        <v>15887.390064198331</v>
      </c>
      <c r="M193" s="9">
        <f t="shared" si="76"/>
        <v>14684.597159561235</v>
      </c>
      <c r="N193" s="9">
        <f t="shared" si="76"/>
        <v>16316.349595931684</v>
      </c>
      <c r="O193" s="78">
        <f t="shared" si="77"/>
        <v>15007.658297071583</v>
      </c>
      <c r="P193" s="78">
        <f t="shared" si="77"/>
        <v>16675.309287042182</v>
      </c>
      <c r="Q193" s="1">
        <f t="shared" si="78"/>
        <v>15367.842096201301</v>
      </c>
      <c r="R193" s="78">
        <f t="shared" si="79"/>
        <v>17075.516709931195</v>
      </c>
      <c r="S193" s="1">
        <f t="shared" si="80"/>
        <v>15936.452253760748</v>
      </c>
      <c r="T193" s="78">
        <f t="shared" si="81"/>
        <v>17707.310828198646</v>
      </c>
      <c r="U193" s="1">
        <f t="shared" si="82"/>
        <v>16382.672916866049</v>
      </c>
      <c r="V193" s="99">
        <f t="shared" si="83"/>
        <v>18203.115531388208</v>
      </c>
      <c r="W193" s="78">
        <f t="shared" si="84"/>
        <v>16628.413010619039</v>
      </c>
      <c r="X193" s="78">
        <f t="shared" si="85"/>
        <v>18476.162264359031</v>
      </c>
      <c r="Y193" s="78">
        <f t="shared" si="86"/>
        <v>16894.467618788942</v>
      </c>
      <c r="Z193" s="78">
        <f t="shared" si="87"/>
        <v>18771.780860588777</v>
      </c>
      <c r="AA193" s="78">
        <f t="shared" si="88"/>
        <v>17215.462503545928</v>
      </c>
      <c r="AB193" s="78">
        <f t="shared" si="89"/>
        <v>19128.444696939961</v>
      </c>
      <c r="AC193" s="1">
        <f t="shared" si="90"/>
        <v>17542.556291113298</v>
      </c>
      <c r="AD193" s="78">
        <f t="shared" si="91"/>
        <v>19491.885146181819</v>
      </c>
      <c r="AE193" s="1">
        <f t="shared" si="92"/>
        <v>17910.949973226678</v>
      </c>
      <c r="AF193" s="78">
        <f t="shared" si="93"/>
        <v>19901.214734251636</v>
      </c>
      <c r="AG193" s="141">
        <f t="shared" si="94"/>
        <v>18143.792322878624</v>
      </c>
      <c r="AH193" s="140">
        <f t="shared" si="95"/>
        <v>20159.930525796906</v>
      </c>
      <c r="AI193" s="141">
        <f t="shared" si="96"/>
        <v>18506.668169336197</v>
      </c>
      <c r="AJ193" s="140">
        <f t="shared" si="97"/>
        <v>20563.129136312844</v>
      </c>
      <c r="AK193" s="141">
        <f t="shared" si="98"/>
        <v>19043.361546246946</v>
      </c>
      <c r="AL193" s="140">
        <f t="shared" si="99"/>
        <v>21159.459881265913</v>
      </c>
      <c r="AM193" s="141">
        <f t="shared" si="100"/>
        <v>20243.093323660501</v>
      </c>
      <c r="AN193" s="141">
        <f t="shared" si="101"/>
        <v>22492.505853785664</v>
      </c>
    </row>
    <row r="194" spans="2:40">
      <c r="B194" s="38" t="s">
        <v>275</v>
      </c>
      <c r="C194" s="39" t="s">
        <v>276</v>
      </c>
      <c r="D194" s="16">
        <v>35073.603326361597</v>
      </c>
      <c r="E194" s="17">
        <f t="shared" si="105"/>
        <v>36827.283492679679</v>
      </c>
      <c r="F194" s="57">
        <f>E194*1.045</f>
        <v>38484.511249850264</v>
      </c>
      <c r="G194" s="57">
        <f t="shared" si="72"/>
        <v>39823.772241345054</v>
      </c>
      <c r="H194" s="57">
        <f t="shared" si="73"/>
        <v>44248.989812803324</v>
      </c>
      <c r="I194" s="57">
        <f t="shared" si="74"/>
        <v>40899.014091861369</v>
      </c>
      <c r="J194" s="57">
        <f t="shared" si="74"/>
        <v>45443.712537749008</v>
      </c>
      <c r="K194" s="57">
        <f t="shared" si="75"/>
        <v>41880.59043006604</v>
      </c>
      <c r="L194" s="9">
        <f t="shared" si="75"/>
        <v>46534.361638654984</v>
      </c>
      <c r="M194" s="9">
        <f t="shared" si="76"/>
        <v>43011.366371677817</v>
      </c>
      <c r="N194" s="9">
        <f t="shared" si="76"/>
        <v>47790.789402898663</v>
      </c>
      <c r="O194" s="78">
        <f t="shared" si="77"/>
        <v>43957.616431854731</v>
      </c>
      <c r="P194" s="78">
        <f t="shared" si="77"/>
        <v>48842.186769762433</v>
      </c>
      <c r="Q194" s="1">
        <f t="shared" si="78"/>
        <v>45012.599226219245</v>
      </c>
      <c r="R194" s="78">
        <f t="shared" si="79"/>
        <v>50014.399252236733</v>
      </c>
      <c r="S194" s="1">
        <f t="shared" si="80"/>
        <v>46678.065397589351</v>
      </c>
      <c r="T194" s="78">
        <f t="shared" si="81"/>
        <v>51864.932024569491</v>
      </c>
      <c r="U194" s="1">
        <f t="shared" si="82"/>
        <v>47985.051228721852</v>
      </c>
      <c r="V194" s="99">
        <f t="shared" si="83"/>
        <v>53317.150121257437</v>
      </c>
      <c r="W194" s="78">
        <f t="shared" si="84"/>
        <v>48704.826997152675</v>
      </c>
      <c r="X194" s="78">
        <f t="shared" si="85"/>
        <v>54116.90737307629</v>
      </c>
      <c r="Y194" s="78">
        <f t="shared" si="86"/>
        <v>49484.104229107121</v>
      </c>
      <c r="Z194" s="78">
        <f t="shared" si="87"/>
        <v>54982.777891045509</v>
      </c>
      <c r="AA194" s="78">
        <f t="shared" si="88"/>
        <v>50424.302209460155</v>
      </c>
      <c r="AB194" s="78">
        <f t="shared" si="89"/>
        <v>56027.45067097537</v>
      </c>
      <c r="AC194" s="1">
        <f t="shared" si="90"/>
        <v>51382.363951439896</v>
      </c>
      <c r="AD194" s="78">
        <f t="shared" si="91"/>
        <v>57091.972233723893</v>
      </c>
      <c r="AE194" s="1">
        <f t="shared" si="92"/>
        <v>52461.393594420129</v>
      </c>
      <c r="AF194" s="78">
        <f t="shared" si="93"/>
        <v>58290.903650632092</v>
      </c>
      <c r="AG194" s="141">
        <f t="shared" si="94"/>
        <v>53143.391711147589</v>
      </c>
      <c r="AH194" s="140">
        <f t="shared" si="95"/>
        <v>59048.685398090303</v>
      </c>
      <c r="AI194" s="141">
        <f t="shared" si="96"/>
        <v>54206.259545370543</v>
      </c>
      <c r="AJ194" s="140">
        <f t="shared" si="97"/>
        <v>60229.65910605211</v>
      </c>
      <c r="AK194" s="141">
        <f t="shared" si="98"/>
        <v>55778.241072186283</v>
      </c>
      <c r="AL194" s="140">
        <f t="shared" si="99"/>
        <v>61976.319220127618</v>
      </c>
      <c r="AM194" s="141">
        <f t="shared" si="100"/>
        <v>59292.270259734018</v>
      </c>
      <c r="AN194" s="141">
        <f t="shared" si="101"/>
        <v>65880.827330995657</v>
      </c>
    </row>
    <row r="195" spans="2:40">
      <c r="B195" s="38" t="s">
        <v>277</v>
      </c>
      <c r="C195" s="39" t="s">
        <v>278</v>
      </c>
      <c r="D195" s="16">
        <v>11974.5495023616</v>
      </c>
      <c r="E195" s="17">
        <f t="shared" si="105"/>
        <v>12573.276977479682</v>
      </c>
      <c r="F195" s="57">
        <f>E195*1.045</f>
        <v>13139.074441466266</v>
      </c>
      <c r="G195" s="57">
        <f t="shared" si="72"/>
        <v>13596.314232029292</v>
      </c>
      <c r="H195" s="57">
        <f t="shared" si="73"/>
        <v>15107.136669492389</v>
      </c>
      <c r="I195" s="57">
        <f t="shared" si="74"/>
        <v>13963.414716294081</v>
      </c>
      <c r="J195" s="57">
        <f t="shared" si="74"/>
        <v>15515.029359568682</v>
      </c>
      <c r="K195" s="57">
        <f t="shared" si="75"/>
        <v>14298.536669485138</v>
      </c>
      <c r="L195" s="9">
        <f t="shared" si="75"/>
        <v>15887.390064198331</v>
      </c>
      <c r="M195" s="9">
        <f t="shared" si="76"/>
        <v>14684.597159561235</v>
      </c>
      <c r="N195" s="9">
        <f t="shared" si="76"/>
        <v>16316.349595931684</v>
      </c>
      <c r="O195" s="78">
        <f t="shared" si="77"/>
        <v>15007.658297071583</v>
      </c>
      <c r="P195" s="78">
        <f t="shared" si="77"/>
        <v>16675.309287042182</v>
      </c>
      <c r="Q195" s="1">
        <f t="shared" si="78"/>
        <v>15367.842096201301</v>
      </c>
      <c r="R195" s="78">
        <f t="shared" si="79"/>
        <v>17075.516709931195</v>
      </c>
      <c r="S195" s="1">
        <f t="shared" si="80"/>
        <v>15936.452253760748</v>
      </c>
      <c r="T195" s="78">
        <f t="shared" si="81"/>
        <v>17707.310828198646</v>
      </c>
      <c r="U195" s="1">
        <f t="shared" si="82"/>
        <v>16382.672916866049</v>
      </c>
      <c r="V195" s="99">
        <f t="shared" si="83"/>
        <v>18203.115531388208</v>
      </c>
      <c r="W195" s="78">
        <f t="shared" si="84"/>
        <v>16628.413010619039</v>
      </c>
      <c r="X195" s="78">
        <f t="shared" si="85"/>
        <v>18476.162264359031</v>
      </c>
      <c r="Y195" s="78">
        <f t="shared" si="86"/>
        <v>16894.467618788942</v>
      </c>
      <c r="Z195" s="78">
        <f t="shared" si="87"/>
        <v>18771.780860588777</v>
      </c>
      <c r="AA195" s="78">
        <f t="shared" si="88"/>
        <v>17215.462503545928</v>
      </c>
      <c r="AB195" s="78">
        <f t="shared" si="89"/>
        <v>19128.444696939961</v>
      </c>
      <c r="AC195" s="1">
        <f t="shared" si="90"/>
        <v>17542.556291113298</v>
      </c>
      <c r="AD195" s="78">
        <f t="shared" si="91"/>
        <v>19491.885146181819</v>
      </c>
      <c r="AE195" s="1">
        <f t="shared" si="92"/>
        <v>17910.949973226678</v>
      </c>
      <c r="AF195" s="78">
        <f t="shared" si="93"/>
        <v>19901.214734251636</v>
      </c>
      <c r="AG195" s="141">
        <f t="shared" si="94"/>
        <v>18143.792322878624</v>
      </c>
      <c r="AH195" s="140">
        <f t="shared" si="95"/>
        <v>20159.930525796906</v>
      </c>
      <c r="AI195" s="141">
        <f t="shared" si="96"/>
        <v>18506.668169336197</v>
      </c>
      <c r="AJ195" s="140">
        <f t="shared" si="97"/>
        <v>20563.129136312844</v>
      </c>
      <c r="AK195" s="141">
        <f t="shared" si="98"/>
        <v>19043.361546246946</v>
      </c>
      <c r="AL195" s="140">
        <f t="shared" si="99"/>
        <v>21159.459881265913</v>
      </c>
      <c r="AM195" s="141">
        <f t="shared" si="100"/>
        <v>20243.093323660501</v>
      </c>
      <c r="AN195" s="141">
        <f t="shared" si="101"/>
        <v>22492.505853785664</v>
      </c>
    </row>
    <row r="196" spans="2:40">
      <c r="B196" s="38" t="s">
        <v>279</v>
      </c>
      <c r="C196" s="39" t="s">
        <v>280</v>
      </c>
      <c r="D196" s="16">
        <v>11974.5495023616</v>
      </c>
      <c r="E196" s="17">
        <f t="shared" si="105"/>
        <v>12573.276977479682</v>
      </c>
      <c r="F196" s="57">
        <f>E196*1.045</f>
        <v>13139.074441466266</v>
      </c>
      <c r="G196" s="57">
        <f t="shared" si="72"/>
        <v>13596.314232029292</v>
      </c>
      <c r="H196" s="57">
        <f t="shared" si="73"/>
        <v>15107.136669492389</v>
      </c>
      <c r="I196" s="57">
        <f t="shared" si="74"/>
        <v>13963.414716294081</v>
      </c>
      <c r="J196" s="57">
        <f t="shared" si="74"/>
        <v>15515.029359568682</v>
      </c>
      <c r="K196" s="57">
        <f t="shared" si="75"/>
        <v>14298.536669485138</v>
      </c>
      <c r="L196" s="9">
        <f t="shared" si="75"/>
        <v>15887.390064198331</v>
      </c>
      <c r="M196" s="9">
        <f t="shared" si="76"/>
        <v>14684.597159561235</v>
      </c>
      <c r="N196" s="9">
        <f t="shared" si="76"/>
        <v>16316.349595931684</v>
      </c>
      <c r="O196" s="78">
        <f t="shared" si="77"/>
        <v>15007.658297071583</v>
      </c>
      <c r="P196" s="78">
        <f t="shared" si="77"/>
        <v>16675.309287042182</v>
      </c>
      <c r="Q196" s="1">
        <f t="shared" si="78"/>
        <v>15367.842096201301</v>
      </c>
      <c r="R196" s="78">
        <f t="shared" si="79"/>
        <v>17075.516709931195</v>
      </c>
      <c r="S196" s="1">
        <f t="shared" si="80"/>
        <v>15936.452253760748</v>
      </c>
      <c r="T196" s="78">
        <f t="shared" si="81"/>
        <v>17707.310828198646</v>
      </c>
      <c r="U196" s="1">
        <f t="shared" si="82"/>
        <v>16382.672916866049</v>
      </c>
      <c r="V196" s="99">
        <f t="shared" si="83"/>
        <v>18203.115531388208</v>
      </c>
      <c r="W196" s="78">
        <f t="shared" si="84"/>
        <v>16628.413010619039</v>
      </c>
      <c r="X196" s="78">
        <f t="shared" si="85"/>
        <v>18476.162264359031</v>
      </c>
      <c r="Y196" s="78">
        <f t="shared" si="86"/>
        <v>16894.467618788942</v>
      </c>
      <c r="Z196" s="78">
        <f t="shared" si="87"/>
        <v>18771.780860588777</v>
      </c>
      <c r="AA196" s="78">
        <f t="shared" si="88"/>
        <v>17215.462503545928</v>
      </c>
      <c r="AB196" s="78">
        <f t="shared" si="89"/>
        <v>19128.444696939961</v>
      </c>
      <c r="AC196" s="1">
        <f t="shared" si="90"/>
        <v>17542.556291113298</v>
      </c>
      <c r="AD196" s="78">
        <f t="shared" si="91"/>
        <v>19491.885146181819</v>
      </c>
      <c r="AE196" s="1">
        <f t="shared" si="92"/>
        <v>17910.949973226678</v>
      </c>
      <c r="AF196" s="78">
        <f t="shared" si="93"/>
        <v>19901.214734251636</v>
      </c>
      <c r="AG196" s="141">
        <f t="shared" si="94"/>
        <v>18143.792322878624</v>
      </c>
      <c r="AH196" s="140">
        <f t="shared" si="95"/>
        <v>20159.930525796906</v>
      </c>
      <c r="AI196" s="141">
        <f t="shared" si="96"/>
        <v>18506.668169336197</v>
      </c>
      <c r="AJ196" s="140">
        <f t="shared" si="97"/>
        <v>20563.129136312844</v>
      </c>
      <c r="AK196" s="141">
        <f t="shared" si="98"/>
        <v>19043.361546246946</v>
      </c>
      <c r="AL196" s="140">
        <f t="shared" si="99"/>
        <v>21159.459881265913</v>
      </c>
      <c r="AM196" s="141">
        <f t="shared" si="100"/>
        <v>20243.093323660501</v>
      </c>
      <c r="AN196" s="141">
        <f t="shared" si="101"/>
        <v>22492.505853785664</v>
      </c>
    </row>
    <row r="197" spans="2:40">
      <c r="B197" s="38" t="s">
        <v>281</v>
      </c>
      <c r="C197" s="39" t="s">
        <v>282</v>
      </c>
      <c r="D197" s="16">
        <v>27373.918718361598</v>
      </c>
      <c r="E197" s="17">
        <f t="shared" si="105"/>
        <v>28742.614654279678</v>
      </c>
      <c r="F197" s="57">
        <f>E197*1.045</f>
        <v>30036.032313722262</v>
      </c>
      <c r="G197" s="57">
        <f t="shared" si="72"/>
        <v>31081.286238239794</v>
      </c>
      <c r="H197" s="57">
        <f t="shared" si="73"/>
        <v>34535.038765033001</v>
      </c>
      <c r="I197" s="57">
        <f t="shared" si="74"/>
        <v>31920.480966672265</v>
      </c>
      <c r="J197" s="57">
        <f t="shared" si="74"/>
        <v>35467.48481168889</v>
      </c>
      <c r="K197" s="57">
        <f t="shared" si="75"/>
        <v>32686.5725098724</v>
      </c>
      <c r="L197" s="9">
        <f t="shared" si="75"/>
        <v>36318.704447169424</v>
      </c>
      <c r="M197" s="9">
        <f t="shared" si="76"/>
        <v>33569.109967638949</v>
      </c>
      <c r="N197" s="9">
        <f t="shared" si="76"/>
        <v>37299.309467242994</v>
      </c>
      <c r="O197" s="78">
        <f t="shared" si="77"/>
        <v>34307.630386927005</v>
      </c>
      <c r="P197" s="78">
        <f t="shared" si="77"/>
        <v>38119.89427552234</v>
      </c>
      <c r="Q197" s="1">
        <f t="shared" si="78"/>
        <v>35131.013516213257</v>
      </c>
      <c r="R197" s="78">
        <f t="shared" si="79"/>
        <v>39034.771738134878</v>
      </c>
      <c r="S197" s="1">
        <f t="shared" si="80"/>
        <v>36430.861016313145</v>
      </c>
      <c r="T197" s="78">
        <f t="shared" si="81"/>
        <v>40479.058292445865</v>
      </c>
      <c r="U197" s="1">
        <f t="shared" si="82"/>
        <v>37450.925124769914</v>
      </c>
      <c r="V197" s="99">
        <f t="shared" si="83"/>
        <v>41612.471924634352</v>
      </c>
      <c r="W197" s="78">
        <f t="shared" si="84"/>
        <v>38012.689001641462</v>
      </c>
      <c r="X197" s="78">
        <f t="shared" si="85"/>
        <v>42236.659003503861</v>
      </c>
      <c r="Y197" s="78">
        <f t="shared" si="86"/>
        <v>38620.892025667723</v>
      </c>
      <c r="Z197" s="78">
        <f t="shared" si="87"/>
        <v>42912.445547559924</v>
      </c>
      <c r="AA197" s="78">
        <f t="shared" si="88"/>
        <v>39354.688974155404</v>
      </c>
      <c r="AB197" s="78">
        <f t="shared" si="89"/>
        <v>43727.782012963558</v>
      </c>
      <c r="AC197" s="1">
        <f t="shared" si="90"/>
        <v>40102.428064664353</v>
      </c>
      <c r="AD197" s="78">
        <f t="shared" si="91"/>
        <v>44558.609871209861</v>
      </c>
      <c r="AE197" s="1">
        <f t="shared" si="92"/>
        <v>40944.579054022302</v>
      </c>
      <c r="AF197" s="78">
        <f t="shared" si="93"/>
        <v>45494.340678505265</v>
      </c>
      <c r="AG197" s="141">
        <f t="shared" si="94"/>
        <v>41476.858581724591</v>
      </c>
      <c r="AH197" s="140">
        <f t="shared" si="95"/>
        <v>46085.767107325832</v>
      </c>
      <c r="AI197" s="141">
        <f t="shared" si="96"/>
        <v>42306.395753359087</v>
      </c>
      <c r="AJ197" s="140">
        <f t="shared" si="97"/>
        <v>47007.482449472351</v>
      </c>
      <c r="AK197" s="141">
        <f t="shared" si="98"/>
        <v>43533.281230206499</v>
      </c>
      <c r="AL197" s="140">
        <f t="shared" si="99"/>
        <v>48370.699440507044</v>
      </c>
      <c r="AM197" s="141">
        <f t="shared" si="100"/>
        <v>46275.877947709509</v>
      </c>
      <c r="AN197" s="141">
        <f t="shared" si="101"/>
        <v>51418.053505258984</v>
      </c>
    </row>
    <row r="198" spans="2:40">
      <c r="B198" s="38" t="s">
        <v>283</v>
      </c>
      <c r="C198" s="39" t="s">
        <v>284</v>
      </c>
      <c r="D198" s="16">
        <v>35073.603326361597</v>
      </c>
      <c r="E198" s="17">
        <f t="shared" si="105"/>
        <v>36827.283492679679</v>
      </c>
      <c r="F198" s="57">
        <f>E198*1.045</f>
        <v>38484.511249850264</v>
      </c>
      <c r="G198" s="57">
        <f t="shared" si="72"/>
        <v>39823.772241345054</v>
      </c>
      <c r="H198" s="57">
        <f t="shared" si="73"/>
        <v>44248.989812803324</v>
      </c>
      <c r="I198" s="57">
        <f t="shared" si="74"/>
        <v>40899.014091861369</v>
      </c>
      <c r="J198" s="57">
        <f t="shared" si="74"/>
        <v>45443.712537749008</v>
      </c>
      <c r="K198" s="57">
        <f t="shared" si="75"/>
        <v>41880.59043006604</v>
      </c>
      <c r="L198" s="9">
        <f t="shared" si="75"/>
        <v>46534.361638654984</v>
      </c>
      <c r="M198" s="9">
        <f t="shared" si="76"/>
        <v>43011.366371677817</v>
      </c>
      <c r="N198" s="9">
        <f t="shared" si="76"/>
        <v>47790.789402898663</v>
      </c>
      <c r="O198" s="78">
        <f t="shared" si="77"/>
        <v>43957.616431854731</v>
      </c>
      <c r="P198" s="78">
        <f t="shared" si="77"/>
        <v>48842.186769762433</v>
      </c>
      <c r="Q198" s="1">
        <f t="shared" si="78"/>
        <v>45012.599226219245</v>
      </c>
      <c r="R198" s="78">
        <f t="shared" si="79"/>
        <v>50014.399252236733</v>
      </c>
      <c r="S198" s="1">
        <f t="shared" si="80"/>
        <v>46678.065397589351</v>
      </c>
      <c r="T198" s="78">
        <f t="shared" si="81"/>
        <v>51864.932024569491</v>
      </c>
      <c r="U198" s="1">
        <f t="shared" si="82"/>
        <v>47985.051228721852</v>
      </c>
      <c r="V198" s="99">
        <f t="shared" si="83"/>
        <v>53317.150121257437</v>
      </c>
      <c r="W198" s="78">
        <f t="shared" si="84"/>
        <v>48704.826997152675</v>
      </c>
      <c r="X198" s="78">
        <f t="shared" si="85"/>
        <v>54116.90737307629</v>
      </c>
      <c r="Y198" s="78">
        <f t="shared" si="86"/>
        <v>49484.104229107121</v>
      </c>
      <c r="Z198" s="78">
        <f t="shared" si="87"/>
        <v>54982.777891045509</v>
      </c>
      <c r="AA198" s="78">
        <f t="shared" si="88"/>
        <v>50424.302209460155</v>
      </c>
      <c r="AB198" s="78">
        <f t="shared" si="89"/>
        <v>56027.45067097537</v>
      </c>
      <c r="AC198" s="1">
        <f t="shared" si="90"/>
        <v>51382.363951439896</v>
      </c>
      <c r="AD198" s="78">
        <f t="shared" si="91"/>
        <v>57091.972233723893</v>
      </c>
      <c r="AE198" s="1">
        <f t="shared" si="92"/>
        <v>52461.393594420129</v>
      </c>
      <c r="AF198" s="78">
        <f t="shared" si="93"/>
        <v>58290.903650632092</v>
      </c>
      <c r="AG198" s="141">
        <f t="shared" si="94"/>
        <v>53143.391711147589</v>
      </c>
      <c r="AH198" s="140">
        <f t="shared" si="95"/>
        <v>59048.685398090303</v>
      </c>
      <c r="AI198" s="141">
        <f t="shared" si="96"/>
        <v>54206.259545370543</v>
      </c>
      <c r="AJ198" s="140">
        <f t="shared" si="97"/>
        <v>60229.65910605211</v>
      </c>
      <c r="AK198" s="141">
        <f t="shared" si="98"/>
        <v>55778.241072186283</v>
      </c>
      <c r="AL198" s="140">
        <f t="shared" si="99"/>
        <v>61976.319220127618</v>
      </c>
      <c r="AM198" s="141">
        <f t="shared" si="100"/>
        <v>59292.270259734018</v>
      </c>
      <c r="AN198" s="141">
        <f t="shared" si="101"/>
        <v>65880.827330995657</v>
      </c>
    </row>
    <row r="199" spans="2:40">
      <c r="B199" s="38" t="s">
        <v>285</v>
      </c>
      <c r="C199" s="39" t="s">
        <v>286</v>
      </c>
      <c r="D199" s="16">
        <v>35073.603326361597</v>
      </c>
      <c r="E199" s="17">
        <f t="shared" si="105"/>
        <v>36827.283492679679</v>
      </c>
      <c r="F199" s="57">
        <f>E199*1.045</f>
        <v>38484.511249850264</v>
      </c>
      <c r="G199" s="57">
        <f t="shared" ref="G199:G251" si="106">F199*1.0348</f>
        <v>39823.772241345054</v>
      </c>
      <c r="H199" s="57">
        <f t="shared" ref="H199:H251" si="107">G199*1.11112</f>
        <v>44248.989812803324</v>
      </c>
      <c r="I199" s="57">
        <f t="shared" ref="I199:J251" si="108">G199*1.027</f>
        <v>40899.014091861369</v>
      </c>
      <c r="J199" s="57">
        <f t="shared" si="108"/>
        <v>45443.712537749008</v>
      </c>
      <c r="K199" s="57">
        <f t="shared" ref="K199:L251" si="109">I199*1.024</f>
        <v>41880.59043006604</v>
      </c>
      <c r="L199" s="9">
        <f t="shared" si="109"/>
        <v>46534.361638654984</v>
      </c>
      <c r="M199" s="9">
        <f t="shared" ref="M199:N251" si="110">K199*1.027</f>
        <v>43011.366371677817</v>
      </c>
      <c r="N199" s="9">
        <f t="shared" si="110"/>
        <v>47790.789402898663</v>
      </c>
      <c r="O199" s="78">
        <f t="shared" ref="O199:P251" si="111">M199*1.022</f>
        <v>43957.616431854731</v>
      </c>
      <c r="P199" s="78">
        <f t="shared" si="111"/>
        <v>48842.186769762433</v>
      </c>
      <c r="Q199" s="1">
        <f t="shared" si="78"/>
        <v>45012.599226219245</v>
      </c>
      <c r="R199" s="78">
        <f t="shared" si="79"/>
        <v>50014.399252236733</v>
      </c>
      <c r="S199" s="1">
        <f t="shared" si="80"/>
        <v>46678.065397589351</v>
      </c>
      <c r="T199" s="78">
        <f t="shared" si="81"/>
        <v>51864.932024569491</v>
      </c>
      <c r="U199" s="1">
        <f t="shared" si="82"/>
        <v>47985.051228721852</v>
      </c>
      <c r="V199" s="99">
        <f t="shared" si="83"/>
        <v>53317.150121257437</v>
      </c>
      <c r="W199" s="78">
        <f t="shared" si="84"/>
        <v>48704.826997152675</v>
      </c>
      <c r="X199" s="78">
        <f t="shared" si="85"/>
        <v>54116.90737307629</v>
      </c>
      <c r="Y199" s="78">
        <f t="shared" si="86"/>
        <v>49484.104229107121</v>
      </c>
      <c r="Z199" s="78">
        <f t="shared" si="87"/>
        <v>54982.777891045509</v>
      </c>
      <c r="AA199" s="78">
        <f t="shared" si="88"/>
        <v>50424.302209460155</v>
      </c>
      <c r="AB199" s="78">
        <f t="shared" si="89"/>
        <v>56027.45067097537</v>
      </c>
      <c r="AC199" s="1">
        <f t="shared" si="90"/>
        <v>51382.363951439896</v>
      </c>
      <c r="AD199" s="78">
        <f t="shared" si="91"/>
        <v>57091.972233723893</v>
      </c>
      <c r="AE199" s="1">
        <f t="shared" si="92"/>
        <v>52461.393594420129</v>
      </c>
      <c r="AF199" s="78">
        <f t="shared" si="93"/>
        <v>58290.903650632092</v>
      </c>
      <c r="AG199" s="141">
        <f t="shared" si="94"/>
        <v>53143.391711147589</v>
      </c>
      <c r="AH199" s="140">
        <f t="shared" si="95"/>
        <v>59048.685398090303</v>
      </c>
      <c r="AI199" s="141">
        <f t="shared" si="96"/>
        <v>54206.259545370543</v>
      </c>
      <c r="AJ199" s="140">
        <f t="shared" si="97"/>
        <v>60229.65910605211</v>
      </c>
      <c r="AK199" s="141">
        <f t="shared" si="98"/>
        <v>55778.241072186283</v>
      </c>
      <c r="AL199" s="140">
        <f t="shared" si="99"/>
        <v>61976.319220127618</v>
      </c>
      <c r="AM199" s="141">
        <f t="shared" si="100"/>
        <v>59292.270259734018</v>
      </c>
      <c r="AN199" s="141">
        <f t="shared" si="101"/>
        <v>65880.827330995657</v>
      </c>
    </row>
    <row r="200" spans="2:40">
      <c r="B200" s="38" t="s">
        <v>287</v>
      </c>
      <c r="C200" s="39" t="s">
        <v>288</v>
      </c>
      <c r="D200" s="16">
        <v>11974.5495023616</v>
      </c>
      <c r="E200" s="17">
        <f t="shared" si="105"/>
        <v>12573.276977479682</v>
      </c>
      <c r="F200" s="57">
        <f>E200*1.045</f>
        <v>13139.074441466266</v>
      </c>
      <c r="G200" s="57">
        <f t="shared" si="106"/>
        <v>13596.314232029292</v>
      </c>
      <c r="H200" s="57">
        <f t="shared" si="107"/>
        <v>15107.136669492389</v>
      </c>
      <c r="I200" s="57">
        <f t="shared" si="108"/>
        <v>13963.414716294081</v>
      </c>
      <c r="J200" s="57">
        <f t="shared" si="108"/>
        <v>15515.029359568682</v>
      </c>
      <c r="K200" s="57">
        <f t="shared" si="109"/>
        <v>14298.536669485138</v>
      </c>
      <c r="L200" s="9">
        <f t="shared" si="109"/>
        <v>15887.390064198331</v>
      </c>
      <c r="M200" s="9">
        <f t="shared" si="110"/>
        <v>14684.597159561235</v>
      </c>
      <c r="N200" s="9">
        <f t="shared" si="110"/>
        <v>16316.349595931684</v>
      </c>
      <c r="O200" s="78">
        <f t="shared" si="111"/>
        <v>15007.658297071583</v>
      </c>
      <c r="P200" s="78">
        <f t="shared" si="111"/>
        <v>16675.309287042182</v>
      </c>
      <c r="Q200" s="1">
        <f t="shared" si="78"/>
        <v>15367.842096201301</v>
      </c>
      <c r="R200" s="78">
        <f t="shared" si="79"/>
        <v>17075.516709931195</v>
      </c>
      <c r="S200" s="1">
        <f t="shared" si="80"/>
        <v>15936.452253760748</v>
      </c>
      <c r="T200" s="78">
        <f t="shared" si="81"/>
        <v>17707.310828198646</v>
      </c>
      <c r="U200" s="1">
        <f t="shared" si="82"/>
        <v>16382.672916866049</v>
      </c>
      <c r="V200" s="99">
        <f t="shared" si="83"/>
        <v>18203.115531388208</v>
      </c>
      <c r="W200" s="78">
        <f t="shared" si="84"/>
        <v>16628.413010619039</v>
      </c>
      <c r="X200" s="78">
        <f t="shared" si="85"/>
        <v>18476.162264359031</v>
      </c>
      <c r="Y200" s="78">
        <f t="shared" si="86"/>
        <v>16894.467618788942</v>
      </c>
      <c r="Z200" s="78">
        <f t="shared" si="87"/>
        <v>18771.780860588777</v>
      </c>
      <c r="AA200" s="78">
        <f t="shared" si="88"/>
        <v>17215.462503545928</v>
      </c>
      <c r="AB200" s="78">
        <f t="shared" si="89"/>
        <v>19128.444696939961</v>
      </c>
      <c r="AC200" s="1">
        <f t="shared" si="90"/>
        <v>17542.556291113298</v>
      </c>
      <c r="AD200" s="78">
        <f t="shared" si="91"/>
        <v>19491.885146181819</v>
      </c>
      <c r="AE200" s="1">
        <f t="shared" si="92"/>
        <v>17910.949973226678</v>
      </c>
      <c r="AF200" s="78">
        <f t="shared" si="93"/>
        <v>19901.214734251636</v>
      </c>
      <c r="AG200" s="141">
        <f t="shared" si="94"/>
        <v>18143.792322878624</v>
      </c>
      <c r="AH200" s="140">
        <f t="shared" si="95"/>
        <v>20159.930525796906</v>
      </c>
      <c r="AI200" s="141">
        <f t="shared" si="96"/>
        <v>18506.668169336197</v>
      </c>
      <c r="AJ200" s="140">
        <f t="shared" si="97"/>
        <v>20563.129136312844</v>
      </c>
      <c r="AK200" s="141">
        <f t="shared" si="98"/>
        <v>19043.361546246946</v>
      </c>
      <c r="AL200" s="140">
        <f t="shared" si="99"/>
        <v>21159.459881265913</v>
      </c>
      <c r="AM200" s="141">
        <f t="shared" si="100"/>
        <v>20243.093323660501</v>
      </c>
      <c r="AN200" s="141">
        <f t="shared" si="101"/>
        <v>22492.505853785664</v>
      </c>
    </row>
    <row r="201" spans="2:40">
      <c r="B201" s="38" t="s">
        <v>289</v>
      </c>
      <c r="C201" s="39" t="s">
        <v>290</v>
      </c>
      <c r="D201" s="16">
        <v>11974.5495023616</v>
      </c>
      <c r="E201" s="17">
        <f t="shared" si="105"/>
        <v>12573.276977479682</v>
      </c>
      <c r="F201" s="57">
        <f>E201*1.045</f>
        <v>13139.074441466266</v>
      </c>
      <c r="G201" s="57">
        <f t="shared" si="106"/>
        <v>13596.314232029292</v>
      </c>
      <c r="H201" s="57">
        <f t="shared" si="107"/>
        <v>15107.136669492389</v>
      </c>
      <c r="I201" s="57">
        <f t="shared" si="108"/>
        <v>13963.414716294081</v>
      </c>
      <c r="J201" s="57">
        <f t="shared" si="108"/>
        <v>15515.029359568682</v>
      </c>
      <c r="K201" s="57">
        <f t="shared" si="109"/>
        <v>14298.536669485138</v>
      </c>
      <c r="L201" s="9">
        <f t="shared" si="109"/>
        <v>15887.390064198331</v>
      </c>
      <c r="M201" s="9">
        <f t="shared" si="110"/>
        <v>14684.597159561235</v>
      </c>
      <c r="N201" s="9">
        <f t="shared" si="110"/>
        <v>16316.349595931684</v>
      </c>
      <c r="O201" s="78">
        <f t="shared" si="111"/>
        <v>15007.658297071583</v>
      </c>
      <c r="P201" s="78">
        <f t="shared" si="111"/>
        <v>16675.309287042182</v>
      </c>
      <c r="Q201" s="1">
        <f t="shared" ref="Q201:Q264" si="112">O201*1.024</f>
        <v>15367.842096201301</v>
      </c>
      <c r="R201" s="78">
        <f t="shared" ref="R201:R264" si="113">P201*1.024</f>
        <v>17075.516709931195</v>
      </c>
      <c r="S201" s="1">
        <f t="shared" ref="S201:S264" si="114">Q201*1.037</f>
        <v>15936.452253760748</v>
      </c>
      <c r="T201" s="78">
        <f t="shared" ref="T201:T264" si="115">R201*1.037</f>
        <v>17707.310828198646</v>
      </c>
      <c r="U201" s="1">
        <f t="shared" ref="U201:U264" si="116">S201*1.028</f>
        <v>16382.672916866049</v>
      </c>
      <c r="V201" s="99">
        <f t="shared" ref="V201:V264" si="117">T201*1.028</f>
        <v>18203.115531388208</v>
      </c>
      <c r="W201" s="78">
        <f t="shared" ref="W201:W264" si="118">U201*1.015</f>
        <v>16628.413010619039</v>
      </c>
      <c r="X201" s="78">
        <f t="shared" ref="X201:X264" si="119">V201*1.015</f>
        <v>18476.162264359031</v>
      </c>
      <c r="Y201" s="78">
        <f t="shared" ref="Y201:Y264" si="120">W201*1.016</f>
        <v>16894.467618788942</v>
      </c>
      <c r="Z201" s="78">
        <f t="shared" ref="Z201:Z264" si="121">X201*1.016</f>
        <v>18771.780860588777</v>
      </c>
      <c r="AA201" s="78">
        <f t="shared" ref="AA201:AA264" si="122">Y201*1.019</f>
        <v>17215.462503545928</v>
      </c>
      <c r="AB201" s="78">
        <f t="shared" ref="AB201:AB264" si="123">Z201*1.019</f>
        <v>19128.444696939961</v>
      </c>
      <c r="AC201" s="1">
        <f t="shared" ref="AC201:AC264" si="124">AA201*1.019</f>
        <v>17542.556291113298</v>
      </c>
      <c r="AD201" s="78">
        <f t="shared" ref="AD201:AD264" si="125">AB201*1.019</f>
        <v>19491.885146181819</v>
      </c>
      <c r="AE201" s="1">
        <f t="shared" ref="AE201:AE264" si="126">AC201*1.021</f>
        <v>17910.949973226678</v>
      </c>
      <c r="AF201" s="78">
        <f t="shared" ref="AF201:AF264" si="127">AD201*1.021</f>
        <v>19901.214734251636</v>
      </c>
      <c r="AG201" s="141">
        <f t="shared" ref="AG201:AG264" si="128">AE201*1.013</f>
        <v>18143.792322878624</v>
      </c>
      <c r="AH201" s="140">
        <f t="shared" ref="AH201:AH264" si="129">AF201*1.013</f>
        <v>20159.930525796906</v>
      </c>
      <c r="AI201" s="141">
        <f t="shared" ref="AI201:AI264" si="130">AG201*1.02</f>
        <v>18506.668169336197</v>
      </c>
      <c r="AJ201" s="140">
        <f t="shared" ref="AJ201:AJ264" si="131">AH201*1.02</f>
        <v>20563.129136312844</v>
      </c>
      <c r="AK201" s="141">
        <f t="shared" ref="AK201:AK264" si="132">AI201*1.029</f>
        <v>19043.361546246946</v>
      </c>
      <c r="AL201" s="140">
        <f t="shared" ref="AL201:AL264" si="133">AJ201*1.029</f>
        <v>21159.459881265913</v>
      </c>
      <c r="AM201" s="141">
        <f t="shared" ref="AM201:AM264" si="134">AK201*1.063</f>
        <v>20243.093323660501</v>
      </c>
      <c r="AN201" s="141">
        <f t="shared" ref="AN201:AN264" si="135">AL201*1.063</f>
        <v>22492.505853785664</v>
      </c>
    </row>
    <row r="202" spans="2:40">
      <c r="B202" s="38" t="s">
        <v>291</v>
      </c>
      <c r="C202" s="39" t="s">
        <v>292</v>
      </c>
      <c r="D202" s="16">
        <v>35073.603326361597</v>
      </c>
      <c r="E202" s="17">
        <f t="shared" si="105"/>
        <v>36827.283492679679</v>
      </c>
      <c r="F202" s="57">
        <f>E202*1.045</f>
        <v>38484.511249850264</v>
      </c>
      <c r="G202" s="57">
        <f t="shared" si="106"/>
        <v>39823.772241345054</v>
      </c>
      <c r="H202" s="57">
        <f t="shared" si="107"/>
        <v>44248.989812803324</v>
      </c>
      <c r="I202" s="57">
        <f t="shared" si="108"/>
        <v>40899.014091861369</v>
      </c>
      <c r="J202" s="57">
        <f t="shared" si="108"/>
        <v>45443.712537749008</v>
      </c>
      <c r="K202" s="57">
        <f t="shared" si="109"/>
        <v>41880.59043006604</v>
      </c>
      <c r="L202" s="9">
        <f t="shared" si="109"/>
        <v>46534.361638654984</v>
      </c>
      <c r="M202" s="9">
        <f t="shared" si="110"/>
        <v>43011.366371677817</v>
      </c>
      <c r="N202" s="9">
        <f t="shared" si="110"/>
        <v>47790.789402898663</v>
      </c>
      <c r="O202" s="78">
        <f t="shared" si="111"/>
        <v>43957.616431854731</v>
      </c>
      <c r="P202" s="78">
        <f t="shared" si="111"/>
        <v>48842.186769762433</v>
      </c>
      <c r="Q202" s="1">
        <f t="shared" si="112"/>
        <v>45012.599226219245</v>
      </c>
      <c r="R202" s="78">
        <f t="shared" si="113"/>
        <v>50014.399252236733</v>
      </c>
      <c r="S202" s="1">
        <f t="shared" si="114"/>
        <v>46678.065397589351</v>
      </c>
      <c r="T202" s="78">
        <f t="shared" si="115"/>
        <v>51864.932024569491</v>
      </c>
      <c r="U202" s="1">
        <f t="shared" si="116"/>
        <v>47985.051228721852</v>
      </c>
      <c r="V202" s="99">
        <f t="shared" si="117"/>
        <v>53317.150121257437</v>
      </c>
      <c r="W202" s="78">
        <f t="shared" si="118"/>
        <v>48704.826997152675</v>
      </c>
      <c r="X202" s="78">
        <f t="shared" si="119"/>
        <v>54116.90737307629</v>
      </c>
      <c r="Y202" s="78">
        <f t="shared" si="120"/>
        <v>49484.104229107121</v>
      </c>
      <c r="Z202" s="78">
        <f t="shared" si="121"/>
        <v>54982.777891045509</v>
      </c>
      <c r="AA202" s="78">
        <f t="shared" si="122"/>
        <v>50424.302209460155</v>
      </c>
      <c r="AB202" s="78">
        <f t="shared" si="123"/>
        <v>56027.45067097537</v>
      </c>
      <c r="AC202" s="1">
        <f t="shared" si="124"/>
        <v>51382.363951439896</v>
      </c>
      <c r="AD202" s="78">
        <f t="shared" si="125"/>
        <v>57091.972233723893</v>
      </c>
      <c r="AE202" s="1">
        <f t="shared" si="126"/>
        <v>52461.393594420129</v>
      </c>
      <c r="AF202" s="78">
        <f t="shared" si="127"/>
        <v>58290.903650632092</v>
      </c>
      <c r="AG202" s="141">
        <f t="shared" si="128"/>
        <v>53143.391711147589</v>
      </c>
      <c r="AH202" s="140">
        <f t="shared" si="129"/>
        <v>59048.685398090303</v>
      </c>
      <c r="AI202" s="141">
        <f t="shared" si="130"/>
        <v>54206.259545370543</v>
      </c>
      <c r="AJ202" s="140">
        <f t="shared" si="131"/>
        <v>60229.65910605211</v>
      </c>
      <c r="AK202" s="141">
        <f t="shared" si="132"/>
        <v>55778.241072186283</v>
      </c>
      <c r="AL202" s="140">
        <f t="shared" si="133"/>
        <v>61976.319220127618</v>
      </c>
      <c r="AM202" s="141">
        <f t="shared" si="134"/>
        <v>59292.270259734018</v>
      </c>
      <c r="AN202" s="141">
        <f t="shared" si="135"/>
        <v>65880.827330995657</v>
      </c>
    </row>
    <row r="203" spans="2:40">
      <c r="B203" s="38" t="s">
        <v>293</v>
      </c>
      <c r="C203" s="39" t="s">
        <v>294</v>
      </c>
      <c r="D203" s="16">
        <v>35073.603326361597</v>
      </c>
      <c r="E203" s="17">
        <f t="shared" si="105"/>
        <v>36827.283492679679</v>
      </c>
      <c r="F203" s="57">
        <f>E203*1.045</f>
        <v>38484.511249850264</v>
      </c>
      <c r="G203" s="57">
        <f t="shared" si="106"/>
        <v>39823.772241345054</v>
      </c>
      <c r="H203" s="57">
        <f t="shared" si="107"/>
        <v>44248.989812803324</v>
      </c>
      <c r="I203" s="57">
        <f t="shared" si="108"/>
        <v>40899.014091861369</v>
      </c>
      <c r="J203" s="57">
        <f t="shared" si="108"/>
        <v>45443.712537749008</v>
      </c>
      <c r="K203" s="57">
        <f t="shared" si="109"/>
        <v>41880.59043006604</v>
      </c>
      <c r="L203" s="9">
        <f t="shared" si="109"/>
        <v>46534.361638654984</v>
      </c>
      <c r="M203" s="9">
        <f t="shared" si="110"/>
        <v>43011.366371677817</v>
      </c>
      <c r="N203" s="9">
        <f t="shared" si="110"/>
        <v>47790.789402898663</v>
      </c>
      <c r="O203" s="78">
        <f t="shared" si="111"/>
        <v>43957.616431854731</v>
      </c>
      <c r="P203" s="78">
        <f t="shared" si="111"/>
        <v>48842.186769762433</v>
      </c>
      <c r="Q203" s="1">
        <f t="shared" si="112"/>
        <v>45012.599226219245</v>
      </c>
      <c r="R203" s="78">
        <f t="shared" si="113"/>
        <v>50014.399252236733</v>
      </c>
      <c r="S203" s="1">
        <f t="shared" si="114"/>
        <v>46678.065397589351</v>
      </c>
      <c r="T203" s="78">
        <f t="shared" si="115"/>
        <v>51864.932024569491</v>
      </c>
      <c r="U203" s="1">
        <f t="shared" si="116"/>
        <v>47985.051228721852</v>
      </c>
      <c r="V203" s="99">
        <f t="shared" si="117"/>
        <v>53317.150121257437</v>
      </c>
      <c r="W203" s="78">
        <f t="shared" si="118"/>
        <v>48704.826997152675</v>
      </c>
      <c r="X203" s="78">
        <f t="shared" si="119"/>
        <v>54116.90737307629</v>
      </c>
      <c r="Y203" s="78">
        <f t="shared" si="120"/>
        <v>49484.104229107121</v>
      </c>
      <c r="Z203" s="78">
        <f t="shared" si="121"/>
        <v>54982.777891045509</v>
      </c>
      <c r="AA203" s="78">
        <f t="shared" si="122"/>
        <v>50424.302209460155</v>
      </c>
      <c r="AB203" s="78">
        <f t="shared" si="123"/>
        <v>56027.45067097537</v>
      </c>
      <c r="AC203" s="1">
        <f t="shared" si="124"/>
        <v>51382.363951439896</v>
      </c>
      <c r="AD203" s="78">
        <f t="shared" si="125"/>
        <v>57091.972233723893</v>
      </c>
      <c r="AE203" s="1">
        <f t="shared" si="126"/>
        <v>52461.393594420129</v>
      </c>
      <c r="AF203" s="78">
        <f t="shared" si="127"/>
        <v>58290.903650632092</v>
      </c>
      <c r="AG203" s="141">
        <f t="shared" si="128"/>
        <v>53143.391711147589</v>
      </c>
      <c r="AH203" s="140">
        <f t="shared" si="129"/>
        <v>59048.685398090303</v>
      </c>
      <c r="AI203" s="141">
        <f t="shared" si="130"/>
        <v>54206.259545370543</v>
      </c>
      <c r="AJ203" s="140">
        <f t="shared" si="131"/>
        <v>60229.65910605211</v>
      </c>
      <c r="AK203" s="141">
        <f t="shared" si="132"/>
        <v>55778.241072186283</v>
      </c>
      <c r="AL203" s="140">
        <f t="shared" si="133"/>
        <v>61976.319220127618</v>
      </c>
      <c r="AM203" s="141">
        <f t="shared" si="134"/>
        <v>59292.270259734018</v>
      </c>
      <c r="AN203" s="141">
        <f t="shared" si="135"/>
        <v>65880.827330995657</v>
      </c>
    </row>
    <row r="204" spans="2:40">
      <c r="B204" s="38" t="s">
        <v>295</v>
      </c>
      <c r="C204" s="39" t="s">
        <v>296</v>
      </c>
      <c r="D204" s="16">
        <v>35073.603326361597</v>
      </c>
      <c r="E204" s="17">
        <f t="shared" si="105"/>
        <v>36827.283492679679</v>
      </c>
      <c r="F204" s="57">
        <f>E204*1.045</f>
        <v>38484.511249850264</v>
      </c>
      <c r="G204" s="57">
        <f t="shared" si="106"/>
        <v>39823.772241345054</v>
      </c>
      <c r="H204" s="57">
        <f t="shared" si="107"/>
        <v>44248.989812803324</v>
      </c>
      <c r="I204" s="57">
        <f t="shared" si="108"/>
        <v>40899.014091861369</v>
      </c>
      <c r="J204" s="57">
        <f t="shared" si="108"/>
        <v>45443.712537749008</v>
      </c>
      <c r="K204" s="57">
        <f t="shared" si="109"/>
        <v>41880.59043006604</v>
      </c>
      <c r="L204" s="9">
        <f t="shared" si="109"/>
        <v>46534.361638654984</v>
      </c>
      <c r="M204" s="9">
        <f t="shared" si="110"/>
        <v>43011.366371677817</v>
      </c>
      <c r="N204" s="9">
        <f t="shared" si="110"/>
        <v>47790.789402898663</v>
      </c>
      <c r="O204" s="78">
        <f t="shared" si="111"/>
        <v>43957.616431854731</v>
      </c>
      <c r="P204" s="78">
        <f t="shared" si="111"/>
        <v>48842.186769762433</v>
      </c>
      <c r="Q204" s="1">
        <f t="shared" si="112"/>
        <v>45012.599226219245</v>
      </c>
      <c r="R204" s="78">
        <f t="shared" si="113"/>
        <v>50014.399252236733</v>
      </c>
      <c r="S204" s="1">
        <f t="shared" si="114"/>
        <v>46678.065397589351</v>
      </c>
      <c r="T204" s="78">
        <f t="shared" si="115"/>
        <v>51864.932024569491</v>
      </c>
      <c r="U204" s="1">
        <f t="shared" si="116"/>
        <v>47985.051228721852</v>
      </c>
      <c r="V204" s="99">
        <f t="shared" si="117"/>
        <v>53317.150121257437</v>
      </c>
      <c r="W204" s="78">
        <f t="shared" si="118"/>
        <v>48704.826997152675</v>
      </c>
      <c r="X204" s="78">
        <f t="shared" si="119"/>
        <v>54116.90737307629</v>
      </c>
      <c r="Y204" s="78">
        <f t="shared" si="120"/>
        <v>49484.104229107121</v>
      </c>
      <c r="Z204" s="78">
        <f t="shared" si="121"/>
        <v>54982.777891045509</v>
      </c>
      <c r="AA204" s="78">
        <f t="shared" si="122"/>
        <v>50424.302209460155</v>
      </c>
      <c r="AB204" s="78">
        <f t="shared" si="123"/>
        <v>56027.45067097537</v>
      </c>
      <c r="AC204" s="1">
        <f t="shared" si="124"/>
        <v>51382.363951439896</v>
      </c>
      <c r="AD204" s="78">
        <f t="shared" si="125"/>
        <v>57091.972233723893</v>
      </c>
      <c r="AE204" s="1">
        <f t="shared" si="126"/>
        <v>52461.393594420129</v>
      </c>
      <c r="AF204" s="78">
        <f t="shared" si="127"/>
        <v>58290.903650632092</v>
      </c>
      <c r="AG204" s="141">
        <f t="shared" si="128"/>
        <v>53143.391711147589</v>
      </c>
      <c r="AH204" s="140">
        <f t="shared" si="129"/>
        <v>59048.685398090303</v>
      </c>
      <c r="AI204" s="141">
        <f t="shared" si="130"/>
        <v>54206.259545370543</v>
      </c>
      <c r="AJ204" s="140">
        <f t="shared" si="131"/>
        <v>60229.65910605211</v>
      </c>
      <c r="AK204" s="141">
        <f t="shared" si="132"/>
        <v>55778.241072186283</v>
      </c>
      <c r="AL204" s="140">
        <f t="shared" si="133"/>
        <v>61976.319220127618</v>
      </c>
      <c r="AM204" s="141">
        <f t="shared" si="134"/>
        <v>59292.270259734018</v>
      </c>
      <c r="AN204" s="141">
        <f t="shared" si="135"/>
        <v>65880.827330995657</v>
      </c>
    </row>
    <row r="205" spans="2:40">
      <c r="B205" s="38" t="s">
        <v>297</v>
      </c>
      <c r="C205" s="39" t="s">
        <v>298</v>
      </c>
      <c r="D205" s="16">
        <v>35073.603326361597</v>
      </c>
      <c r="E205" s="17">
        <f t="shared" si="105"/>
        <v>36827.283492679679</v>
      </c>
      <c r="F205" s="57">
        <f>E205*1.045</f>
        <v>38484.511249850264</v>
      </c>
      <c r="G205" s="57">
        <f t="shared" si="106"/>
        <v>39823.772241345054</v>
      </c>
      <c r="H205" s="57">
        <f t="shared" si="107"/>
        <v>44248.989812803324</v>
      </c>
      <c r="I205" s="57">
        <f t="shared" si="108"/>
        <v>40899.014091861369</v>
      </c>
      <c r="J205" s="57">
        <f t="shared" si="108"/>
        <v>45443.712537749008</v>
      </c>
      <c r="K205" s="57">
        <f t="shared" si="109"/>
        <v>41880.59043006604</v>
      </c>
      <c r="L205" s="9">
        <f t="shared" si="109"/>
        <v>46534.361638654984</v>
      </c>
      <c r="M205" s="9">
        <f t="shared" si="110"/>
        <v>43011.366371677817</v>
      </c>
      <c r="N205" s="9">
        <f t="shared" si="110"/>
        <v>47790.789402898663</v>
      </c>
      <c r="O205" s="78">
        <f t="shared" si="111"/>
        <v>43957.616431854731</v>
      </c>
      <c r="P205" s="78">
        <f t="shared" si="111"/>
        <v>48842.186769762433</v>
      </c>
      <c r="Q205" s="1">
        <f t="shared" si="112"/>
        <v>45012.599226219245</v>
      </c>
      <c r="R205" s="78">
        <f t="shared" si="113"/>
        <v>50014.399252236733</v>
      </c>
      <c r="S205" s="1">
        <f t="shared" si="114"/>
        <v>46678.065397589351</v>
      </c>
      <c r="T205" s="78">
        <f t="shared" si="115"/>
        <v>51864.932024569491</v>
      </c>
      <c r="U205" s="1">
        <f t="shared" si="116"/>
        <v>47985.051228721852</v>
      </c>
      <c r="V205" s="99">
        <f t="shared" si="117"/>
        <v>53317.150121257437</v>
      </c>
      <c r="W205" s="78">
        <f t="shared" si="118"/>
        <v>48704.826997152675</v>
      </c>
      <c r="X205" s="78">
        <f t="shared" si="119"/>
        <v>54116.90737307629</v>
      </c>
      <c r="Y205" s="78">
        <f t="shared" si="120"/>
        <v>49484.104229107121</v>
      </c>
      <c r="Z205" s="78">
        <f t="shared" si="121"/>
        <v>54982.777891045509</v>
      </c>
      <c r="AA205" s="78">
        <f t="shared" si="122"/>
        <v>50424.302209460155</v>
      </c>
      <c r="AB205" s="78">
        <f t="shared" si="123"/>
        <v>56027.45067097537</v>
      </c>
      <c r="AC205" s="1">
        <f t="shared" si="124"/>
        <v>51382.363951439896</v>
      </c>
      <c r="AD205" s="78">
        <f t="shared" si="125"/>
        <v>57091.972233723893</v>
      </c>
      <c r="AE205" s="1">
        <f t="shared" si="126"/>
        <v>52461.393594420129</v>
      </c>
      <c r="AF205" s="78">
        <f t="shared" si="127"/>
        <v>58290.903650632092</v>
      </c>
      <c r="AG205" s="141">
        <f t="shared" si="128"/>
        <v>53143.391711147589</v>
      </c>
      <c r="AH205" s="140">
        <f t="shared" si="129"/>
        <v>59048.685398090303</v>
      </c>
      <c r="AI205" s="141">
        <f t="shared" si="130"/>
        <v>54206.259545370543</v>
      </c>
      <c r="AJ205" s="140">
        <f t="shared" si="131"/>
        <v>60229.65910605211</v>
      </c>
      <c r="AK205" s="141">
        <f t="shared" si="132"/>
        <v>55778.241072186283</v>
      </c>
      <c r="AL205" s="140">
        <f t="shared" si="133"/>
        <v>61976.319220127618</v>
      </c>
      <c r="AM205" s="141">
        <f t="shared" si="134"/>
        <v>59292.270259734018</v>
      </c>
      <c r="AN205" s="141">
        <f t="shared" si="135"/>
        <v>65880.827330995657</v>
      </c>
    </row>
    <row r="206" spans="2:40">
      <c r="B206" s="40" t="s">
        <v>299</v>
      </c>
      <c r="C206" s="41" t="s">
        <v>300</v>
      </c>
      <c r="D206" s="54">
        <v>39120.557556326399</v>
      </c>
      <c r="E206" s="55">
        <f t="shared" si="105"/>
        <v>41076.585434142718</v>
      </c>
      <c r="F206" s="75">
        <f>E206*1.045</f>
        <v>42925.031778679135</v>
      </c>
      <c r="G206" s="75">
        <f t="shared" si="106"/>
        <v>44418.822884577166</v>
      </c>
      <c r="H206" s="75">
        <f t="shared" si="107"/>
        <v>49354.642483511387</v>
      </c>
      <c r="I206" s="75">
        <f t="shared" si="108"/>
        <v>45618.131102460749</v>
      </c>
      <c r="J206" s="75">
        <f t="shared" si="108"/>
        <v>50687.217830566187</v>
      </c>
      <c r="K206" s="75">
        <f t="shared" si="109"/>
        <v>46712.966248919809</v>
      </c>
      <c r="L206" s="71">
        <f t="shared" si="109"/>
        <v>51903.711058499779</v>
      </c>
      <c r="M206" s="71">
        <f t="shared" si="110"/>
        <v>47974.216337640639</v>
      </c>
      <c r="N206" s="71">
        <f t="shared" si="110"/>
        <v>53305.111257079268</v>
      </c>
      <c r="O206" s="79">
        <f t="shared" si="111"/>
        <v>49029.649097068737</v>
      </c>
      <c r="P206" s="79">
        <f t="shared" si="111"/>
        <v>54477.823704735012</v>
      </c>
      <c r="Q206" s="100">
        <f t="shared" si="112"/>
        <v>50206.360675398391</v>
      </c>
      <c r="R206" s="79">
        <f t="shared" si="113"/>
        <v>55785.291473648656</v>
      </c>
      <c r="S206" s="100">
        <f t="shared" si="114"/>
        <v>52063.996020388127</v>
      </c>
      <c r="T206" s="79">
        <f t="shared" si="115"/>
        <v>57849.34725817365</v>
      </c>
      <c r="U206" s="100">
        <f t="shared" si="116"/>
        <v>53521.787908958999</v>
      </c>
      <c r="V206" s="119">
        <f t="shared" si="117"/>
        <v>59469.128981402515</v>
      </c>
      <c r="W206" s="79">
        <f t="shared" si="118"/>
        <v>54324.614727593376</v>
      </c>
      <c r="X206" s="79">
        <f t="shared" si="119"/>
        <v>60361.165916123544</v>
      </c>
      <c r="Y206" s="79">
        <f t="shared" si="120"/>
        <v>55193.808563234874</v>
      </c>
      <c r="Z206" s="79">
        <f t="shared" si="121"/>
        <v>61326.944570781525</v>
      </c>
      <c r="AA206" s="79">
        <f t="shared" si="122"/>
        <v>56242.490925936334</v>
      </c>
      <c r="AB206" s="79">
        <f t="shared" si="123"/>
        <v>62492.156517626368</v>
      </c>
      <c r="AC206" s="100">
        <f t="shared" si="124"/>
        <v>57311.098253529119</v>
      </c>
      <c r="AD206" s="79">
        <f t="shared" si="125"/>
        <v>63679.507491461263</v>
      </c>
      <c r="AE206" s="100">
        <f t="shared" si="126"/>
        <v>58514.631316853222</v>
      </c>
      <c r="AF206" s="79">
        <f t="shared" si="127"/>
        <v>65016.777148781941</v>
      </c>
      <c r="AG206" s="142">
        <f t="shared" si="128"/>
        <v>59275.321523972307</v>
      </c>
      <c r="AH206" s="174">
        <f t="shared" si="129"/>
        <v>65861.9952517161</v>
      </c>
      <c r="AI206" s="142">
        <f t="shared" si="130"/>
        <v>60460.827954451757</v>
      </c>
      <c r="AJ206" s="174">
        <f t="shared" si="131"/>
        <v>67179.235156750423</v>
      </c>
      <c r="AK206" s="142">
        <f t="shared" si="132"/>
        <v>62214.191965130856</v>
      </c>
      <c r="AL206" s="174">
        <f t="shared" si="133"/>
        <v>69127.432976296186</v>
      </c>
      <c r="AM206" s="142">
        <f t="shared" si="134"/>
        <v>66133.686058934094</v>
      </c>
      <c r="AN206" s="142">
        <f t="shared" si="135"/>
        <v>73482.461253802845</v>
      </c>
    </row>
    <row r="207" spans="2:40" ht="15" customHeight="1">
      <c r="B207" s="180" t="s">
        <v>301</v>
      </c>
      <c r="C207" s="181"/>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2"/>
      <c r="AH207" s="182"/>
      <c r="AI207" s="182"/>
      <c r="AJ207" s="182"/>
      <c r="AK207" s="180"/>
      <c r="AL207" s="183"/>
      <c r="AM207" s="183"/>
      <c r="AN207" s="181"/>
    </row>
    <row r="208" spans="2:40">
      <c r="B208" s="156">
        <v>310102</v>
      </c>
      <c r="C208" s="27" t="s">
        <v>302</v>
      </c>
      <c r="D208" s="112">
        <v>17000</v>
      </c>
      <c r="E208" s="118">
        <f t="shared" si="105"/>
        <v>17850</v>
      </c>
      <c r="F208" s="70">
        <f>E208*1.045</f>
        <v>18653.25</v>
      </c>
      <c r="G208" s="70">
        <f t="shared" si="106"/>
        <v>19302.383099999999</v>
      </c>
      <c r="H208" s="70">
        <f t="shared" si="107"/>
        <v>21447.263910072001</v>
      </c>
      <c r="I208" s="70">
        <f t="shared" si="108"/>
        <v>19823.547443699998</v>
      </c>
      <c r="J208" s="70">
        <f t="shared" si="108"/>
        <v>22026.340035643942</v>
      </c>
      <c r="K208" s="70">
        <f t="shared" si="109"/>
        <v>20299.312582348797</v>
      </c>
      <c r="L208" s="58">
        <f t="shared" si="109"/>
        <v>22554.972196499395</v>
      </c>
      <c r="M208" s="58">
        <f t="shared" si="110"/>
        <v>20847.394022072214</v>
      </c>
      <c r="N208" s="58">
        <f t="shared" si="110"/>
        <v>23163.956445804877</v>
      </c>
      <c r="O208" s="80">
        <f t="shared" si="111"/>
        <v>21306.036690557805</v>
      </c>
      <c r="P208" s="80">
        <f t="shared" si="111"/>
        <v>23673.563487612584</v>
      </c>
      <c r="Q208" s="101">
        <f t="shared" si="112"/>
        <v>21817.381571131191</v>
      </c>
      <c r="R208" s="80">
        <f t="shared" si="113"/>
        <v>24241.729011315285</v>
      </c>
      <c r="S208" s="101">
        <f t="shared" si="114"/>
        <v>22624.624689263044</v>
      </c>
      <c r="T208" s="80">
        <f t="shared" si="115"/>
        <v>25138.672984733948</v>
      </c>
      <c r="U208" s="101">
        <f t="shared" si="116"/>
        <v>23258.11418056241</v>
      </c>
      <c r="V208" s="114">
        <f t="shared" si="117"/>
        <v>25842.5558283065</v>
      </c>
      <c r="W208" s="80">
        <f t="shared" si="118"/>
        <v>23606.985893270845</v>
      </c>
      <c r="X208" s="80">
        <f t="shared" si="119"/>
        <v>26230.194165731096</v>
      </c>
      <c r="Y208" s="80">
        <f t="shared" si="120"/>
        <v>23984.697667563178</v>
      </c>
      <c r="Z208" s="80">
        <f t="shared" si="121"/>
        <v>26649.877272382793</v>
      </c>
      <c r="AA208" s="80">
        <f t="shared" si="122"/>
        <v>24440.406923246876</v>
      </c>
      <c r="AB208" s="80">
        <f t="shared" si="123"/>
        <v>27156.224940558062</v>
      </c>
      <c r="AC208" s="101">
        <f t="shared" si="124"/>
        <v>24904.774654788565</v>
      </c>
      <c r="AD208" s="80">
        <f t="shared" si="125"/>
        <v>27672.193214428662</v>
      </c>
      <c r="AE208" s="101">
        <f t="shared" si="126"/>
        <v>25427.774922539124</v>
      </c>
      <c r="AF208" s="80">
        <f t="shared" si="127"/>
        <v>28253.309271931663</v>
      </c>
      <c r="AG208" s="143">
        <f t="shared" si="128"/>
        <v>25758.335996532129</v>
      </c>
      <c r="AH208" s="152">
        <f t="shared" si="129"/>
        <v>28620.60229246677</v>
      </c>
      <c r="AI208" s="143">
        <f t="shared" si="130"/>
        <v>26273.502716462772</v>
      </c>
      <c r="AJ208" s="152">
        <f t="shared" si="131"/>
        <v>29193.014338316105</v>
      </c>
      <c r="AK208" s="143">
        <f t="shared" si="132"/>
        <v>27035.434295240189</v>
      </c>
      <c r="AL208" s="152">
        <f t="shared" si="133"/>
        <v>30039.611754127269</v>
      </c>
      <c r="AM208" s="143">
        <f t="shared" si="134"/>
        <v>28738.666655840319</v>
      </c>
      <c r="AN208" s="143">
        <f t="shared" si="135"/>
        <v>31932.107294637284</v>
      </c>
    </row>
    <row r="209" spans="2:40">
      <c r="B209" s="19">
        <v>310103</v>
      </c>
      <c r="C209" s="18" t="s">
        <v>303</v>
      </c>
      <c r="D209" s="16">
        <v>21250</v>
      </c>
      <c r="E209" s="17">
        <f t="shared" si="105"/>
        <v>22312.5</v>
      </c>
      <c r="F209" s="57">
        <f>E209*1.045</f>
        <v>23316.5625</v>
      </c>
      <c r="G209" s="57">
        <f t="shared" si="106"/>
        <v>24127.978874999997</v>
      </c>
      <c r="H209" s="57">
        <f t="shared" si="107"/>
        <v>26809.07988759</v>
      </c>
      <c r="I209" s="57">
        <f t="shared" si="108"/>
        <v>24779.434304624996</v>
      </c>
      <c r="J209" s="57">
        <f t="shared" si="108"/>
        <v>27532.925044554926</v>
      </c>
      <c r="K209" s="57">
        <f t="shared" si="109"/>
        <v>25374.140727935996</v>
      </c>
      <c r="L209" s="9">
        <f t="shared" si="109"/>
        <v>28193.715245624244</v>
      </c>
      <c r="M209" s="9">
        <f t="shared" si="110"/>
        <v>26059.242527590264</v>
      </c>
      <c r="N209" s="9">
        <f t="shared" si="110"/>
        <v>28954.945557256095</v>
      </c>
      <c r="O209" s="78">
        <f t="shared" si="111"/>
        <v>26632.545863197251</v>
      </c>
      <c r="P209" s="78">
        <f t="shared" si="111"/>
        <v>29591.95435951573</v>
      </c>
      <c r="Q209" s="1">
        <f t="shared" si="112"/>
        <v>27271.726963913985</v>
      </c>
      <c r="R209" s="78">
        <f t="shared" si="113"/>
        <v>30302.16126414411</v>
      </c>
      <c r="S209" s="1">
        <f t="shared" si="114"/>
        <v>28280.780861578802</v>
      </c>
      <c r="T209" s="78">
        <f t="shared" si="115"/>
        <v>31423.341230917438</v>
      </c>
      <c r="U209" s="1">
        <f t="shared" si="116"/>
        <v>29072.642725703008</v>
      </c>
      <c r="V209" s="99">
        <f t="shared" si="117"/>
        <v>32303.194785383126</v>
      </c>
      <c r="W209" s="78">
        <f t="shared" si="118"/>
        <v>29508.732366588549</v>
      </c>
      <c r="X209" s="78">
        <f t="shared" si="119"/>
        <v>32787.742707163867</v>
      </c>
      <c r="Y209" s="78">
        <f t="shared" si="120"/>
        <v>29980.872084453968</v>
      </c>
      <c r="Z209" s="78">
        <f t="shared" si="121"/>
        <v>33312.34659047849</v>
      </c>
      <c r="AA209" s="78">
        <f t="shared" si="122"/>
        <v>30550.508654058591</v>
      </c>
      <c r="AB209" s="78">
        <f t="shared" si="123"/>
        <v>33945.281175697579</v>
      </c>
      <c r="AC209" s="1">
        <f t="shared" si="124"/>
        <v>31130.968318485702</v>
      </c>
      <c r="AD209" s="78">
        <f t="shared" si="125"/>
        <v>34590.241518035829</v>
      </c>
      <c r="AE209" s="1">
        <f t="shared" si="126"/>
        <v>31784.718653173899</v>
      </c>
      <c r="AF209" s="78">
        <f t="shared" si="127"/>
        <v>35316.636589914582</v>
      </c>
      <c r="AG209" s="141">
        <f t="shared" si="128"/>
        <v>32197.919995665157</v>
      </c>
      <c r="AH209" s="140">
        <f t="shared" si="129"/>
        <v>35775.752865583469</v>
      </c>
      <c r="AI209" s="141">
        <f t="shared" si="130"/>
        <v>32841.87839557846</v>
      </c>
      <c r="AJ209" s="140">
        <f t="shared" si="131"/>
        <v>36491.267922895138</v>
      </c>
      <c r="AK209" s="141">
        <f t="shared" si="132"/>
        <v>33794.29286905023</v>
      </c>
      <c r="AL209" s="140">
        <f t="shared" si="133"/>
        <v>37549.514692659097</v>
      </c>
      <c r="AM209" s="141">
        <f t="shared" si="134"/>
        <v>35923.333319800397</v>
      </c>
      <c r="AN209" s="141">
        <f t="shared" si="135"/>
        <v>39915.134118296621</v>
      </c>
    </row>
    <row r="210" spans="2:40">
      <c r="B210" s="19">
        <v>310109</v>
      </c>
      <c r="C210" s="18" t="s">
        <v>304</v>
      </c>
      <c r="D210" s="16">
        <v>11050</v>
      </c>
      <c r="E210" s="17">
        <f t="shared" si="105"/>
        <v>11602.5</v>
      </c>
      <c r="F210" s="57">
        <f>E210*1.045</f>
        <v>12124.612499999999</v>
      </c>
      <c r="G210" s="57">
        <f t="shared" si="106"/>
        <v>12546.549014999999</v>
      </c>
      <c r="H210" s="57">
        <f t="shared" si="107"/>
        <v>13940.7215415468</v>
      </c>
      <c r="I210" s="57">
        <f t="shared" si="108"/>
        <v>12885.305838404998</v>
      </c>
      <c r="J210" s="57">
        <f t="shared" si="108"/>
        <v>14317.121023168562</v>
      </c>
      <c r="K210" s="57">
        <f t="shared" si="109"/>
        <v>13194.553178526718</v>
      </c>
      <c r="L210" s="9">
        <f t="shared" si="109"/>
        <v>14660.731927724608</v>
      </c>
      <c r="M210" s="9">
        <f t="shared" si="110"/>
        <v>13550.806114346939</v>
      </c>
      <c r="N210" s="9">
        <f t="shared" si="110"/>
        <v>15056.571689773171</v>
      </c>
      <c r="O210" s="78">
        <f t="shared" si="111"/>
        <v>13848.923848862571</v>
      </c>
      <c r="P210" s="78">
        <f t="shared" si="111"/>
        <v>15387.816266948181</v>
      </c>
      <c r="Q210" s="1">
        <f t="shared" si="112"/>
        <v>14181.298021235272</v>
      </c>
      <c r="R210" s="78">
        <f t="shared" si="113"/>
        <v>15757.123857354938</v>
      </c>
      <c r="S210" s="1">
        <f t="shared" si="114"/>
        <v>14706.006048020976</v>
      </c>
      <c r="T210" s="78">
        <f t="shared" si="115"/>
        <v>16340.137440077069</v>
      </c>
      <c r="U210" s="1">
        <f t="shared" si="116"/>
        <v>15117.774217365564</v>
      </c>
      <c r="V210" s="99">
        <f t="shared" si="117"/>
        <v>16797.661288399227</v>
      </c>
      <c r="W210" s="78">
        <f t="shared" si="118"/>
        <v>15344.540830626047</v>
      </c>
      <c r="X210" s="78">
        <f t="shared" si="119"/>
        <v>17049.626207725214</v>
      </c>
      <c r="Y210" s="78">
        <f t="shared" si="120"/>
        <v>15590.053483916065</v>
      </c>
      <c r="Z210" s="78">
        <f t="shared" si="121"/>
        <v>17322.420227048817</v>
      </c>
      <c r="AA210" s="78">
        <f t="shared" si="122"/>
        <v>15886.264500110468</v>
      </c>
      <c r="AB210" s="78">
        <f t="shared" si="123"/>
        <v>17651.546211362744</v>
      </c>
      <c r="AC210" s="1">
        <f t="shared" si="124"/>
        <v>16188.103525612565</v>
      </c>
      <c r="AD210" s="78">
        <f t="shared" si="125"/>
        <v>17986.925589378636</v>
      </c>
      <c r="AE210" s="1">
        <f t="shared" si="126"/>
        <v>16528.053699650427</v>
      </c>
      <c r="AF210" s="78">
        <f t="shared" si="127"/>
        <v>18364.651026755586</v>
      </c>
      <c r="AG210" s="141">
        <f t="shared" si="128"/>
        <v>16742.918397745882</v>
      </c>
      <c r="AH210" s="140">
        <f t="shared" si="129"/>
        <v>18603.391490103408</v>
      </c>
      <c r="AI210" s="141">
        <f t="shared" si="130"/>
        <v>17077.776765700801</v>
      </c>
      <c r="AJ210" s="140">
        <f t="shared" si="131"/>
        <v>18975.459319905476</v>
      </c>
      <c r="AK210" s="141">
        <f t="shared" si="132"/>
        <v>17573.032291906122</v>
      </c>
      <c r="AL210" s="140">
        <f t="shared" si="133"/>
        <v>19525.747640182733</v>
      </c>
      <c r="AM210" s="141">
        <f t="shared" si="134"/>
        <v>18680.133326296207</v>
      </c>
      <c r="AN210" s="141">
        <f t="shared" si="135"/>
        <v>20755.869741514245</v>
      </c>
    </row>
    <row r="211" spans="2:40">
      <c r="B211" s="19">
        <v>310126</v>
      </c>
      <c r="C211" s="18" t="s">
        <v>305</v>
      </c>
      <c r="D211" s="16">
        <v>11050</v>
      </c>
      <c r="E211" s="17">
        <f t="shared" si="105"/>
        <v>11602.5</v>
      </c>
      <c r="F211" s="57">
        <f>E211*1.045</f>
        <v>12124.612499999999</v>
      </c>
      <c r="G211" s="57">
        <f t="shared" si="106"/>
        <v>12546.549014999999</v>
      </c>
      <c r="H211" s="57">
        <f t="shared" si="107"/>
        <v>13940.7215415468</v>
      </c>
      <c r="I211" s="57">
        <f t="shared" si="108"/>
        <v>12885.305838404998</v>
      </c>
      <c r="J211" s="57">
        <f t="shared" si="108"/>
        <v>14317.121023168562</v>
      </c>
      <c r="K211" s="57">
        <f t="shared" si="109"/>
        <v>13194.553178526718</v>
      </c>
      <c r="L211" s="9">
        <f t="shared" si="109"/>
        <v>14660.731927724608</v>
      </c>
      <c r="M211" s="9">
        <f t="shared" si="110"/>
        <v>13550.806114346939</v>
      </c>
      <c r="N211" s="9">
        <f t="shared" si="110"/>
        <v>15056.571689773171</v>
      </c>
      <c r="O211" s="78">
        <f t="shared" si="111"/>
        <v>13848.923848862571</v>
      </c>
      <c r="P211" s="78">
        <f t="shared" si="111"/>
        <v>15387.816266948181</v>
      </c>
      <c r="Q211" s="1">
        <f t="shared" si="112"/>
        <v>14181.298021235272</v>
      </c>
      <c r="R211" s="78">
        <f t="shared" si="113"/>
        <v>15757.123857354938</v>
      </c>
      <c r="S211" s="1">
        <f t="shared" si="114"/>
        <v>14706.006048020976</v>
      </c>
      <c r="T211" s="78">
        <f t="shared" si="115"/>
        <v>16340.137440077069</v>
      </c>
      <c r="U211" s="1">
        <f t="shared" si="116"/>
        <v>15117.774217365564</v>
      </c>
      <c r="V211" s="99">
        <f t="shared" si="117"/>
        <v>16797.661288399227</v>
      </c>
      <c r="W211" s="78">
        <f t="shared" si="118"/>
        <v>15344.540830626047</v>
      </c>
      <c r="X211" s="78">
        <f t="shared" si="119"/>
        <v>17049.626207725214</v>
      </c>
      <c r="Y211" s="78">
        <f t="shared" si="120"/>
        <v>15590.053483916065</v>
      </c>
      <c r="Z211" s="78">
        <f t="shared" si="121"/>
        <v>17322.420227048817</v>
      </c>
      <c r="AA211" s="78">
        <f t="shared" si="122"/>
        <v>15886.264500110468</v>
      </c>
      <c r="AB211" s="78">
        <f t="shared" si="123"/>
        <v>17651.546211362744</v>
      </c>
      <c r="AC211" s="1">
        <f t="shared" si="124"/>
        <v>16188.103525612565</v>
      </c>
      <c r="AD211" s="78">
        <f t="shared" si="125"/>
        <v>17986.925589378636</v>
      </c>
      <c r="AE211" s="1">
        <f t="shared" si="126"/>
        <v>16528.053699650427</v>
      </c>
      <c r="AF211" s="78">
        <f t="shared" si="127"/>
        <v>18364.651026755586</v>
      </c>
      <c r="AG211" s="141">
        <f t="shared" si="128"/>
        <v>16742.918397745882</v>
      </c>
      <c r="AH211" s="140">
        <f t="shared" si="129"/>
        <v>18603.391490103408</v>
      </c>
      <c r="AI211" s="141">
        <f t="shared" si="130"/>
        <v>17077.776765700801</v>
      </c>
      <c r="AJ211" s="140">
        <f t="shared" si="131"/>
        <v>18975.459319905476</v>
      </c>
      <c r="AK211" s="141">
        <f t="shared" si="132"/>
        <v>17573.032291906122</v>
      </c>
      <c r="AL211" s="140">
        <f t="shared" si="133"/>
        <v>19525.747640182733</v>
      </c>
      <c r="AM211" s="141">
        <f t="shared" si="134"/>
        <v>18680.133326296207</v>
      </c>
      <c r="AN211" s="141">
        <f t="shared" si="135"/>
        <v>20755.869741514245</v>
      </c>
    </row>
    <row r="212" spans="2:40">
      <c r="B212" s="19">
        <v>317128</v>
      </c>
      <c r="C212" s="18" t="s">
        <v>306</v>
      </c>
      <c r="D212" s="16">
        <v>11050</v>
      </c>
      <c r="E212" s="17">
        <f t="shared" si="105"/>
        <v>11602.5</v>
      </c>
      <c r="F212" s="57">
        <f>E212*1.045</f>
        <v>12124.612499999999</v>
      </c>
      <c r="G212" s="57">
        <f t="shared" si="106"/>
        <v>12546.549014999999</v>
      </c>
      <c r="H212" s="57">
        <f t="shared" si="107"/>
        <v>13940.7215415468</v>
      </c>
      <c r="I212" s="57">
        <f t="shared" si="108"/>
        <v>12885.305838404998</v>
      </c>
      <c r="J212" s="57">
        <f t="shared" si="108"/>
        <v>14317.121023168562</v>
      </c>
      <c r="K212" s="57">
        <f t="shared" si="109"/>
        <v>13194.553178526718</v>
      </c>
      <c r="L212" s="9">
        <f t="shared" si="109"/>
        <v>14660.731927724608</v>
      </c>
      <c r="M212" s="9">
        <f t="shared" si="110"/>
        <v>13550.806114346939</v>
      </c>
      <c r="N212" s="9">
        <f t="shared" si="110"/>
        <v>15056.571689773171</v>
      </c>
      <c r="O212" s="78">
        <f t="shared" si="111"/>
        <v>13848.923848862571</v>
      </c>
      <c r="P212" s="78">
        <f t="shared" si="111"/>
        <v>15387.816266948181</v>
      </c>
      <c r="Q212" s="1">
        <f t="shared" si="112"/>
        <v>14181.298021235272</v>
      </c>
      <c r="R212" s="78">
        <f t="shared" si="113"/>
        <v>15757.123857354938</v>
      </c>
      <c r="S212" s="1">
        <f t="shared" si="114"/>
        <v>14706.006048020976</v>
      </c>
      <c r="T212" s="78">
        <f t="shared" si="115"/>
        <v>16340.137440077069</v>
      </c>
      <c r="U212" s="1">
        <f t="shared" si="116"/>
        <v>15117.774217365564</v>
      </c>
      <c r="V212" s="99">
        <f t="shared" si="117"/>
        <v>16797.661288399227</v>
      </c>
      <c r="W212" s="78">
        <f t="shared" si="118"/>
        <v>15344.540830626047</v>
      </c>
      <c r="X212" s="78">
        <f t="shared" si="119"/>
        <v>17049.626207725214</v>
      </c>
      <c r="Y212" s="78">
        <f t="shared" si="120"/>
        <v>15590.053483916065</v>
      </c>
      <c r="Z212" s="78">
        <f t="shared" si="121"/>
        <v>17322.420227048817</v>
      </c>
      <c r="AA212" s="78">
        <f t="shared" si="122"/>
        <v>15886.264500110468</v>
      </c>
      <c r="AB212" s="78">
        <f t="shared" si="123"/>
        <v>17651.546211362744</v>
      </c>
      <c r="AC212" s="1">
        <f t="shared" si="124"/>
        <v>16188.103525612565</v>
      </c>
      <c r="AD212" s="78">
        <f t="shared" si="125"/>
        <v>17986.925589378636</v>
      </c>
      <c r="AE212" s="1">
        <f t="shared" si="126"/>
        <v>16528.053699650427</v>
      </c>
      <c r="AF212" s="78">
        <f t="shared" si="127"/>
        <v>18364.651026755586</v>
      </c>
      <c r="AG212" s="141">
        <f t="shared" si="128"/>
        <v>16742.918397745882</v>
      </c>
      <c r="AH212" s="140">
        <f t="shared" si="129"/>
        <v>18603.391490103408</v>
      </c>
      <c r="AI212" s="141">
        <f t="shared" si="130"/>
        <v>17077.776765700801</v>
      </c>
      <c r="AJ212" s="140">
        <f t="shared" si="131"/>
        <v>18975.459319905476</v>
      </c>
      <c r="AK212" s="141">
        <f t="shared" si="132"/>
        <v>17573.032291906122</v>
      </c>
      <c r="AL212" s="140">
        <f t="shared" si="133"/>
        <v>19525.747640182733</v>
      </c>
      <c r="AM212" s="141">
        <f t="shared" si="134"/>
        <v>18680.133326296207</v>
      </c>
      <c r="AN212" s="141">
        <f t="shared" si="135"/>
        <v>20755.869741514245</v>
      </c>
    </row>
    <row r="213" spans="2:40">
      <c r="B213" s="19">
        <v>310106</v>
      </c>
      <c r="C213" s="18" t="s">
        <v>307</v>
      </c>
      <c r="D213" s="16">
        <v>21250</v>
      </c>
      <c r="E213" s="17">
        <f t="shared" si="105"/>
        <v>22312.5</v>
      </c>
      <c r="F213" s="57">
        <f>E213*1.045</f>
        <v>23316.5625</v>
      </c>
      <c r="G213" s="57">
        <f t="shared" si="106"/>
        <v>24127.978874999997</v>
      </c>
      <c r="H213" s="57">
        <f t="shared" si="107"/>
        <v>26809.07988759</v>
      </c>
      <c r="I213" s="57">
        <f t="shared" si="108"/>
        <v>24779.434304624996</v>
      </c>
      <c r="J213" s="57">
        <f t="shared" si="108"/>
        <v>27532.925044554926</v>
      </c>
      <c r="K213" s="57">
        <f t="shared" si="109"/>
        <v>25374.140727935996</v>
      </c>
      <c r="L213" s="9">
        <f t="shared" si="109"/>
        <v>28193.715245624244</v>
      </c>
      <c r="M213" s="9">
        <f t="shared" si="110"/>
        <v>26059.242527590264</v>
      </c>
      <c r="N213" s="9">
        <f t="shared" si="110"/>
        <v>28954.945557256095</v>
      </c>
      <c r="O213" s="78">
        <f t="shared" si="111"/>
        <v>26632.545863197251</v>
      </c>
      <c r="P213" s="78">
        <f t="shared" si="111"/>
        <v>29591.95435951573</v>
      </c>
      <c r="Q213" s="1">
        <f t="shared" si="112"/>
        <v>27271.726963913985</v>
      </c>
      <c r="R213" s="78">
        <f t="shared" si="113"/>
        <v>30302.16126414411</v>
      </c>
      <c r="S213" s="1">
        <f t="shared" si="114"/>
        <v>28280.780861578802</v>
      </c>
      <c r="T213" s="78">
        <f t="shared" si="115"/>
        <v>31423.341230917438</v>
      </c>
      <c r="U213" s="1">
        <f t="shared" si="116"/>
        <v>29072.642725703008</v>
      </c>
      <c r="V213" s="99">
        <f t="shared" si="117"/>
        <v>32303.194785383126</v>
      </c>
      <c r="W213" s="78">
        <f t="shared" si="118"/>
        <v>29508.732366588549</v>
      </c>
      <c r="X213" s="78">
        <f t="shared" si="119"/>
        <v>32787.742707163867</v>
      </c>
      <c r="Y213" s="78">
        <f t="shared" si="120"/>
        <v>29980.872084453968</v>
      </c>
      <c r="Z213" s="78">
        <f t="shared" si="121"/>
        <v>33312.34659047849</v>
      </c>
      <c r="AA213" s="78">
        <f t="shared" si="122"/>
        <v>30550.508654058591</v>
      </c>
      <c r="AB213" s="78">
        <f t="shared" si="123"/>
        <v>33945.281175697579</v>
      </c>
      <c r="AC213" s="1">
        <f t="shared" si="124"/>
        <v>31130.968318485702</v>
      </c>
      <c r="AD213" s="78">
        <f t="shared" si="125"/>
        <v>34590.241518035829</v>
      </c>
      <c r="AE213" s="1">
        <f t="shared" si="126"/>
        <v>31784.718653173899</v>
      </c>
      <c r="AF213" s="78">
        <f t="shared" si="127"/>
        <v>35316.636589914582</v>
      </c>
      <c r="AG213" s="141">
        <f t="shared" si="128"/>
        <v>32197.919995665157</v>
      </c>
      <c r="AH213" s="140">
        <f t="shared" si="129"/>
        <v>35775.752865583469</v>
      </c>
      <c r="AI213" s="141">
        <f t="shared" si="130"/>
        <v>32841.87839557846</v>
      </c>
      <c r="AJ213" s="140">
        <f t="shared" si="131"/>
        <v>36491.267922895138</v>
      </c>
      <c r="AK213" s="141">
        <f t="shared" si="132"/>
        <v>33794.29286905023</v>
      </c>
      <c r="AL213" s="140">
        <f t="shared" si="133"/>
        <v>37549.514692659097</v>
      </c>
      <c r="AM213" s="141">
        <f t="shared" si="134"/>
        <v>35923.333319800397</v>
      </c>
      <c r="AN213" s="141">
        <f t="shared" si="135"/>
        <v>39915.134118296621</v>
      </c>
    </row>
    <row r="214" spans="2:40">
      <c r="B214" s="19">
        <v>310105</v>
      </c>
      <c r="C214" s="18" t="s">
        <v>308</v>
      </c>
      <c r="D214" s="16">
        <v>21250</v>
      </c>
      <c r="E214" s="17">
        <f t="shared" si="105"/>
        <v>22312.5</v>
      </c>
      <c r="F214" s="57">
        <f>E214*1.045</f>
        <v>23316.5625</v>
      </c>
      <c r="G214" s="57">
        <f t="shared" si="106"/>
        <v>24127.978874999997</v>
      </c>
      <c r="H214" s="57">
        <f t="shared" si="107"/>
        <v>26809.07988759</v>
      </c>
      <c r="I214" s="57">
        <f t="shared" si="108"/>
        <v>24779.434304624996</v>
      </c>
      <c r="J214" s="57">
        <f t="shared" si="108"/>
        <v>27532.925044554926</v>
      </c>
      <c r="K214" s="57">
        <f t="shared" si="109"/>
        <v>25374.140727935996</v>
      </c>
      <c r="L214" s="9">
        <f t="shared" si="109"/>
        <v>28193.715245624244</v>
      </c>
      <c r="M214" s="9">
        <f t="shared" si="110"/>
        <v>26059.242527590264</v>
      </c>
      <c r="N214" s="71">
        <f t="shared" si="110"/>
        <v>28954.945557256095</v>
      </c>
      <c r="O214" s="79">
        <f t="shared" si="111"/>
        <v>26632.545863197251</v>
      </c>
      <c r="P214" s="78">
        <f t="shared" si="111"/>
        <v>29591.95435951573</v>
      </c>
      <c r="Q214" s="1">
        <f t="shared" si="112"/>
        <v>27271.726963913985</v>
      </c>
      <c r="R214" s="79">
        <f t="shared" si="113"/>
        <v>30302.16126414411</v>
      </c>
      <c r="S214" s="1">
        <f t="shared" si="114"/>
        <v>28280.780861578802</v>
      </c>
      <c r="T214" s="78">
        <f t="shared" si="115"/>
        <v>31423.341230917438</v>
      </c>
      <c r="U214" s="1">
        <f t="shared" si="116"/>
        <v>29072.642725703008</v>
      </c>
      <c r="V214" s="99">
        <f t="shared" si="117"/>
        <v>32303.194785383126</v>
      </c>
      <c r="W214" s="79">
        <f t="shared" si="118"/>
        <v>29508.732366588549</v>
      </c>
      <c r="X214" s="79">
        <f t="shared" si="119"/>
        <v>32787.742707163867</v>
      </c>
      <c r="Y214" s="79">
        <f t="shared" si="120"/>
        <v>29980.872084453968</v>
      </c>
      <c r="Z214" s="79">
        <f t="shared" si="121"/>
        <v>33312.34659047849</v>
      </c>
      <c r="AA214" s="79">
        <f t="shared" si="122"/>
        <v>30550.508654058591</v>
      </c>
      <c r="AB214" s="79">
        <f t="shared" si="123"/>
        <v>33945.281175697579</v>
      </c>
      <c r="AC214" s="100">
        <f t="shared" si="124"/>
        <v>31130.968318485702</v>
      </c>
      <c r="AD214" s="79">
        <f t="shared" si="125"/>
        <v>34590.241518035829</v>
      </c>
      <c r="AE214" s="100">
        <f t="shared" si="126"/>
        <v>31784.718653173899</v>
      </c>
      <c r="AF214" s="79">
        <f t="shared" si="127"/>
        <v>35316.636589914582</v>
      </c>
      <c r="AG214" s="142">
        <f t="shared" si="128"/>
        <v>32197.919995665157</v>
      </c>
      <c r="AH214" s="174">
        <f t="shared" si="129"/>
        <v>35775.752865583469</v>
      </c>
      <c r="AI214" s="142">
        <f t="shared" si="130"/>
        <v>32841.87839557846</v>
      </c>
      <c r="AJ214" s="174">
        <f t="shared" si="131"/>
        <v>36491.267922895138</v>
      </c>
      <c r="AK214" s="142">
        <f t="shared" si="132"/>
        <v>33794.29286905023</v>
      </c>
      <c r="AL214" s="174">
        <f t="shared" si="133"/>
        <v>37549.514692659097</v>
      </c>
      <c r="AM214" s="142">
        <f t="shared" si="134"/>
        <v>35923.333319800397</v>
      </c>
      <c r="AN214" s="142">
        <f t="shared" si="135"/>
        <v>39915.134118296621</v>
      </c>
    </row>
    <row r="215" spans="2:40">
      <c r="B215" s="19">
        <v>310111</v>
      </c>
      <c r="C215" s="18" t="s">
        <v>309</v>
      </c>
      <c r="D215" s="23" t="s">
        <v>310</v>
      </c>
      <c r="E215" s="28" t="s">
        <v>310</v>
      </c>
      <c r="F215" s="3" t="s">
        <v>310</v>
      </c>
      <c r="G215" s="3" t="s">
        <v>310</v>
      </c>
      <c r="H215" s="3" t="s">
        <v>101</v>
      </c>
      <c r="I215" s="3" t="s">
        <v>101</v>
      </c>
      <c r="J215" s="3" t="s">
        <v>101</v>
      </c>
      <c r="K215" s="3" t="s">
        <v>101</v>
      </c>
      <c r="L215" s="3" t="s">
        <v>101</v>
      </c>
      <c r="M215" s="3" t="s">
        <v>101</v>
      </c>
      <c r="N215" s="29" t="s">
        <v>101</v>
      </c>
      <c r="O215" s="3" t="s">
        <v>101</v>
      </c>
      <c r="P215" s="3" t="s">
        <v>101</v>
      </c>
      <c r="Q215" s="3" t="s">
        <v>101</v>
      </c>
      <c r="R215" s="3" t="s">
        <v>101</v>
      </c>
      <c r="S215" s="29" t="s">
        <v>101</v>
      </c>
      <c r="T215" s="3" t="s">
        <v>101</v>
      </c>
      <c r="U215" s="29" t="s">
        <v>101</v>
      </c>
      <c r="V215" s="3" t="s">
        <v>101</v>
      </c>
      <c r="W215" s="29" t="s">
        <v>101</v>
      </c>
      <c r="X215" s="3" t="s">
        <v>101</v>
      </c>
      <c r="Y215" s="29" t="s">
        <v>101</v>
      </c>
      <c r="Z215" s="3" t="s">
        <v>101</v>
      </c>
      <c r="AA215" s="29" t="s">
        <v>101</v>
      </c>
      <c r="AB215" s="3" t="s">
        <v>101</v>
      </c>
      <c r="AC215" s="29" t="s">
        <v>101</v>
      </c>
      <c r="AD215" s="3" t="s">
        <v>101</v>
      </c>
      <c r="AE215" s="29" t="s">
        <v>101</v>
      </c>
      <c r="AF215" s="3" t="s">
        <v>101</v>
      </c>
      <c r="AG215" s="29" t="s">
        <v>101</v>
      </c>
      <c r="AH215" s="3" t="s">
        <v>101</v>
      </c>
      <c r="AI215" s="29" t="s">
        <v>101</v>
      </c>
      <c r="AJ215" s="3" t="s">
        <v>101</v>
      </c>
      <c r="AK215" s="3" t="s">
        <v>101</v>
      </c>
      <c r="AL215" s="29" t="s">
        <v>101</v>
      </c>
      <c r="AM215" s="29" t="s">
        <v>101</v>
      </c>
      <c r="AN215" s="29" t="s">
        <v>101</v>
      </c>
    </row>
    <row r="216" spans="2:40">
      <c r="B216" s="19">
        <v>30212</v>
      </c>
      <c r="C216" s="18" t="s">
        <v>311</v>
      </c>
      <c r="D216" s="23" t="s">
        <v>310</v>
      </c>
      <c r="E216" s="28" t="s">
        <v>310</v>
      </c>
      <c r="F216" s="3" t="s">
        <v>310</v>
      </c>
      <c r="G216" s="3" t="s">
        <v>310</v>
      </c>
      <c r="H216" s="3" t="s">
        <v>101</v>
      </c>
      <c r="I216" s="3" t="s">
        <v>101</v>
      </c>
      <c r="J216" s="3" t="s">
        <v>101</v>
      </c>
      <c r="K216" s="3" t="s">
        <v>101</v>
      </c>
      <c r="L216" s="3" t="s">
        <v>101</v>
      </c>
      <c r="M216" s="3" t="s">
        <v>101</v>
      </c>
      <c r="N216" s="29" t="s">
        <v>101</v>
      </c>
      <c r="O216" s="3" t="s">
        <v>101</v>
      </c>
      <c r="P216" s="3" t="s">
        <v>101</v>
      </c>
      <c r="Q216" s="3" t="s">
        <v>101</v>
      </c>
      <c r="R216" s="3" t="s">
        <v>101</v>
      </c>
      <c r="S216" s="29" t="s">
        <v>101</v>
      </c>
      <c r="T216" s="3" t="s">
        <v>101</v>
      </c>
      <c r="U216" s="29" t="s">
        <v>101</v>
      </c>
      <c r="V216" s="3" t="s">
        <v>101</v>
      </c>
      <c r="W216" s="29" t="s">
        <v>101</v>
      </c>
      <c r="X216" s="3" t="s">
        <v>101</v>
      </c>
      <c r="Y216" s="29" t="s">
        <v>101</v>
      </c>
      <c r="Z216" s="3" t="s">
        <v>101</v>
      </c>
      <c r="AA216" s="29" t="s">
        <v>101</v>
      </c>
      <c r="AB216" s="3" t="s">
        <v>101</v>
      </c>
      <c r="AC216" s="29" t="s">
        <v>101</v>
      </c>
      <c r="AD216" s="3" t="s">
        <v>101</v>
      </c>
      <c r="AE216" s="29" t="s">
        <v>101</v>
      </c>
      <c r="AF216" s="3" t="s">
        <v>101</v>
      </c>
      <c r="AG216" s="29" t="s">
        <v>101</v>
      </c>
      <c r="AH216" s="3" t="s">
        <v>101</v>
      </c>
      <c r="AI216" s="29" t="s">
        <v>101</v>
      </c>
      <c r="AJ216" s="3" t="s">
        <v>101</v>
      </c>
      <c r="AK216" s="3" t="s">
        <v>101</v>
      </c>
      <c r="AL216" s="29" t="s">
        <v>101</v>
      </c>
      <c r="AM216" s="29" t="s">
        <v>101</v>
      </c>
      <c r="AN216" s="29" t="s">
        <v>101</v>
      </c>
    </row>
    <row r="217" spans="2:40">
      <c r="B217" s="19">
        <v>310112</v>
      </c>
      <c r="C217" s="18" t="s">
        <v>312</v>
      </c>
      <c r="D217" s="23" t="s">
        <v>310</v>
      </c>
      <c r="E217" s="28" t="s">
        <v>310</v>
      </c>
      <c r="F217" s="3" t="s">
        <v>310</v>
      </c>
      <c r="G217" s="3" t="s">
        <v>310</v>
      </c>
      <c r="H217" s="3" t="s">
        <v>101</v>
      </c>
      <c r="I217" s="3" t="s">
        <v>101</v>
      </c>
      <c r="J217" s="3" t="s">
        <v>101</v>
      </c>
      <c r="K217" s="3" t="s">
        <v>101</v>
      </c>
      <c r="L217" s="3" t="s">
        <v>101</v>
      </c>
      <c r="M217" s="3" t="s">
        <v>101</v>
      </c>
      <c r="N217" s="29" t="s">
        <v>101</v>
      </c>
      <c r="O217" s="3" t="s">
        <v>101</v>
      </c>
      <c r="P217" s="3" t="s">
        <v>101</v>
      </c>
      <c r="Q217" s="3" t="s">
        <v>101</v>
      </c>
      <c r="R217" s="3" t="s">
        <v>101</v>
      </c>
      <c r="S217" s="29" t="s">
        <v>101</v>
      </c>
      <c r="T217" s="3" t="s">
        <v>101</v>
      </c>
      <c r="U217" s="29" t="s">
        <v>101</v>
      </c>
      <c r="V217" s="3" t="s">
        <v>101</v>
      </c>
      <c r="W217" s="29" t="s">
        <v>101</v>
      </c>
      <c r="X217" s="3" t="s">
        <v>101</v>
      </c>
      <c r="Y217" s="29" t="s">
        <v>101</v>
      </c>
      <c r="Z217" s="3" t="s">
        <v>101</v>
      </c>
      <c r="AA217" s="29" t="s">
        <v>101</v>
      </c>
      <c r="AB217" s="3" t="s">
        <v>101</v>
      </c>
      <c r="AC217" s="29" t="s">
        <v>101</v>
      </c>
      <c r="AD217" s="3" t="s">
        <v>101</v>
      </c>
      <c r="AE217" s="29" t="s">
        <v>101</v>
      </c>
      <c r="AF217" s="3" t="s">
        <v>101</v>
      </c>
      <c r="AG217" s="29" t="s">
        <v>101</v>
      </c>
      <c r="AH217" s="3" t="s">
        <v>101</v>
      </c>
      <c r="AI217" s="29" t="s">
        <v>101</v>
      </c>
      <c r="AJ217" s="3" t="s">
        <v>101</v>
      </c>
      <c r="AK217" s="3" t="s">
        <v>101</v>
      </c>
      <c r="AL217" s="29" t="s">
        <v>101</v>
      </c>
      <c r="AM217" s="29" t="s">
        <v>101</v>
      </c>
      <c r="AN217" s="29" t="s">
        <v>101</v>
      </c>
    </row>
    <row r="218" spans="2:40">
      <c r="B218" s="19">
        <v>310113</v>
      </c>
      <c r="C218" s="18" t="s">
        <v>313</v>
      </c>
      <c r="D218" s="23" t="s">
        <v>310</v>
      </c>
      <c r="E218" s="28" t="s">
        <v>310</v>
      </c>
      <c r="F218" s="3" t="s">
        <v>310</v>
      </c>
      <c r="G218" s="3" t="s">
        <v>310</v>
      </c>
      <c r="H218" s="3" t="s">
        <v>101</v>
      </c>
      <c r="I218" s="3" t="s">
        <v>101</v>
      </c>
      <c r="J218" s="3" t="s">
        <v>101</v>
      </c>
      <c r="K218" s="3" t="s">
        <v>101</v>
      </c>
      <c r="L218" s="3" t="s">
        <v>101</v>
      </c>
      <c r="M218" s="3" t="s">
        <v>101</v>
      </c>
      <c r="N218" s="29" t="s">
        <v>101</v>
      </c>
      <c r="O218" s="3" t="s">
        <v>101</v>
      </c>
      <c r="P218" s="3" t="s">
        <v>101</v>
      </c>
      <c r="Q218" s="3" t="s">
        <v>101</v>
      </c>
      <c r="R218" s="3" t="s">
        <v>101</v>
      </c>
      <c r="S218" s="29" t="s">
        <v>101</v>
      </c>
      <c r="T218" s="3" t="s">
        <v>101</v>
      </c>
      <c r="U218" s="29" t="s">
        <v>101</v>
      </c>
      <c r="V218" s="3" t="s">
        <v>101</v>
      </c>
      <c r="W218" s="29" t="s">
        <v>101</v>
      </c>
      <c r="X218" s="3" t="s">
        <v>101</v>
      </c>
      <c r="Y218" s="29" t="s">
        <v>101</v>
      </c>
      <c r="Z218" s="3" t="s">
        <v>101</v>
      </c>
      <c r="AA218" s="29" t="s">
        <v>101</v>
      </c>
      <c r="AB218" s="3" t="s">
        <v>101</v>
      </c>
      <c r="AC218" s="29" t="s">
        <v>101</v>
      </c>
      <c r="AD218" s="3" t="s">
        <v>101</v>
      </c>
      <c r="AE218" s="29" t="s">
        <v>101</v>
      </c>
      <c r="AF218" s="3" t="s">
        <v>101</v>
      </c>
      <c r="AG218" s="29" t="s">
        <v>101</v>
      </c>
      <c r="AH218" s="3" t="s">
        <v>101</v>
      </c>
      <c r="AI218" s="29" t="s">
        <v>101</v>
      </c>
      <c r="AJ218" s="3" t="s">
        <v>101</v>
      </c>
      <c r="AK218" s="3" t="s">
        <v>101</v>
      </c>
      <c r="AL218" s="29" t="s">
        <v>101</v>
      </c>
      <c r="AM218" s="29" t="s">
        <v>101</v>
      </c>
      <c r="AN218" s="29" t="s">
        <v>101</v>
      </c>
    </row>
    <row r="219" spans="2:40">
      <c r="B219" s="19">
        <v>310114</v>
      </c>
      <c r="C219" s="18" t="s">
        <v>314</v>
      </c>
      <c r="D219" s="23" t="s">
        <v>310</v>
      </c>
      <c r="E219" s="28" t="s">
        <v>310</v>
      </c>
      <c r="F219" s="3" t="s">
        <v>310</v>
      </c>
      <c r="G219" s="3" t="s">
        <v>310</v>
      </c>
      <c r="H219" s="3" t="s">
        <v>101</v>
      </c>
      <c r="I219" s="3" t="s">
        <v>101</v>
      </c>
      <c r="J219" s="3" t="s">
        <v>101</v>
      </c>
      <c r="K219" s="3" t="s">
        <v>101</v>
      </c>
      <c r="L219" s="3" t="s">
        <v>101</v>
      </c>
      <c r="M219" s="3" t="s">
        <v>101</v>
      </c>
      <c r="N219" s="29" t="s">
        <v>101</v>
      </c>
      <c r="O219" s="3" t="s">
        <v>101</v>
      </c>
      <c r="P219" s="3" t="s">
        <v>101</v>
      </c>
      <c r="Q219" s="3" t="s">
        <v>101</v>
      </c>
      <c r="R219" s="3" t="s">
        <v>101</v>
      </c>
      <c r="S219" s="29" t="s">
        <v>101</v>
      </c>
      <c r="T219" s="3" t="s">
        <v>101</v>
      </c>
      <c r="U219" s="29" t="s">
        <v>101</v>
      </c>
      <c r="V219" s="3" t="s">
        <v>101</v>
      </c>
      <c r="W219" s="29" t="s">
        <v>101</v>
      </c>
      <c r="X219" s="3" t="s">
        <v>101</v>
      </c>
      <c r="Y219" s="29" t="s">
        <v>101</v>
      </c>
      <c r="Z219" s="3" t="s">
        <v>101</v>
      </c>
      <c r="AA219" s="29" t="s">
        <v>101</v>
      </c>
      <c r="AB219" s="3" t="s">
        <v>101</v>
      </c>
      <c r="AC219" s="29" t="s">
        <v>101</v>
      </c>
      <c r="AD219" s="3" t="s">
        <v>101</v>
      </c>
      <c r="AE219" s="29" t="s">
        <v>101</v>
      </c>
      <c r="AF219" s="3" t="s">
        <v>101</v>
      </c>
      <c r="AG219" s="29" t="s">
        <v>101</v>
      </c>
      <c r="AH219" s="3" t="s">
        <v>101</v>
      </c>
      <c r="AI219" s="29" t="s">
        <v>101</v>
      </c>
      <c r="AJ219" s="3" t="s">
        <v>101</v>
      </c>
      <c r="AK219" s="3" t="s">
        <v>101</v>
      </c>
      <c r="AL219" s="29" t="s">
        <v>101</v>
      </c>
      <c r="AM219" s="29" t="s">
        <v>101</v>
      </c>
      <c r="AN219" s="29" t="s">
        <v>101</v>
      </c>
    </row>
    <row r="220" spans="2:40">
      <c r="B220" s="19">
        <v>310130</v>
      </c>
      <c r="C220" s="18" t="s">
        <v>315</v>
      </c>
      <c r="D220" s="23" t="s">
        <v>310</v>
      </c>
      <c r="E220" s="28" t="s">
        <v>310</v>
      </c>
      <c r="F220" s="3" t="s">
        <v>310</v>
      </c>
      <c r="G220" s="3" t="s">
        <v>310</v>
      </c>
      <c r="H220" s="3" t="s">
        <v>101</v>
      </c>
      <c r="I220" s="3" t="s">
        <v>101</v>
      </c>
      <c r="J220" s="3" t="s">
        <v>101</v>
      </c>
      <c r="K220" s="3" t="s">
        <v>101</v>
      </c>
      <c r="L220" s="3" t="s">
        <v>101</v>
      </c>
      <c r="M220" s="3" t="s">
        <v>101</v>
      </c>
      <c r="N220" s="29" t="s">
        <v>101</v>
      </c>
      <c r="O220" s="3" t="s">
        <v>101</v>
      </c>
      <c r="P220" s="3" t="s">
        <v>101</v>
      </c>
      <c r="Q220" s="3" t="s">
        <v>101</v>
      </c>
      <c r="R220" s="3" t="s">
        <v>101</v>
      </c>
      <c r="S220" s="29" t="s">
        <v>101</v>
      </c>
      <c r="T220" s="3" t="s">
        <v>101</v>
      </c>
      <c r="U220" s="29" t="s">
        <v>101</v>
      </c>
      <c r="V220" s="3" t="s">
        <v>101</v>
      </c>
      <c r="W220" s="29" t="s">
        <v>101</v>
      </c>
      <c r="X220" s="3" t="s">
        <v>101</v>
      </c>
      <c r="Y220" s="29" t="s">
        <v>101</v>
      </c>
      <c r="Z220" s="3" t="s">
        <v>101</v>
      </c>
      <c r="AA220" s="29" t="s">
        <v>101</v>
      </c>
      <c r="AB220" s="3" t="s">
        <v>101</v>
      </c>
      <c r="AC220" s="29" t="s">
        <v>101</v>
      </c>
      <c r="AD220" s="3" t="s">
        <v>101</v>
      </c>
      <c r="AE220" s="29" t="s">
        <v>101</v>
      </c>
      <c r="AF220" s="3" t="s">
        <v>101</v>
      </c>
      <c r="AG220" s="29" t="s">
        <v>101</v>
      </c>
      <c r="AH220" s="3" t="s">
        <v>101</v>
      </c>
      <c r="AI220" s="29" t="s">
        <v>101</v>
      </c>
      <c r="AJ220" s="3" t="s">
        <v>101</v>
      </c>
      <c r="AK220" s="3" t="s">
        <v>101</v>
      </c>
      <c r="AL220" s="29" t="s">
        <v>101</v>
      </c>
      <c r="AM220" s="29" t="s">
        <v>101</v>
      </c>
      <c r="AN220" s="29" t="s">
        <v>101</v>
      </c>
    </row>
    <row r="221" spans="2:40">
      <c r="B221" s="19">
        <v>310115</v>
      </c>
      <c r="C221" s="18" t="s">
        <v>316</v>
      </c>
      <c r="D221" s="23" t="s">
        <v>310</v>
      </c>
      <c r="E221" s="28" t="s">
        <v>310</v>
      </c>
      <c r="F221" s="3" t="s">
        <v>310</v>
      </c>
      <c r="G221" s="3" t="s">
        <v>310</v>
      </c>
      <c r="H221" s="3" t="s">
        <v>101</v>
      </c>
      <c r="I221" s="3" t="s">
        <v>101</v>
      </c>
      <c r="J221" s="3" t="s">
        <v>101</v>
      </c>
      <c r="K221" s="3" t="s">
        <v>101</v>
      </c>
      <c r="L221" s="3" t="s">
        <v>101</v>
      </c>
      <c r="M221" s="3" t="s">
        <v>101</v>
      </c>
      <c r="N221" s="29" t="s">
        <v>101</v>
      </c>
      <c r="O221" s="3" t="s">
        <v>101</v>
      </c>
      <c r="P221" s="3" t="s">
        <v>101</v>
      </c>
      <c r="Q221" s="3" t="s">
        <v>101</v>
      </c>
      <c r="R221" s="3" t="s">
        <v>101</v>
      </c>
      <c r="S221" s="29" t="s">
        <v>101</v>
      </c>
      <c r="T221" s="3" t="s">
        <v>101</v>
      </c>
      <c r="U221" s="29" t="s">
        <v>101</v>
      </c>
      <c r="V221" s="3" t="s">
        <v>101</v>
      </c>
      <c r="W221" s="29" t="s">
        <v>101</v>
      </c>
      <c r="X221" s="3" t="s">
        <v>101</v>
      </c>
      <c r="Y221" s="29" t="s">
        <v>101</v>
      </c>
      <c r="Z221" s="3" t="s">
        <v>101</v>
      </c>
      <c r="AA221" s="29" t="s">
        <v>101</v>
      </c>
      <c r="AB221" s="3" t="s">
        <v>101</v>
      </c>
      <c r="AC221" s="29" t="s">
        <v>101</v>
      </c>
      <c r="AD221" s="3" t="s">
        <v>101</v>
      </c>
      <c r="AE221" s="29" t="s">
        <v>101</v>
      </c>
      <c r="AF221" s="3" t="s">
        <v>101</v>
      </c>
      <c r="AG221" s="29" t="s">
        <v>101</v>
      </c>
      <c r="AH221" s="3" t="s">
        <v>101</v>
      </c>
      <c r="AI221" s="29" t="s">
        <v>101</v>
      </c>
      <c r="AJ221" s="3" t="s">
        <v>101</v>
      </c>
      <c r="AK221" s="3" t="s">
        <v>101</v>
      </c>
      <c r="AL221" s="29" t="s">
        <v>101</v>
      </c>
      <c r="AM221" s="29" t="s">
        <v>101</v>
      </c>
      <c r="AN221" s="29" t="s">
        <v>101</v>
      </c>
    </row>
    <row r="222" spans="2:40">
      <c r="B222" s="19">
        <v>310123</v>
      </c>
      <c r="C222" s="18" t="s">
        <v>317</v>
      </c>
      <c r="D222" s="16">
        <v>25500</v>
      </c>
      <c r="E222" s="17">
        <f t="shared" ref="E222:E272" si="136">D222*1.05</f>
        <v>26775</v>
      </c>
      <c r="F222" s="57">
        <f>E222*1.045</f>
        <v>27979.874999999996</v>
      </c>
      <c r="G222" s="57">
        <f t="shared" si="106"/>
        <v>28953.574649999995</v>
      </c>
      <c r="H222" s="57">
        <f t="shared" si="107"/>
        <v>32170.895865107999</v>
      </c>
      <c r="I222" s="57">
        <f t="shared" si="108"/>
        <v>29735.321165549991</v>
      </c>
      <c r="J222" s="57">
        <f t="shared" si="108"/>
        <v>33039.510053465914</v>
      </c>
      <c r="K222" s="57">
        <f t="shared" si="109"/>
        <v>30448.96887352319</v>
      </c>
      <c r="L222" s="9">
        <f t="shared" si="109"/>
        <v>33832.4582947491</v>
      </c>
      <c r="M222" s="9">
        <f t="shared" si="110"/>
        <v>31271.091033108314</v>
      </c>
      <c r="N222" s="58">
        <f t="shared" si="110"/>
        <v>34745.934668707319</v>
      </c>
      <c r="O222" s="80">
        <f t="shared" si="111"/>
        <v>31959.055035836696</v>
      </c>
      <c r="P222" s="78">
        <f t="shared" si="111"/>
        <v>35510.345231418883</v>
      </c>
      <c r="Q222" s="1">
        <f t="shared" si="112"/>
        <v>32726.072356696779</v>
      </c>
      <c r="R222" s="80">
        <f t="shared" si="113"/>
        <v>36362.593516972935</v>
      </c>
      <c r="S222" s="1">
        <f t="shared" si="114"/>
        <v>33936.937033894559</v>
      </c>
      <c r="T222" s="78">
        <f t="shared" si="115"/>
        <v>37708.009477100932</v>
      </c>
      <c r="U222" s="1">
        <f t="shared" si="116"/>
        <v>34887.17127084361</v>
      </c>
      <c r="V222" s="99">
        <f t="shared" si="117"/>
        <v>38763.833742459756</v>
      </c>
      <c r="W222" s="80">
        <f t="shared" si="118"/>
        <v>35410.47883990626</v>
      </c>
      <c r="X222" s="80">
        <f t="shared" si="119"/>
        <v>39345.291248596652</v>
      </c>
      <c r="Y222" s="80">
        <f t="shared" si="120"/>
        <v>35977.046501344761</v>
      </c>
      <c r="Z222" s="80">
        <f t="shared" si="121"/>
        <v>39974.815908574201</v>
      </c>
      <c r="AA222" s="80">
        <f t="shared" si="122"/>
        <v>36660.610384870306</v>
      </c>
      <c r="AB222" s="80">
        <f t="shared" si="123"/>
        <v>40734.337410837106</v>
      </c>
      <c r="AC222" s="101">
        <f t="shared" si="124"/>
        <v>37357.161982182835</v>
      </c>
      <c r="AD222" s="80">
        <f t="shared" si="125"/>
        <v>41508.289821643004</v>
      </c>
      <c r="AE222" s="101">
        <f t="shared" si="126"/>
        <v>38141.662383808674</v>
      </c>
      <c r="AF222" s="80">
        <f t="shared" si="127"/>
        <v>42379.963907897501</v>
      </c>
      <c r="AG222" s="143">
        <f t="shared" si="128"/>
        <v>38637.503994798186</v>
      </c>
      <c r="AH222" s="152">
        <f t="shared" si="129"/>
        <v>42930.903438700167</v>
      </c>
      <c r="AI222" s="143">
        <f t="shared" si="130"/>
        <v>39410.254074694152</v>
      </c>
      <c r="AJ222" s="152">
        <f t="shared" si="131"/>
        <v>43789.521507474172</v>
      </c>
      <c r="AK222" s="143">
        <f t="shared" si="132"/>
        <v>40553.151442860282</v>
      </c>
      <c r="AL222" s="152">
        <f t="shared" si="133"/>
        <v>45059.417631190918</v>
      </c>
      <c r="AM222" s="143">
        <f t="shared" si="134"/>
        <v>43107.999983760477</v>
      </c>
      <c r="AN222" s="143">
        <f t="shared" si="135"/>
        <v>47898.160941955946</v>
      </c>
    </row>
    <row r="223" spans="2:40">
      <c r="B223" s="19">
        <v>310124</v>
      </c>
      <c r="C223" s="18" t="s">
        <v>318</v>
      </c>
      <c r="D223" s="16">
        <v>25500</v>
      </c>
      <c r="E223" s="17">
        <f t="shared" si="136"/>
        <v>26775</v>
      </c>
      <c r="F223" s="57">
        <f>E223*1.045</f>
        <v>27979.874999999996</v>
      </c>
      <c r="G223" s="57">
        <f t="shared" si="106"/>
        <v>28953.574649999995</v>
      </c>
      <c r="H223" s="57">
        <f t="shared" si="107"/>
        <v>32170.895865107999</v>
      </c>
      <c r="I223" s="57">
        <f t="shared" si="108"/>
        <v>29735.321165549991</v>
      </c>
      <c r="J223" s="57">
        <f t="shared" si="108"/>
        <v>33039.510053465914</v>
      </c>
      <c r="K223" s="57">
        <f t="shared" si="109"/>
        <v>30448.96887352319</v>
      </c>
      <c r="L223" s="9">
        <f t="shared" si="109"/>
        <v>33832.4582947491</v>
      </c>
      <c r="M223" s="9">
        <f t="shared" si="110"/>
        <v>31271.091033108314</v>
      </c>
      <c r="N223" s="9">
        <f t="shared" si="110"/>
        <v>34745.934668707319</v>
      </c>
      <c r="O223" s="78">
        <f t="shared" si="111"/>
        <v>31959.055035836696</v>
      </c>
      <c r="P223" s="78">
        <f t="shared" si="111"/>
        <v>35510.345231418883</v>
      </c>
      <c r="Q223" s="1">
        <f t="shared" si="112"/>
        <v>32726.072356696779</v>
      </c>
      <c r="R223" s="78">
        <f t="shared" si="113"/>
        <v>36362.593516972935</v>
      </c>
      <c r="S223" s="1">
        <f t="shared" si="114"/>
        <v>33936.937033894559</v>
      </c>
      <c r="T223" s="78">
        <f t="shared" si="115"/>
        <v>37708.009477100932</v>
      </c>
      <c r="U223" s="1">
        <f t="shared" si="116"/>
        <v>34887.17127084361</v>
      </c>
      <c r="V223" s="99">
        <f t="shared" si="117"/>
        <v>38763.833742459756</v>
      </c>
      <c r="W223" s="78">
        <f t="shared" si="118"/>
        <v>35410.47883990626</v>
      </c>
      <c r="X223" s="78">
        <f t="shared" si="119"/>
        <v>39345.291248596652</v>
      </c>
      <c r="Y223" s="78">
        <f t="shared" si="120"/>
        <v>35977.046501344761</v>
      </c>
      <c r="Z223" s="78">
        <f t="shared" si="121"/>
        <v>39974.815908574201</v>
      </c>
      <c r="AA223" s="78">
        <f t="shared" si="122"/>
        <v>36660.610384870306</v>
      </c>
      <c r="AB223" s="78">
        <f t="shared" si="123"/>
        <v>40734.337410837106</v>
      </c>
      <c r="AC223" s="1">
        <f t="shared" si="124"/>
        <v>37357.161982182835</v>
      </c>
      <c r="AD223" s="78">
        <f t="shared" si="125"/>
        <v>41508.289821643004</v>
      </c>
      <c r="AE223" s="1">
        <f t="shared" si="126"/>
        <v>38141.662383808674</v>
      </c>
      <c r="AF223" s="78">
        <f t="shared" si="127"/>
        <v>42379.963907897501</v>
      </c>
      <c r="AG223" s="141">
        <f t="shared" si="128"/>
        <v>38637.503994798186</v>
      </c>
      <c r="AH223" s="140">
        <f t="shared" si="129"/>
        <v>42930.903438700167</v>
      </c>
      <c r="AI223" s="141">
        <f t="shared" si="130"/>
        <v>39410.254074694152</v>
      </c>
      <c r="AJ223" s="140">
        <f t="shared" si="131"/>
        <v>43789.521507474172</v>
      </c>
      <c r="AK223" s="141">
        <f t="shared" si="132"/>
        <v>40553.151442860282</v>
      </c>
      <c r="AL223" s="140">
        <f t="shared" si="133"/>
        <v>45059.417631190918</v>
      </c>
      <c r="AM223" s="141">
        <f t="shared" si="134"/>
        <v>43107.999983760477</v>
      </c>
      <c r="AN223" s="141">
        <f t="shared" si="135"/>
        <v>47898.160941955946</v>
      </c>
    </row>
    <row r="224" spans="2:40">
      <c r="B224" s="155">
        <v>310116</v>
      </c>
      <c r="C224" s="25" t="s">
        <v>319</v>
      </c>
      <c r="D224" s="54">
        <v>25500</v>
      </c>
      <c r="E224" s="55">
        <f t="shared" si="136"/>
        <v>26775</v>
      </c>
      <c r="F224" s="75">
        <f>E224*1.045</f>
        <v>27979.874999999996</v>
      </c>
      <c r="G224" s="75">
        <f t="shared" si="106"/>
        <v>28953.574649999995</v>
      </c>
      <c r="H224" s="75">
        <f t="shared" si="107"/>
        <v>32170.895865107999</v>
      </c>
      <c r="I224" s="75">
        <f t="shared" si="108"/>
        <v>29735.321165549991</v>
      </c>
      <c r="J224" s="75">
        <f t="shared" si="108"/>
        <v>33039.510053465914</v>
      </c>
      <c r="K224" s="75">
        <f t="shared" si="109"/>
        <v>30448.96887352319</v>
      </c>
      <c r="L224" s="71">
        <f t="shared" si="109"/>
        <v>33832.4582947491</v>
      </c>
      <c r="M224" s="71">
        <f t="shared" si="110"/>
        <v>31271.091033108314</v>
      </c>
      <c r="N224" s="71">
        <f t="shared" si="110"/>
        <v>34745.934668707319</v>
      </c>
      <c r="O224" s="79">
        <f t="shared" si="111"/>
        <v>31959.055035836696</v>
      </c>
      <c r="P224" s="79">
        <f t="shared" si="111"/>
        <v>35510.345231418883</v>
      </c>
      <c r="Q224" s="100">
        <f t="shared" si="112"/>
        <v>32726.072356696779</v>
      </c>
      <c r="R224" s="79">
        <f t="shared" si="113"/>
        <v>36362.593516972935</v>
      </c>
      <c r="S224" s="100">
        <f t="shared" si="114"/>
        <v>33936.937033894559</v>
      </c>
      <c r="T224" s="79">
        <f t="shared" si="115"/>
        <v>37708.009477100932</v>
      </c>
      <c r="U224" s="100">
        <f t="shared" si="116"/>
        <v>34887.17127084361</v>
      </c>
      <c r="V224" s="119">
        <f t="shared" si="117"/>
        <v>38763.833742459756</v>
      </c>
      <c r="W224" s="79">
        <f t="shared" si="118"/>
        <v>35410.47883990626</v>
      </c>
      <c r="X224" s="79">
        <f t="shared" si="119"/>
        <v>39345.291248596652</v>
      </c>
      <c r="Y224" s="79">
        <f t="shared" si="120"/>
        <v>35977.046501344761</v>
      </c>
      <c r="Z224" s="79">
        <f t="shared" si="121"/>
        <v>39974.815908574201</v>
      </c>
      <c r="AA224" s="79">
        <f t="shared" si="122"/>
        <v>36660.610384870306</v>
      </c>
      <c r="AB224" s="79">
        <f t="shared" si="123"/>
        <v>40734.337410837106</v>
      </c>
      <c r="AC224" s="100">
        <f t="shared" si="124"/>
        <v>37357.161982182835</v>
      </c>
      <c r="AD224" s="79">
        <f t="shared" si="125"/>
        <v>41508.289821643004</v>
      </c>
      <c r="AE224" s="100">
        <f t="shared" si="126"/>
        <v>38141.662383808674</v>
      </c>
      <c r="AF224" s="79">
        <f t="shared" si="127"/>
        <v>42379.963907897501</v>
      </c>
      <c r="AG224" s="142">
        <f t="shared" si="128"/>
        <v>38637.503994798186</v>
      </c>
      <c r="AH224" s="174">
        <f t="shared" si="129"/>
        <v>42930.903438700167</v>
      </c>
      <c r="AI224" s="142">
        <f t="shared" si="130"/>
        <v>39410.254074694152</v>
      </c>
      <c r="AJ224" s="174">
        <f t="shared" si="131"/>
        <v>43789.521507474172</v>
      </c>
      <c r="AK224" s="142">
        <f t="shared" si="132"/>
        <v>40553.151442860282</v>
      </c>
      <c r="AL224" s="174">
        <f t="shared" si="133"/>
        <v>45059.417631190918</v>
      </c>
      <c r="AM224" s="142">
        <f t="shared" si="134"/>
        <v>43107.999983760477</v>
      </c>
      <c r="AN224" s="142">
        <f t="shared" si="135"/>
        <v>47898.160941955946</v>
      </c>
    </row>
    <row r="225" spans="1:40" ht="15" customHeight="1">
      <c r="B225" s="180" t="s">
        <v>320</v>
      </c>
      <c r="C225" s="181"/>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182"/>
      <c r="AK225" s="180"/>
      <c r="AL225" s="183"/>
      <c r="AM225" s="183"/>
      <c r="AN225" s="181"/>
    </row>
    <row r="226" spans="1:40">
      <c r="A226" s="56">
        <v>340102</v>
      </c>
      <c r="B226" s="161">
        <v>34010200</v>
      </c>
      <c r="C226" s="85" t="s">
        <v>321</v>
      </c>
      <c r="D226" s="112">
        <v>16512.267464971119</v>
      </c>
      <c r="E226" s="118">
        <f t="shared" si="136"/>
        <v>17337.880838219677</v>
      </c>
      <c r="F226" s="70">
        <f>E226*1.045</f>
        <v>18118.085475939562</v>
      </c>
      <c r="G226" s="70">
        <f t="shared" si="106"/>
        <v>18748.594850502257</v>
      </c>
      <c r="H226" s="70">
        <f t="shared" si="107"/>
        <v>20831.938710290069</v>
      </c>
      <c r="I226" s="70">
        <f t="shared" si="108"/>
        <v>19254.806911465817</v>
      </c>
      <c r="J226" s="70">
        <f t="shared" si="108"/>
        <v>21394.401055467901</v>
      </c>
      <c r="K226" s="70">
        <f t="shared" si="109"/>
        <v>19716.922277340997</v>
      </c>
      <c r="L226" s="58">
        <f t="shared" si="109"/>
        <v>21907.866680799132</v>
      </c>
      <c r="M226" s="58">
        <f t="shared" si="110"/>
        <v>20249.279178829202</v>
      </c>
      <c r="N226" s="58">
        <f t="shared" si="110"/>
        <v>22499.379081180708</v>
      </c>
      <c r="O226" s="80">
        <f t="shared" si="111"/>
        <v>20694.763320763443</v>
      </c>
      <c r="P226" s="80">
        <f t="shared" si="111"/>
        <v>22994.365420966686</v>
      </c>
      <c r="Q226" s="101">
        <f t="shared" si="112"/>
        <v>21191.437640461765</v>
      </c>
      <c r="R226" s="80">
        <f t="shared" si="113"/>
        <v>23546.230191069888</v>
      </c>
      <c r="S226" s="101">
        <f t="shared" si="114"/>
        <v>21975.520833158847</v>
      </c>
      <c r="T226" s="80">
        <f t="shared" si="115"/>
        <v>24417.440708139471</v>
      </c>
      <c r="U226" s="101">
        <f t="shared" si="116"/>
        <v>22590.835416487294</v>
      </c>
      <c r="V226" s="114">
        <f t="shared" si="117"/>
        <v>25101.129047967377</v>
      </c>
      <c r="W226" s="80">
        <f t="shared" si="118"/>
        <v>22929.697947734603</v>
      </c>
      <c r="X226" s="80">
        <f t="shared" si="119"/>
        <v>25477.645983686885</v>
      </c>
      <c r="Y226" s="80">
        <f t="shared" si="120"/>
        <v>23296.573114898358</v>
      </c>
      <c r="Z226" s="80">
        <f t="shared" si="121"/>
        <v>25885.288319425876</v>
      </c>
      <c r="AA226" s="80">
        <f t="shared" si="122"/>
        <v>23739.208004081425</v>
      </c>
      <c r="AB226" s="80">
        <f t="shared" si="123"/>
        <v>26377.108797494966</v>
      </c>
      <c r="AC226" s="101">
        <f t="shared" si="124"/>
        <v>24190.252956158969</v>
      </c>
      <c r="AD226" s="80">
        <f t="shared" si="125"/>
        <v>26878.273864647366</v>
      </c>
      <c r="AE226" s="101">
        <f t="shared" si="126"/>
        <v>24698.248268238305</v>
      </c>
      <c r="AF226" s="80">
        <f t="shared" si="127"/>
        <v>27442.717615804959</v>
      </c>
      <c r="AG226" s="143">
        <f t="shared" si="128"/>
        <v>25019.325495725399</v>
      </c>
      <c r="AH226" s="152">
        <f t="shared" si="129"/>
        <v>27799.472944810419</v>
      </c>
      <c r="AI226" s="143">
        <f t="shared" si="130"/>
        <v>25519.712005639907</v>
      </c>
      <c r="AJ226" s="152">
        <f t="shared" si="131"/>
        <v>28355.462403706628</v>
      </c>
      <c r="AK226" s="143">
        <f t="shared" si="132"/>
        <v>26259.783653803461</v>
      </c>
      <c r="AL226" s="152">
        <f t="shared" si="133"/>
        <v>29177.770813414118</v>
      </c>
      <c r="AM226" s="143">
        <f t="shared" si="134"/>
        <v>27914.150023993076</v>
      </c>
      <c r="AN226" s="143">
        <f t="shared" si="135"/>
        <v>31015.970374659206</v>
      </c>
    </row>
    <row r="227" spans="1:40">
      <c r="A227" s="56">
        <v>340201</v>
      </c>
      <c r="B227" s="162">
        <v>34020100</v>
      </c>
      <c r="C227" s="86" t="s">
        <v>322</v>
      </c>
      <c r="D227" s="16">
        <v>7665.7306554728775</v>
      </c>
      <c r="E227" s="17">
        <f t="shared" si="136"/>
        <v>8049.017188246522</v>
      </c>
      <c r="F227" s="57">
        <f>E227*1.045</f>
        <v>8411.2229617176145</v>
      </c>
      <c r="G227" s="57">
        <f t="shared" si="106"/>
        <v>8703.9335207853874</v>
      </c>
      <c r="H227" s="57">
        <f t="shared" si="107"/>
        <v>9671.1146136150601</v>
      </c>
      <c r="I227" s="57">
        <f t="shared" si="108"/>
        <v>8938.9397258465924</v>
      </c>
      <c r="J227" s="57">
        <f t="shared" si="108"/>
        <v>9932.2347081826665</v>
      </c>
      <c r="K227" s="57">
        <f t="shared" si="109"/>
        <v>9153.4742792669113</v>
      </c>
      <c r="L227" s="9">
        <f t="shared" si="109"/>
        <v>10170.608341179051</v>
      </c>
      <c r="M227" s="9">
        <f t="shared" si="110"/>
        <v>9400.6180848071162</v>
      </c>
      <c r="N227" s="9">
        <f t="shared" si="110"/>
        <v>10445.214766390885</v>
      </c>
      <c r="O227" s="78">
        <f t="shared" si="111"/>
        <v>9607.4316826728736</v>
      </c>
      <c r="P227" s="78">
        <f t="shared" si="111"/>
        <v>10675.009491251485</v>
      </c>
      <c r="Q227" s="1">
        <f t="shared" si="112"/>
        <v>9838.0100430570237</v>
      </c>
      <c r="R227" s="78">
        <f t="shared" si="113"/>
        <v>10931.209719041521</v>
      </c>
      <c r="S227" s="1">
        <f t="shared" si="114"/>
        <v>10202.016414650132</v>
      </c>
      <c r="T227" s="78">
        <f t="shared" si="115"/>
        <v>11335.664478646057</v>
      </c>
      <c r="U227" s="1">
        <f t="shared" si="116"/>
        <v>10487.672874260335</v>
      </c>
      <c r="V227" s="99">
        <f t="shared" si="117"/>
        <v>11653.063084048146</v>
      </c>
      <c r="W227" s="78">
        <f t="shared" si="118"/>
        <v>10644.98796737424</v>
      </c>
      <c r="X227" s="78">
        <f t="shared" si="119"/>
        <v>11827.859030308868</v>
      </c>
      <c r="Y227" s="78">
        <f t="shared" si="120"/>
        <v>10815.307774852228</v>
      </c>
      <c r="Z227" s="78">
        <f t="shared" si="121"/>
        <v>12017.10477479381</v>
      </c>
      <c r="AA227" s="78">
        <f t="shared" si="122"/>
        <v>11020.798622574419</v>
      </c>
      <c r="AB227" s="78">
        <f t="shared" si="123"/>
        <v>12245.429765514891</v>
      </c>
      <c r="AC227" s="1">
        <f t="shared" si="124"/>
        <v>11230.193796403331</v>
      </c>
      <c r="AD227" s="78">
        <f t="shared" si="125"/>
        <v>12478.092931059673</v>
      </c>
      <c r="AE227" s="1">
        <f t="shared" si="126"/>
        <v>11466.027866127801</v>
      </c>
      <c r="AF227" s="78">
        <f t="shared" si="127"/>
        <v>12740.132882611924</v>
      </c>
      <c r="AG227" s="141">
        <f t="shared" si="128"/>
        <v>11615.086228387461</v>
      </c>
      <c r="AH227" s="140">
        <f t="shared" si="129"/>
        <v>12905.754610085878</v>
      </c>
      <c r="AI227" s="141">
        <f t="shared" si="130"/>
        <v>11847.38795295521</v>
      </c>
      <c r="AJ227" s="140">
        <f t="shared" si="131"/>
        <v>13163.869702287597</v>
      </c>
      <c r="AK227" s="141">
        <f t="shared" si="132"/>
        <v>12190.962203590911</v>
      </c>
      <c r="AL227" s="140">
        <f t="shared" si="133"/>
        <v>13545.621923653936</v>
      </c>
      <c r="AM227" s="141">
        <f t="shared" si="134"/>
        <v>12958.992822417138</v>
      </c>
      <c r="AN227" s="141">
        <f t="shared" si="135"/>
        <v>14398.996104844133</v>
      </c>
    </row>
    <row r="228" spans="1:40">
      <c r="A228" s="56">
        <v>340201</v>
      </c>
      <c r="B228" s="162">
        <v>34020102</v>
      </c>
      <c r="C228" s="86" t="s">
        <v>323</v>
      </c>
      <c r="D228" s="16">
        <v>7665.7306554728775</v>
      </c>
      <c r="E228" s="17">
        <f t="shared" si="136"/>
        <v>8049.017188246522</v>
      </c>
      <c r="F228" s="57">
        <f>E228*1.045</f>
        <v>8411.2229617176145</v>
      </c>
      <c r="G228" s="57">
        <f t="shared" si="106"/>
        <v>8703.9335207853874</v>
      </c>
      <c r="H228" s="57">
        <f t="shared" si="107"/>
        <v>9671.1146136150601</v>
      </c>
      <c r="I228" s="57">
        <f t="shared" si="108"/>
        <v>8938.9397258465924</v>
      </c>
      <c r="J228" s="57">
        <f t="shared" si="108"/>
        <v>9932.2347081826665</v>
      </c>
      <c r="K228" s="57">
        <f t="shared" si="109"/>
        <v>9153.4742792669113</v>
      </c>
      <c r="L228" s="9">
        <f t="shared" si="109"/>
        <v>10170.608341179051</v>
      </c>
      <c r="M228" s="9">
        <f t="shared" si="110"/>
        <v>9400.6180848071162</v>
      </c>
      <c r="N228" s="9">
        <f t="shared" si="110"/>
        <v>10445.214766390885</v>
      </c>
      <c r="O228" s="78">
        <f t="shared" si="111"/>
        <v>9607.4316826728736</v>
      </c>
      <c r="P228" s="78">
        <f t="shared" si="111"/>
        <v>10675.009491251485</v>
      </c>
      <c r="Q228" s="1">
        <f t="shared" si="112"/>
        <v>9838.0100430570237</v>
      </c>
      <c r="R228" s="78">
        <f t="shared" si="113"/>
        <v>10931.209719041521</v>
      </c>
      <c r="S228" s="1">
        <f t="shared" si="114"/>
        <v>10202.016414650132</v>
      </c>
      <c r="T228" s="78">
        <f t="shared" si="115"/>
        <v>11335.664478646057</v>
      </c>
      <c r="U228" s="1">
        <f t="shared" si="116"/>
        <v>10487.672874260335</v>
      </c>
      <c r="V228" s="99">
        <f t="shared" si="117"/>
        <v>11653.063084048146</v>
      </c>
      <c r="W228" s="78">
        <f t="shared" si="118"/>
        <v>10644.98796737424</v>
      </c>
      <c r="X228" s="78">
        <f t="shared" si="119"/>
        <v>11827.859030308868</v>
      </c>
      <c r="Y228" s="78">
        <f t="shared" si="120"/>
        <v>10815.307774852228</v>
      </c>
      <c r="Z228" s="78">
        <f t="shared" si="121"/>
        <v>12017.10477479381</v>
      </c>
      <c r="AA228" s="78">
        <f t="shared" si="122"/>
        <v>11020.798622574419</v>
      </c>
      <c r="AB228" s="78">
        <f t="shared" si="123"/>
        <v>12245.429765514891</v>
      </c>
      <c r="AC228" s="1">
        <f t="shared" si="124"/>
        <v>11230.193796403331</v>
      </c>
      <c r="AD228" s="78">
        <f t="shared" si="125"/>
        <v>12478.092931059673</v>
      </c>
      <c r="AE228" s="1">
        <f t="shared" si="126"/>
        <v>11466.027866127801</v>
      </c>
      <c r="AF228" s="78">
        <f t="shared" si="127"/>
        <v>12740.132882611924</v>
      </c>
      <c r="AG228" s="141">
        <f t="shared" si="128"/>
        <v>11615.086228387461</v>
      </c>
      <c r="AH228" s="140">
        <f t="shared" si="129"/>
        <v>12905.754610085878</v>
      </c>
      <c r="AI228" s="141">
        <f t="shared" si="130"/>
        <v>11847.38795295521</v>
      </c>
      <c r="AJ228" s="140">
        <f t="shared" si="131"/>
        <v>13163.869702287597</v>
      </c>
      <c r="AK228" s="141">
        <f t="shared" si="132"/>
        <v>12190.962203590911</v>
      </c>
      <c r="AL228" s="140">
        <f t="shared" si="133"/>
        <v>13545.621923653936</v>
      </c>
      <c r="AM228" s="141">
        <f t="shared" si="134"/>
        <v>12958.992822417138</v>
      </c>
      <c r="AN228" s="141">
        <f t="shared" si="135"/>
        <v>14398.996104844133</v>
      </c>
    </row>
    <row r="229" spans="1:40">
      <c r="A229" s="56">
        <v>340201</v>
      </c>
      <c r="B229" s="162">
        <v>34020103</v>
      </c>
      <c r="C229" s="86" t="s">
        <v>324</v>
      </c>
      <c r="D229" s="16">
        <v>7665.7306554728775</v>
      </c>
      <c r="E229" s="17">
        <f t="shared" si="136"/>
        <v>8049.017188246522</v>
      </c>
      <c r="F229" s="57">
        <f>E229*1.045</f>
        <v>8411.2229617176145</v>
      </c>
      <c r="G229" s="57">
        <f t="shared" si="106"/>
        <v>8703.9335207853874</v>
      </c>
      <c r="H229" s="57">
        <f t="shared" si="107"/>
        <v>9671.1146136150601</v>
      </c>
      <c r="I229" s="57">
        <f t="shared" si="108"/>
        <v>8938.9397258465924</v>
      </c>
      <c r="J229" s="57">
        <f t="shared" si="108"/>
        <v>9932.2347081826665</v>
      </c>
      <c r="K229" s="57">
        <f t="shared" si="109"/>
        <v>9153.4742792669113</v>
      </c>
      <c r="L229" s="9">
        <f t="shared" si="109"/>
        <v>10170.608341179051</v>
      </c>
      <c r="M229" s="9">
        <f t="shared" si="110"/>
        <v>9400.6180848071162</v>
      </c>
      <c r="N229" s="9">
        <f t="shared" si="110"/>
        <v>10445.214766390885</v>
      </c>
      <c r="O229" s="78">
        <f t="shared" si="111"/>
        <v>9607.4316826728736</v>
      </c>
      <c r="P229" s="78">
        <f t="shared" si="111"/>
        <v>10675.009491251485</v>
      </c>
      <c r="Q229" s="1">
        <f t="shared" si="112"/>
        <v>9838.0100430570237</v>
      </c>
      <c r="R229" s="78">
        <f t="shared" si="113"/>
        <v>10931.209719041521</v>
      </c>
      <c r="S229" s="1">
        <f t="shared" si="114"/>
        <v>10202.016414650132</v>
      </c>
      <c r="T229" s="78">
        <f t="shared" si="115"/>
        <v>11335.664478646057</v>
      </c>
      <c r="U229" s="1">
        <f t="shared" si="116"/>
        <v>10487.672874260335</v>
      </c>
      <c r="V229" s="99">
        <f t="shared" si="117"/>
        <v>11653.063084048146</v>
      </c>
      <c r="W229" s="78">
        <f t="shared" si="118"/>
        <v>10644.98796737424</v>
      </c>
      <c r="X229" s="78">
        <f t="shared" si="119"/>
        <v>11827.859030308868</v>
      </c>
      <c r="Y229" s="78">
        <f t="shared" si="120"/>
        <v>10815.307774852228</v>
      </c>
      <c r="Z229" s="78">
        <f t="shared" si="121"/>
        <v>12017.10477479381</v>
      </c>
      <c r="AA229" s="78">
        <f t="shared" si="122"/>
        <v>11020.798622574419</v>
      </c>
      <c r="AB229" s="78">
        <f t="shared" si="123"/>
        <v>12245.429765514891</v>
      </c>
      <c r="AC229" s="1">
        <f t="shared" si="124"/>
        <v>11230.193796403331</v>
      </c>
      <c r="AD229" s="78">
        <f t="shared" si="125"/>
        <v>12478.092931059673</v>
      </c>
      <c r="AE229" s="1">
        <f t="shared" si="126"/>
        <v>11466.027866127801</v>
      </c>
      <c r="AF229" s="78">
        <f t="shared" si="127"/>
        <v>12740.132882611924</v>
      </c>
      <c r="AG229" s="141">
        <f t="shared" si="128"/>
        <v>11615.086228387461</v>
      </c>
      <c r="AH229" s="140">
        <f t="shared" si="129"/>
        <v>12905.754610085878</v>
      </c>
      <c r="AI229" s="141">
        <f t="shared" si="130"/>
        <v>11847.38795295521</v>
      </c>
      <c r="AJ229" s="140">
        <f t="shared" si="131"/>
        <v>13163.869702287597</v>
      </c>
      <c r="AK229" s="141">
        <f t="shared" si="132"/>
        <v>12190.962203590911</v>
      </c>
      <c r="AL229" s="140">
        <f t="shared" si="133"/>
        <v>13545.621923653936</v>
      </c>
      <c r="AM229" s="141">
        <f t="shared" si="134"/>
        <v>12958.992822417138</v>
      </c>
      <c r="AN229" s="141">
        <f t="shared" si="135"/>
        <v>14398.996104844133</v>
      </c>
    </row>
    <row r="230" spans="1:40">
      <c r="A230" s="56">
        <v>340201</v>
      </c>
      <c r="B230" s="162">
        <v>34020104</v>
      </c>
      <c r="C230" s="86" t="s">
        <v>325</v>
      </c>
      <c r="D230" s="16">
        <v>7665.7306554728775</v>
      </c>
      <c r="E230" s="17">
        <f t="shared" si="136"/>
        <v>8049.017188246522</v>
      </c>
      <c r="F230" s="57">
        <f>E230*1.045</f>
        <v>8411.2229617176145</v>
      </c>
      <c r="G230" s="57">
        <f t="shared" si="106"/>
        <v>8703.9335207853874</v>
      </c>
      <c r="H230" s="57">
        <f t="shared" si="107"/>
        <v>9671.1146136150601</v>
      </c>
      <c r="I230" s="57">
        <f t="shared" si="108"/>
        <v>8938.9397258465924</v>
      </c>
      <c r="J230" s="57">
        <f t="shared" si="108"/>
        <v>9932.2347081826665</v>
      </c>
      <c r="K230" s="57">
        <f t="shared" si="109"/>
        <v>9153.4742792669113</v>
      </c>
      <c r="L230" s="9">
        <f t="shared" si="109"/>
        <v>10170.608341179051</v>
      </c>
      <c r="M230" s="9">
        <f t="shared" si="110"/>
        <v>9400.6180848071162</v>
      </c>
      <c r="N230" s="9">
        <f t="shared" si="110"/>
        <v>10445.214766390885</v>
      </c>
      <c r="O230" s="78">
        <f t="shared" si="111"/>
        <v>9607.4316826728736</v>
      </c>
      <c r="P230" s="78">
        <f t="shared" si="111"/>
        <v>10675.009491251485</v>
      </c>
      <c r="Q230" s="1">
        <f t="shared" si="112"/>
        <v>9838.0100430570237</v>
      </c>
      <c r="R230" s="78">
        <f t="shared" si="113"/>
        <v>10931.209719041521</v>
      </c>
      <c r="S230" s="1">
        <f t="shared" si="114"/>
        <v>10202.016414650132</v>
      </c>
      <c r="T230" s="78">
        <f t="shared" si="115"/>
        <v>11335.664478646057</v>
      </c>
      <c r="U230" s="1">
        <f t="shared" si="116"/>
        <v>10487.672874260335</v>
      </c>
      <c r="V230" s="99">
        <f t="shared" si="117"/>
        <v>11653.063084048146</v>
      </c>
      <c r="W230" s="78">
        <f t="shared" si="118"/>
        <v>10644.98796737424</v>
      </c>
      <c r="X230" s="78">
        <f t="shared" si="119"/>
        <v>11827.859030308868</v>
      </c>
      <c r="Y230" s="78">
        <f t="shared" si="120"/>
        <v>10815.307774852228</v>
      </c>
      <c r="Z230" s="78">
        <f t="shared" si="121"/>
        <v>12017.10477479381</v>
      </c>
      <c r="AA230" s="78">
        <f t="shared" si="122"/>
        <v>11020.798622574419</v>
      </c>
      <c r="AB230" s="78">
        <f t="shared" si="123"/>
        <v>12245.429765514891</v>
      </c>
      <c r="AC230" s="1">
        <f t="shared" si="124"/>
        <v>11230.193796403331</v>
      </c>
      <c r="AD230" s="78">
        <f t="shared" si="125"/>
        <v>12478.092931059673</v>
      </c>
      <c r="AE230" s="1">
        <f t="shared" si="126"/>
        <v>11466.027866127801</v>
      </c>
      <c r="AF230" s="78">
        <f t="shared" si="127"/>
        <v>12740.132882611924</v>
      </c>
      <c r="AG230" s="141">
        <f t="shared" si="128"/>
        <v>11615.086228387461</v>
      </c>
      <c r="AH230" s="140">
        <f t="shared" si="129"/>
        <v>12905.754610085878</v>
      </c>
      <c r="AI230" s="141">
        <f t="shared" si="130"/>
        <v>11847.38795295521</v>
      </c>
      <c r="AJ230" s="140">
        <f t="shared" si="131"/>
        <v>13163.869702287597</v>
      </c>
      <c r="AK230" s="141">
        <f t="shared" si="132"/>
        <v>12190.962203590911</v>
      </c>
      <c r="AL230" s="140">
        <f t="shared" si="133"/>
        <v>13545.621923653936</v>
      </c>
      <c r="AM230" s="141">
        <f t="shared" si="134"/>
        <v>12958.992822417138</v>
      </c>
      <c r="AN230" s="141">
        <f t="shared" si="135"/>
        <v>14398.996104844133</v>
      </c>
    </row>
    <row r="231" spans="1:40">
      <c r="A231" s="56">
        <v>340201</v>
      </c>
      <c r="B231" s="162">
        <v>34020107</v>
      </c>
      <c r="C231" s="86" t="s">
        <v>326</v>
      </c>
      <c r="D231" s="16">
        <v>7665.7306554728775</v>
      </c>
      <c r="E231" s="17">
        <f t="shared" si="136"/>
        <v>8049.017188246522</v>
      </c>
      <c r="F231" s="57">
        <f>E231*1.045</f>
        <v>8411.2229617176145</v>
      </c>
      <c r="G231" s="57">
        <f t="shared" si="106"/>
        <v>8703.9335207853874</v>
      </c>
      <c r="H231" s="57">
        <f t="shared" si="107"/>
        <v>9671.1146136150601</v>
      </c>
      <c r="I231" s="57">
        <f t="shared" si="108"/>
        <v>8938.9397258465924</v>
      </c>
      <c r="J231" s="57">
        <f t="shared" si="108"/>
        <v>9932.2347081826665</v>
      </c>
      <c r="K231" s="57">
        <f t="shared" si="109"/>
        <v>9153.4742792669113</v>
      </c>
      <c r="L231" s="9">
        <f t="shared" si="109"/>
        <v>10170.608341179051</v>
      </c>
      <c r="M231" s="9">
        <f t="shared" si="110"/>
        <v>9400.6180848071162</v>
      </c>
      <c r="N231" s="9">
        <f t="shared" si="110"/>
        <v>10445.214766390885</v>
      </c>
      <c r="O231" s="78">
        <f t="shared" si="111"/>
        <v>9607.4316826728736</v>
      </c>
      <c r="P231" s="78">
        <f t="shared" si="111"/>
        <v>10675.009491251485</v>
      </c>
      <c r="Q231" s="1">
        <f t="shared" si="112"/>
        <v>9838.0100430570237</v>
      </c>
      <c r="R231" s="78">
        <f t="shared" si="113"/>
        <v>10931.209719041521</v>
      </c>
      <c r="S231" s="1">
        <f t="shared" si="114"/>
        <v>10202.016414650132</v>
      </c>
      <c r="T231" s="78">
        <f t="shared" si="115"/>
        <v>11335.664478646057</v>
      </c>
      <c r="U231" s="1">
        <f t="shared" si="116"/>
        <v>10487.672874260335</v>
      </c>
      <c r="V231" s="99">
        <f t="shared" si="117"/>
        <v>11653.063084048146</v>
      </c>
      <c r="W231" s="78">
        <f t="shared" si="118"/>
        <v>10644.98796737424</v>
      </c>
      <c r="X231" s="78">
        <f t="shared" si="119"/>
        <v>11827.859030308868</v>
      </c>
      <c r="Y231" s="78">
        <f t="shared" si="120"/>
        <v>10815.307774852228</v>
      </c>
      <c r="Z231" s="78">
        <f t="shared" si="121"/>
        <v>12017.10477479381</v>
      </c>
      <c r="AA231" s="78">
        <f t="shared" si="122"/>
        <v>11020.798622574419</v>
      </c>
      <c r="AB231" s="78">
        <f t="shared" si="123"/>
        <v>12245.429765514891</v>
      </c>
      <c r="AC231" s="1">
        <f t="shared" si="124"/>
        <v>11230.193796403331</v>
      </c>
      <c r="AD231" s="78">
        <f t="shared" si="125"/>
        <v>12478.092931059673</v>
      </c>
      <c r="AE231" s="1">
        <f t="shared" si="126"/>
        <v>11466.027866127801</v>
      </c>
      <c r="AF231" s="78">
        <f t="shared" si="127"/>
        <v>12740.132882611924</v>
      </c>
      <c r="AG231" s="141">
        <f t="shared" si="128"/>
        <v>11615.086228387461</v>
      </c>
      <c r="AH231" s="140">
        <f t="shared" si="129"/>
        <v>12905.754610085878</v>
      </c>
      <c r="AI231" s="141">
        <f t="shared" si="130"/>
        <v>11847.38795295521</v>
      </c>
      <c r="AJ231" s="140">
        <f t="shared" si="131"/>
        <v>13163.869702287597</v>
      </c>
      <c r="AK231" s="141">
        <f t="shared" si="132"/>
        <v>12190.962203590911</v>
      </c>
      <c r="AL231" s="140">
        <f t="shared" si="133"/>
        <v>13545.621923653936</v>
      </c>
      <c r="AM231" s="141">
        <f t="shared" si="134"/>
        <v>12958.992822417138</v>
      </c>
      <c r="AN231" s="141">
        <f t="shared" si="135"/>
        <v>14398.996104844133</v>
      </c>
    </row>
    <row r="232" spans="1:40">
      <c r="A232" s="56">
        <v>340202</v>
      </c>
      <c r="B232" s="162">
        <v>34020200</v>
      </c>
      <c r="C232" s="86" t="s">
        <v>327</v>
      </c>
      <c r="D232" s="16">
        <v>5576.6696727647477</v>
      </c>
      <c r="E232" s="17">
        <f t="shared" si="136"/>
        <v>5855.503156402985</v>
      </c>
      <c r="F232" s="57">
        <f>E232*1.045</f>
        <v>6119.0007984411186</v>
      </c>
      <c r="G232" s="57">
        <f t="shared" si="106"/>
        <v>6331.9420262268695</v>
      </c>
      <c r="H232" s="57">
        <f t="shared" si="107"/>
        <v>7035.5474241811999</v>
      </c>
      <c r="I232" s="57">
        <f t="shared" si="108"/>
        <v>6502.9044609349949</v>
      </c>
      <c r="J232" s="57">
        <f t="shared" si="108"/>
        <v>7225.507204634092</v>
      </c>
      <c r="K232" s="57">
        <f t="shared" si="109"/>
        <v>6658.974167997435</v>
      </c>
      <c r="L232" s="9">
        <f t="shared" si="109"/>
        <v>7398.9193775453105</v>
      </c>
      <c r="M232" s="9">
        <f t="shared" si="110"/>
        <v>6838.7664705333655</v>
      </c>
      <c r="N232" s="9">
        <f t="shared" si="110"/>
        <v>7598.6902007390336</v>
      </c>
      <c r="O232" s="78">
        <f t="shared" si="111"/>
        <v>6989.2193328850999</v>
      </c>
      <c r="P232" s="78">
        <f t="shared" si="111"/>
        <v>7765.8613851552927</v>
      </c>
      <c r="Q232" s="1">
        <f t="shared" si="112"/>
        <v>7156.9605968743426</v>
      </c>
      <c r="R232" s="78">
        <f t="shared" si="113"/>
        <v>7952.2420583990197</v>
      </c>
      <c r="S232" s="1">
        <f t="shared" si="114"/>
        <v>7421.7681389586924</v>
      </c>
      <c r="T232" s="78">
        <f t="shared" si="115"/>
        <v>8246.4750145597827</v>
      </c>
      <c r="U232" s="1">
        <f t="shared" si="116"/>
        <v>7629.577646849536</v>
      </c>
      <c r="V232" s="99">
        <f t="shared" si="117"/>
        <v>8477.376314967456</v>
      </c>
      <c r="W232" s="78">
        <f t="shared" si="118"/>
        <v>7744.0213115522783</v>
      </c>
      <c r="X232" s="78">
        <f t="shared" si="119"/>
        <v>8604.5369596919663</v>
      </c>
      <c r="Y232" s="78">
        <f t="shared" si="120"/>
        <v>7867.9256525371147</v>
      </c>
      <c r="Z232" s="78">
        <f t="shared" si="121"/>
        <v>8742.2095510470372</v>
      </c>
      <c r="AA232" s="78">
        <f t="shared" si="122"/>
        <v>8017.416239935319</v>
      </c>
      <c r="AB232" s="78">
        <f t="shared" si="123"/>
        <v>8908.3115325169292</v>
      </c>
      <c r="AC232" s="1">
        <f t="shared" si="124"/>
        <v>8169.7471484940897</v>
      </c>
      <c r="AD232" s="78">
        <f t="shared" si="125"/>
        <v>9077.5694516347503</v>
      </c>
      <c r="AE232" s="1">
        <f t="shared" si="126"/>
        <v>8341.3118386124643</v>
      </c>
      <c r="AF232" s="78">
        <f t="shared" si="127"/>
        <v>9268.1984101190792</v>
      </c>
      <c r="AG232" s="141">
        <f t="shared" si="128"/>
        <v>8449.7488925144262</v>
      </c>
      <c r="AH232" s="140">
        <f t="shared" si="129"/>
        <v>9388.6849894506267</v>
      </c>
      <c r="AI232" s="141">
        <f t="shared" si="130"/>
        <v>8618.7438703647149</v>
      </c>
      <c r="AJ232" s="140">
        <f t="shared" si="131"/>
        <v>9576.4586892396401</v>
      </c>
      <c r="AK232" s="141">
        <f t="shared" si="132"/>
        <v>8868.6874426052909</v>
      </c>
      <c r="AL232" s="140">
        <f t="shared" si="133"/>
        <v>9854.1759912275884</v>
      </c>
      <c r="AM232" s="141">
        <f t="shared" si="134"/>
        <v>9427.414751489423</v>
      </c>
      <c r="AN232" s="141">
        <f t="shared" si="135"/>
        <v>10474.989078674926</v>
      </c>
    </row>
    <row r="233" spans="1:40">
      <c r="A233" s="56">
        <v>340203</v>
      </c>
      <c r="B233" s="162">
        <v>34020300</v>
      </c>
      <c r="C233" s="86" t="s">
        <v>328</v>
      </c>
      <c r="D233" s="16">
        <v>9521.475723409736</v>
      </c>
      <c r="E233" s="17">
        <f t="shared" si="136"/>
        <v>9997.5495095802235</v>
      </c>
      <c r="F233" s="57">
        <f>E233*1.045</f>
        <v>10447.439237511333</v>
      </c>
      <c r="G233" s="57">
        <f t="shared" si="106"/>
        <v>10811.010122976726</v>
      </c>
      <c r="H233" s="57">
        <f t="shared" si="107"/>
        <v>12012.329567841902</v>
      </c>
      <c r="I233" s="57">
        <f t="shared" si="108"/>
        <v>11102.907396297096</v>
      </c>
      <c r="J233" s="57">
        <f t="shared" si="108"/>
        <v>12336.662466173631</v>
      </c>
      <c r="K233" s="57">
        <f t="shared" si="109"/>
        <v>11369.377173808227</v>
      </c>
      <c r="L233" s="9">
        <f t="shared" si="109"/>
        <v>12632.742365361799</v>
      </c>
      <c r="M233" s="9">
        <f t="shared" si="110"/>
        <v>11676.350357501047</v>
      </c>
      <c r="N233" s="9">
        <f t="shared" si="110"/>
        <v>12973.826409226567</v>
      </c>
      <c r="O233" s="78">
        <f t="shared" si="111"/>
        <v>11933.230065366071</v>
      </c>
      <c r="P233" s="78">
        <f t="shared" si="111"/>
        <v>13259.250590229552</v>
      </c>
      <c r="Q233" s="1">
        <f t="shared" si="112"/>
        <v>12219.627586934857</v>
      </c>
      <c r="R233" s="78">
        <f t="shared" si="113"/>
        <v>13577.472604395061</v>
      </c>
      <c r="S233" s="1">
        <f t="shared" si="114"/>
        <v>12671.753807651447</v>
      </c>
      <c r="T233" s="78">
        <f t="shared" si="115"/>
        <v>14079.839090757678</v>
      </c>
      <c r="U233" s="1">
        <f t="shared" si="116"/>
        <v>13026.562914265687</v>
      </c>
      <c r="V233" s="99">
        <f t="shared" si="117"/>
        <v>14474.074585298893</v>
      </c>
      <c r="W233" s="78">
        <f t="shared" si="118"/>
        <v>13221.961357979671</v>
      </c>
      <c r="X233" s="78">
        <f t="shared" si="119"/>
        <v>14691.185704078374</v>
      </c>
      <c r="Y233" s="78">
        <f t="shared" si="120"/>
        <v>13433.512739707347</v>
      </c>
      <c r="Z233" s="78">
        <f t="shared" si="121"/>
        <v>14926.244675343629</v>
      </c>
      <c r="AA233" s="78">
        <f t="shared" si="122"/>
        <v>13688.749481761784</v>
      </c>
      <c r="AB233" s="78">
        <f t="shared" si="123"/>
        <v>15209.843324175157</v>
      </c>
      <c r="AC233" s="1">
        <f t="shared" si="124"/>
        <v>13948.835721915257</v>
      </c>
      <c r="AD233" s="78">
        <f t="shared" si="125"/>
        <v>15498.830347334484</v>
      </c>
      <c r="AE233" s="1">
        <f t="shared" si="126"/>
        <v>14241.761272075475</v>
      </c>
      <c r="AF233" s="78">
        <f t="shared" si="127"/>
        <v>15824.305784628506</v>
      </c>
      <c r="AG233" s="141">
        <f t="shared" si="128"/>
        <v>14426.904168612455</v>
      </c>
      <c r="AH233" s="140">
        <f t="shared" si="129"/>
        <v>16030.021759828676</v>
      </c>
      <c r="AI233" s="141">
        <f t="shared" si="130"/>
        <v>14715.442251984705</v>
      </c>
      <c r="AJ233" s="140">
        <f t="shared" si="131"/>
        <v>16350.622195025249</v>
      </c>
      <c r="AK233" s="141">
        <f t="shared" si="132"/>
        <v>15142.19007729226</v>
      </c>
      <c r="AL233" s="140">
        <f t="shared" si="133"/>
        <v>16824.79023868098</v>
      </c>
      <c r="AM233" s="141">
        <f t="shared" si="134"/>
        <v>16096.148052161672</v>
      </c>
      <c r="AN233" s="141">
        <f t="shared" si="135"/>
        <v>17884.75202371788</v>
      </c>
    </row>
    <row r="234" spans="1:40">
      <c r="A234" s="56">
        <v>340203</v>
      </c>
      <c r="B234" s="162">
        <v>34020302</v>
      </c>
      <c r="C234" s="86" t="s">
        <v>329</v>
      </c>
      <c r="D234" s="16">
        <v>9521.475723409736</v>
      </c>
      <c r="E234" s="17">
        <f t="shared" si="136"/>
        <v>9997.5495095802235</v>
      </c>
      <c r="F234" s="57">
        <f>E234*1.045</f>
        <v>10447.439237511333</v>
      </c>
      <c r="G234" s="57">
        <f t="shared" si="106"/>
        <v>10811.010122976726</v>
      </c>
      <c r="H234" s="57">
        <f t="shared" si="107"/>
        <v>12012.329567841902</v>
      </c>
      <c r="I234" s="57">
        <f t="shared" si="108"/>
        <v>11102.907396297096</v>
      </c>
      <c r="J234" s="57">
        <f t="shared" si="108"/>
        <v>12336.662466173631</v>
      </c>
      <c r="K234" s="57">
        <f t="shared" si="109"/>
        <v>11369.377173808227</v>
      </c>
      <c r="L234" s="9">
        <f t="shared" si="109"/>
        <v>12632.742365361799</v>
      </c>
      <c r="M234" s="9">
        <f t="shared" si="110"/>
        <v>11676.350357501047</v>
      </c>
      <c r="N234" s="9">
        <f t="shared" si="110"/>
        <v>12973.826409226567</v>
      </c>
      <c r="O234" s="78">
        <f t="shared" si="111"/>
        <v>11933.230065366071</v>
      </c>
      <c r="P234" s="78">
        <f t="shared" si="111"/>
        <v>13259.250590229552</v>
      </c>
      <c r="Q234" s="1">
        <f t="shared" si="112"/>
        <v>12219.627586934857</v>
      </c>
      <c r="R234" s="78">
        <f t="shared" si="113"/>
        <v>13577.472604395061</v>
      </c>
      <c r="S234" s="1">
        <f t="shared" si="114"/>
        <v>12671.753807651447</v>
      </c>
      <c r="T234" s="78">
        <f t="shared" si="115"/>
        <v>14079.839090757678</v>
      </c>
      <c r="U234" s="1">
        <f t="shared" si="116"/>
        <v>13026.562914265687</v>
      </c>
      <c r="V234" s="99">
        <f t="shared" si="117"/>
        <v>14474.074585298893</v>
      </c>
      <c r="W234" s="78">
        <f t="shared" si="118"/>
        <v>13221.961357979671</v>
      </c>
      <c r="X234" s="78">
        <f t="shared" si="119"/>
        <v>14691.185704078374</v>
      </c>
      <c r="Y234" s="78">
        <f t="shared" si="120"/>
        <v>13433.512739707347</v>
      </c>
      <c r="Z234" s="78">
        <f t="shared" si="121"/>
        <v>14926.244675343629</v>
      </c>
      <c r="AA234" s="78">
        <f t="shared" si="122"/>
        <v>13688.749481761784</v>
      </c>
      <c r="AB234" s="78">
        <f t="shared" si="123"/>
        <v>15209.843324175157</v>
      </c>
      <c r="AC234" s="1">
        <f t="shared" si="124"/>
        <v>13948.835721915257</v>
      </c>
      <c r="AD234" s="78">
        <f t="shared" si="125"/>
        <v>15498.830347334484</v>
      </c>
      <c r="AE234" s="1">
        <f t="shared" si="126"/>
        <v>14241.761272075475</v>
      </c>
      <c r="AF234" s="78">
        <f t="shared" si="127"/>
        <v>15824.305784628506</v>
      </c>
      <c r="AG234" s="141">
        <f t="shared" si="128"/>
        <v>14426.904168612455</v>
      </c>
      <c r="AH234" s="140">
        <f t="shared" si="129"/>
        <v>16030.021759828676</v>
      </c>
      <c r="AI234" s="141">
        <f t="shared" si="130"/>
        <v>14715.442251984705</v>
      </c>
      <c r="AJ234" s="140">
        <f t="shared" si="131"/>
        <v>16350.622195025249</v>
      </c>
      <c r="AK234" s="141">
        <f t="shared" si="132"/>
        <v>15142.19007729226</v>
      </c>
      <c r="AL234" s="140">
        <f t="shared" si="133"/>
        <v>16824.79023868098</v>
      </c>
      <c r="AM234" s="141">
        <f t="shared" si="134"/>
        <v>16096.148052161672</v>
      </c>
      <c r="AN234" s="141">
        <f t="shared" si="135"/>
        <v>17884.75202371788</v>
      </c>
    </row>
    <row r="235" spans="1:40">
      <c r="A235" s="56">
        <v>340204</v>
      </c>
      <c r="B235" s="162">
        <v>34020400</v>
      </c>
      <c r="C235" s="86" t="s">
        <v>330</v>
      </c>
      <c r="D235" s="16">
        <v>9521.475723409736</v>
      </c>
      <c r="E235" s="17">
        <f t="shared" si="136"/>
        <v>9997.5495095802235</v>
      </c>
      <c r="F235" s="57">
        <f>E235*1.045</f>
        <v>10447.439237511333</v>
      </c>
      <c r="G235" s="57">
        <f t="shared" si="106"/>
        <v>10811.010122976726</v>
      </c>
      <c r="H235" s="57">
        <f t="shared" si="107"/>
        <v>12012.329567841902</v>
      </c>
      <c r="I235" s="57">
        <f t="shared" si="108"/>
        <v>11102.907396297096</v>
      </c>
      <c r="J235" s="57">
        <f t="shared" si="108"/>
        <v>12336.662466173631</v>
      </c>
      <c r="K235" s="57">
        <f t="shared" si="109"/>
        <v>11369.377173808227</v>
      </c>
      <c r="L235" s="9">
        <f t="shared" si="109"/>
        <v>12632.742365361799</v>
      </c>
      <c r="M235" s="9">
        <f t="shared" si="110"/>
        <v>11676.350357501047</v>
      </c>
      <c r="N235" s="9">
        <f t="shared" si="110"/>
        <v>12973.826409226567</v>
      </c>
      <c r="O235" s="78">
        <f t="shared" si="111"/>
        <v>11933.230065366071</v>
      </c>
      <c r="P235" s="78">
        <f t="shared" si="111"/>
        <v>13259.250590229552</v>
      </c>
      <c r="Q235" s="1">
        <f t="shared" si="112"/>
        <v>12219.627586934857</v>
      </c>
      <c r="R235" s="78">
        <f t="shared" si="113"/>
        <v>13577.472604395061</v>
      </c>
      <c r="S235" s="1">
        <f t="shared" si="114"/>
        <v>12671.753807651447</v>
      </c>
      <c r="T235" s="78">
        <f t="shared" si="115"/>
        <v>14079.839090757678</v>
      </c>
      <c r="U235" s="1">
        <f t="shared" si="116"/>
        <v>13026.562914265687</v>
      </c>
      <c r="V235" s="99">
        <f t="shared" si="117"/>
        <v>14474.074585298893</v>
      </c>
      <c r="W235" s="78">
        <f t="shared" si="118"/>
        <v>13221.961357979671</v>
      </c>
      <c r="X235" s="78">
        <f t="shared" si="119"/>
        <v>14691.185704078374</v>
      </c>
      <c r="Y235" s="78">
        <f t="shared" si="120"/>
        <v>13433.512739707347</v>
      </c>
      <c r="Z235" s="78">
        <f t="shared" si="121"/>
        <v>14926.244675343629</v>
      </c>
      <c r="AA235" s="78">
        <f t="shared" si="122"/>
        <v>13688.749481761784</v>
      </c>
      <c r="AB235" s="78">
        <f t="shared" si="123"/>
        <v>15209.843324175157</v>
      </c>
      <c r="AC235" s="1">
        <f t="shared" si="124"/>
        <v>13948.835721915257</v>
      </c>
      <c r="AD235" s="78">
        <f t="shared" si="125"/>
        <v>15498.830347334484</v>
      </c>
      <c r="AE235" s="1">
        <f t="shared" si="126"/>
        <v>14241.761272075475</v>
      </c>
      <c r="AF235" s="78">
        <f t="shared" si="127"/>
        <v>15824.305784628506</v>
      </c>
      <c r="AG235" s="141">
        <f t="shared" si="128"/>
        <v>14426.904168612455</v>
      </c>
      <c r="AH235" s="140">
        <f t="shared" si="129"/>
        <v>16030.021759828676</v>
      </c>
      <c r="AI235" s="141">
        <f t="shared" si="130"/>
        <v>14715.442251984705</v>
      </c>
      <c r="AJ235" s="140">
        <f t="shared" si="131"/>
        <v>16350.622195025249</v>
      </c>
      <c r="AK235" s="141">
        <f t="shared" si="132"/>
        <v>15142.19007729226</v>
      </c>
      <c r="AL235" s="140">
        <f t="shared" si="133"/>
        <v>16824.79023868098</v>
      </c>
      <c r="AM235" s="141">
        <f t="shared" si="134"/>
        <v>16096.148052161672</v>
      </c>
      <c r="AN235" s="141">
        <f t="shared" si="135"/>
        <v>17884.75202371788</v>
      </c>
    </row>
    <row r="236" spans="1:40">
      <c r="A236" s="56">
        <v>340205</v>
      </c>
      <c r="B236" s="162">
        <v>34020500</v>
      </c>
      <c r="C236" s="86" t="s">
        <v>331</v>
      </c>
      <c r="D236" s="16">
        <v>33797.861877232885</v>
      </c>
      <c r="E236" s="17">
        <f t="shared" si="136"/>
        <v>35487.754971094531</v>
      </c>
      <c r="F236" s="57">
        <f>E236*1.045</f>
        <v>37084.703944793786</v>
      </c>
      <c r="G236" s="57">
        <f t="shared" si="106"/>
        <v>38375.25164207261</v>
      </c>
      <c r="H236" s="57">
        <f t="shared" si="107"/>
        <v>42639.509604539722</v>
      </c>
      <c r="I236" s="57">
        <f t="shared" si="108"/>
        <v>39411.383436408563</v>
      </c>
      <c r="J236" s="57">
        <f t="shared" si="108"/>
        <v>43790.776363862293</v>
      </c>
      <c r="K236" s="57">
        <f t="shared" si="109"/>
        <v>40357.256638882369</v>
      </c>
      <c r="L236" s="9">
        <f t="shared" si="109"/>
        <v>44841.754996594987</v>
      </c>
      <c r="M236" s="9">
        <f t="shared" si="110"/>
        <v>41446.902568132187</v>
      </c>
      <c r="N236" s="9">
        <f t="shared" si="110"/>
        <v>46052.482381503047</v>
      </c>
      <c r="O236" s="78">
        <f t="shared" si="111"/>
        <v>42358.734424631097</v>
      </c>
      <c r="P236" s="78">
        <f t="shared" si="111"/>
        <v>47065.636993896114</v>
      </c>
      <c r="Q236" s="1">
        <f t="shared" si="112"/>
        <v>43375.344050822241</v>
      </c>
      <c r="R236" s="78">
        <f t="shared" si="113"/>
        <v>48195.21228174962</v>
      </c>
      <c r="S236" s="1">
        <f t="shared" si="114"/>
        <v>44980.231780702663</v>
      </c>
      <c r="T236" s="78">
        <f t="shared" si="115"/>
        <v>49978.435136174354</v>
      </c>
      <c r="U236" s="1">
        <f t="shared" si="116"/>
        <v>46239.678270562341</v>
      </c>
      <c r="V236" s="99">
        <f t="shared" si="117"/>
        <v>51377.831319987235</v>
      </c>
      <c r="W236" s="78">
        <f t="shared" si="118"/>
        <v>46933.273444620769</v>
      </c>
      <c r="X236" s="78">
        <f t="shared" si="119"/>
        <v>52148.498789787038</v>
      </c>
      <c r="Y236" s="78">
        <f t="shared" si="120"/>
        <v>47684.2058197347</v>
      </c>
      <c r="Z236" s="78">
        <f t="shared" si="121"/>
        <v>52982.87477042363</v>
      </c>
      <c r="AA236" s="78">
        <f t="shared" si="122"/>
        <v>48590.205730309652</v>
      </c>
      <c r="AB236" s="78">
        <f t="shared" si="123"/>
        <v>53989.549391061671</v>
      </c>
      <c r="AC236" s="1">
        <f t="shared" si="124"/>
        <v>49513.419639185529</v>
      </c>
      <c r="AD236" s="78">
        <f t="shared" si="125"/>
        <v>55015.350829491836</v>
      </c>
      <c r="AE236" s="1">
        <f t="shared" si="126"/>
        <v>50553.201451608424</v>
      </c>
      <c r="AF236" s="78">
        <f t="shared" si="127"/>
        <v>56170.673196911157</v>
      </c>
      <c r="AG236" s="141">
        <f t="shared" si="128"/>
        <v>51210.393070479331</v>
      </c>
      <c r="AH236" s="140">
        <f t="shared" si="129"/>
        <v>56900.891948470999</v>
      </c>
      <c r="AI236" s="141">
        <f t="shared" si="130"/>
        <v>52234.600931888919</v>
      </c>
      <c r="AJ236" s="140">
        <f t="shared" si="131"/>
        <v>58038.909787440418</v>
      </c>
      <c r="AK236" s="141">
        <f t="shared" si="132"/>
        <v>53749.404358913693</v>
      </c>
      <c r="AL236" s="140">
        <f t="shared" si="133"/>
        <v>59722.038171276188</v>
      </c>
      <c r="AM236" s="141">
        <f t="shared" si="134"/>
        <v>57135.616833525251</v>
      </c>
      <c r="AN236" s="141">
        <f t="shared" si="135"/>
        <v>63484.526576066586</v>
      </c>
    </row>
    <row r="237" spans="1:40">
      <c r="A237" s="56">
        <v>340205</v>
      </c>
      <c r="B237" s="162">
        <v>34020501</v>
      </c>
      <c r="C237" s="86" t="s">
        <v>332</v>
      </c>
      <c r="D237" s="16">
        <v>33797.861877232885</v>
      </c>
      <c r="E237" s="17">
        <f t="shared" si="136"/>
        <v>35487.754971094531</v>
      </c>
      <c r="F237" s="57">
        <f>E237*1.045</f>
        <v>37084.703944793786</v>
      </c>
      <c r="G237" s="57">
        <f t="shared" si="106"/>
        <v>38375.25164207261</v>
      </c>
      <c r="H237" s="57">
        <f t="shared" si="107"/>
        <v>42639.509604539722</v>
      </c>
      <c r="I237" s="57">
        <f t="shared" si="108"/>
        <v>39411.383436408563</v>
      </c>
      <c r="J237" s="57">
        <f t="shared" si="108"/>
        <v>43790.776363862293</v>
      </c>
      <c r="K237" s="57">
        <f t="shared" si="109"/>
        <v>40357.256638882369</v>
      </c>
      <c r="L237" s="9">
        <f t="shared" si="109"/>
        <v>44841.754996594987</v>
      </c>
      <c r="M237" s="9">
        <f t="shared" si="110"/>
        <v>41446.902568132187</v>
      </c>
      <c r="N237" s="9">
        <f t="shared" si="110"/>
        <v>46052.482381503047</v>
      </c>
      <c r="O237" s="78">
        <f t="shared" si="111"/>
        <v>42358.734424631097</v>
      </c>
      <c r="P237" s="78">
        <f t="shared" si="111"/>
        <v>47065.636993896114</v>
      </c>
      <c r="Q237" s="1">
        <f t="shared" si="112"/>
        <v>43375.344050822241</v>
      </c>
      <c r="R237" s="78">
        <f t="shared" si="113"/>
        <v>48195.21228174962</v>
      </c>
      <c r="S237" s="1">
        <f t="shared" si="114"/>
        <v>44980.231780702663</v>
      </c>
      <c r="T237" s="78">
        <f t="shared" si="115"/>
        <v>49978.435136174354</v>
      </c>
      <c r="U237" s="1">
        <f t="shared" si="116"/>
        <v>46239.678270562341</v>
      </c>
      <c r="V237" s="99">
        <f t="shared" si="117"/>
        <v>51377.831319987235</v>
      </c>
      <c r="W237" s="78">
        <f t="shared" si="118"/>
        <v>46933.273444620769</v>
      </c>
      <c r="X237" s="78">
        <f t="shared" si="119"/>
        <v>52148.498789787038</v>
      </c>
      <c r="Y237" s="78">
        <f t="shared" si="120"/>
        <v>47684.2058197347</v>
      </c>
      <c r="Z237" s="78">
        <f t="shared" si="121"/>
        <v>52982.87477042363</v>
      </c>
      <c r="AA237" s="78">
        <f t="shared" si="122"/>
        <v>48590.205730309652</v>
      </c>
      <c r="AB237" s="78">
        <f t="shared" si="123"/>
        <v>53989.549391061671</v>
      </c>
      <c r="AC237" s="1">
        <f t="shared" si="124"/>
        <v>49513.419639185529</v>
      </c>
      <c r="AD237" s="78">
        <f t="shared" si="125"/>
        <v>55015.350829491836</v>
      </c>
      <c r="AE237" s="1">
        <f t="shared" si="126"/>
        <v>50553.201451608424</v>
      </c>
      <c r="AF237" s="78">
        <f t="shared" si="127"/>
        <v>56170.673196911157</v>
      </c>
      <c r="AG237" s="141">
        <f t="shared" si="128"/>
        <v>51210.393070479331</v>
      </c>
      <c r="AH237" s="140">
        <f t="shared" si="129"/>
        <v>56900.891948470999</v>
      </c>
      <c r="AI237" s="141">
        <f t="shared" si="130"/>
        <v>52234.600931888919</v>
      </c>
      <c r="AJ237" s="140">
        <f t="shared" si="131"/>
        <v>58038.909787440418</v>
      </c>
      <c r="AK237" s="141">
        <f t="shared" si="132"/>
        <v>53749.404358913693</v>
      </c>
      <c r="AL237" s="140">
        <f t="shared" si="133"/>
        <v>59722.038171276188</v>
      </c>
      <c r="AM237" s="141">
        <f t="shared" si="134"/>
        <v>57135.616833525251</v>
      </c>
      <c r="AN237" s="141">
        <f t="shared" si="135"/>
        <v>63484.526576066586</v>
      </c>
    </row>
    <row r="238" spans="1:40">
      <c r="A238" s="56">
        <v>340206</v>
      </c>
      <c r="B238" s="162">
        <v>34020600</v>
      </c>
      <c r="C238" s="86" t="s">
        <v>327</v>
      </c>
      <c r="D238" s="16">
        <v>16512.267464971119</v>
      </c>
      <c r="E238" s="17">
        <f t="shared" si="136"/>
        <v>17337.880838219677</v>
      </c>
      <c r="F238" s="57">
        <f>E238*1.045</f>
        <v>18118.085475939562</v>
      </c>
      <c r="G238" s="57">
        <f t="shared" si="106"/>
        <v>18748.594850502257</v>
      </c>
      <c r="H238" s="57">
        <f t="shared" si="107"/>
        <v>20831.938710290069</v>
      </c>
      <c r="I238" s="57">
        <f t="shared" si="108"/>
        <v>19254.806911465817</v>
      </c>
      <c r="J238" s="57">
        <f t="shared" si="108"/>
        <v>21394.401055467901</v>
      </c>
      <c r="K238" s="57">
        <f t="shared" si="109"/>
        <v>19716.922277340997</v>
      </c>
      <c r="L238" s="9">
        <f t="shared" si="109"/>
        <v>21907.866680799132</v>
      </c>
      <c r="M238" s="9">
        <f t="shared" si="110"/>
        <v>20249.279178829202</v>
      </c>
      <c r="N238" s="9">
        <f t="shared" si="110"/>
        <v>22499.379081180708</v>
      </c>
      <c r="O238" s="78">
        <f t="shared" si="111"/>
        <v>20694.763320763443</v>
      </c>
      <c r="P238" s="78">
        <f t="shared" si="111"/>
        <v>22994.365420966686</v>
      </c>
      <c r="Q238" s="1">
        <f t="shared" si="112"/>
        <v>21191.437640461765</v>
      </c>
      <c r="R238" s="78">
        <f t="shared" si="113"/>
        <v>23546.230191069888</v>
      </c>
      <c r="S238" s="1">
        <f t="shared" si="114"/>
        <v>21975.520833158847</v>
      </c>
      <c r="T238" s="78">
        <f t="shared" si="115"/>
        <v>24417.440708139471</v>
      </c>
      <c r="U238" s="1">
        <f t="shared" si="116"/>
        <v>22590.835416487294</v>
      </c>
      <c r="V238" s="99">
        <f t="shared" si="117"/>
        <v>25101.129047967377</v>
      </c>
      <c r="W238" s="78">
        <f t="shared" si="118"/>
        <v>22929.697947734603</v>
      </c>
      <c r="X238" s="78">
        <f t="shared" si="119"/>
        <v>25477.645983686885</v>
      </c>
      <c r="Y238" s="78">
        <f t="shared" si="120"/>
        <v>23296.573114898358</v>
      </c>
      <c r="Z238" s="78">
        <f t="shared" si="121"/>
        <v>25885.288319425876</v>
      </c>
      <c r="AA238" s="78">
        <f t="shared" si="122"/>
        <v>23739.208004081425</v>
      </c>
      <c r="AB238" s="78">
        <f t="shared" si="123"/>
        <v>26377.108797494966</v>
      </c>
      <c r="AC238" s="1">
        <f t="shared" si="124"/>
        <v>24190.252956158969</v>
      </c>
      <c r="AD238" s="78">
        <f t="shared" si="125"/>
        <v>26878.273864647366</v>
      </c>
      <c r="AE238" s="1">
        <f t="shared" si="126"/>
        <v>24698.248268238305</v>
      </c>
      <c r="AF238" s="78">
        <f t="shared" si="127"/>
        <v>27442.717615804959</v>
      </c>
      <c r="AG238" s="141">
        <f t="shared" si="128"/>
        <v>25019.325495725399</v>
      </c>
      <c r="AH238" s="140">
        <f t="shared" si="129"/>
        <v>27799.472944810419</v>
      </c>
      <c r="AI238" s="141">
        <f t="shared" si="130"/>
        <v>25519.712005639907</v>
      </c>
      <c r="AJ238" s="140">
        <f t="shared" si="131"/>
        <v>28355.462403706628</v>
      </c>
      <c r="AK238" s="141">
        <f t="shared" si="132"/>
        <v>26259.783653803461</v>
      </c>
      <c r="AL238" s="140">
        <f t="shared" si="133"/>
        <v>29177.770813414118</v>
      </c>
      <c r="AM238" s="141">
        <f t="shared" si="134"/>
        <v>27914.150023993076</v>
      </c>
      <c r="AN238" s="141">
        <f t="shared" si="135"/>
        <v>31015.970374659206</v>
      </c>
    </row>
    <row r="239" spans="1:40">
      <c r="A239" s="56">
        <v>340209</v>
      </c>
      <c r="B239" s="162">
        <v>34020902</v>
      </c>
      <c r="C239" s="86" t="s">
        <v>333</v>
      </c>
      <c r="D239" s="16">
        <v>141034.67836802034</v>
      </c>
      <c r="E239" s="17">
        <f t="shared" si="136"/>
        <v>148086.41228642137</v>
      </c>
      <c r="F239" s="57">
        <f>E239*1.045</f>
        <v>154750.30083931031</v>
      </c>
      <c r="G239" s="57">
        <f t="shared" si="106"/>
        <v>160135.6113085183</v>
      </c>
      <c r="H239" s="57">
        <f t="shared" si="107"/>
        <v>177929.88043712088</v>
      </c>
      <c r="I239" s="57">
        <f t="shared" si="108"/>
        <v>164459.27281384828</v>
      </c>
      <c r="J239" s="57">
        <f t="shared" si="108"/>
        <v>182733.98720892312</v>
      </c>
      <c r="K239" s="57">
        <f t="shared" si="109"/>
        <v>168406.29536138065</v>
      </c>
      <c r="L239" s="9">
        <f t="shared" si="109"/>
        <v>187119.60290193729</v>
      </c>
      <c r="M239" s="9">
        <f t="shared" si="110"/>
        <v>172953.26533613791</v>
      </c>
      <c r="N239" s="9">
        <f t="shared" si="110"/>
        <v>192171.83218028958</v>
      </c>
      <c r="O239" s="78">
        <f t="shared" si="111"/>
        <v>176758.23717353295</v>
      </c>
      <c r="P239" s="78">
        <f t="shared" si="111"/>
        <v>196399.61248825595</v>
      </c>
      <c r="Q239" s="1">
        <f t="shared" si="112"/>
        <v>181000.43486569775</v>
      </c>
      <c r="R239" s="78">
        <f t="shared" si="113"/>
        <v>201113.20318797411</v>
      </c>
      <c r="S239" s="1">
        <f t="shared" si="114"/>
        <v>187697.45095572856</v>
      </c>
      <c r="T239" s="78">
        <f t="shared" si="115"/>
        <v>208554.39170592913</v>
      </c>
      <c r="U239" s="1">
        <f t="shared" si="116"/>
        <v>192952.97958248897</v>
      </c>
      <c r="V239" s="99">
        <f t="shared" si="117"/>
        <v>214393.91467369514</v>
      </c>
      <c r="W239" s="78">
        <f t="shared" si="118"/>
        <v>195847.27427622629</v>
      </c>
      <c r="X239" s="78">
        <f t="shared" si="119"/>
        <v>217609.82339380053</v>
      </c>
      <c r="Y239" s="78">
        <f t="shared" si="120"/>
        <v>198980.83066464591</v>
      </c>
      <c r="Z239" s="78">
        <f t="shared" si="121"/>
        <v>221091.58056810134</v>
      </c>
      <c r="AA239" s="78">
        <f t="shared" si="122"/>
        <v>202761.46644727417</v>
      </c>
      <c r="AB239" s="78">
        <f t="shared" si="123"/>
        <v>225292.32059889525</v>
      </c>
      <c r="AC239" s="1">
        <f t="shared" si="124"/>
        <v>206613.93430977236</v>
      </c>
      <c r="AD239" s="78">
        <f t="shared" si="125"/>
        <v>229572.87469027424</v>
      </c>
      <c r="AE239" s="1">
        <f t="shared" si="126"/>
        <v>210952.82693027757</v>
      </c>
      <c r="AF239" s="78">
        <f t="shared" si="127"/>
        <v>234393.90505876997</v>
      </c>
      <c r="AG239" s="141">
        <f t="shared" si="128"/>
        <v>213695.21368037115</v>
      </c>
      <c r="AH239" s="140">
        <f t="shared" si="129"/>
        <v>237441.02582453395</v>
      </c>
      <c r="AI239" s="141">
        <f t="shared" si="130"/>
        <v>217969.11795397857</v>
      </c>
      <c r="AJ239" s="140">
        <f t="shared" si="131"/>
        <v>242189.84634102465</v>
      </c>
      <c r="AK239" s="141">
        <f t="shared" si="132"/>
        <v>224290.22237464393</v>
      </c>
      <c r="AL239" s="140">
        <f t="shared" si="133"/>
        <v>249213.35188491433</v>
      </c>
      <c r="AM239" s="141">
        <f t="shared" si="134"/>
        <v>238420.50638424649</v>
      </c>
      <c r="AN239" s="141">
        <f t="shared" si="135"/>
        <v>264913.79305366392</v>
      </c>
    </row>
    <row r="240" spans="1:40">
      <c r="A240" s="56">
        <v>340209</v>
      </c>
      <c r="B240" s="162">
        <v>34020903</v>
      </c>
      <c r="C240" s="86" t="s">
        <v>334</v>
      </c>
      <c r="D240" s="16">
        <v>8995.541517583868</v>
      </c>
      <c r="E240" s="17">
        <f t="shared" si="136"/>
        <v>9445.3185934630619</v>
      </c>
      <c r="F240" s="57">
        <f>E240*1.045</f>
        <v>9870.3579301688987</v>
      </c>
      <c r="G240" s="57">
        <f t="shared" si="106"/>
        <v>10213.846386138775</v>
      </c>
      <c r="H240" s="57">
        <f t="shared" si="107"/>
        <v>11348.808996566517</v>
      </c>
      <c r="I240" s="57">
        <f t="shared" si="108"/>
        <v>10489.620238564521</v>
      </c>
      <c r="J240" s="57">
        <f t="shared" si="108"/>
        <v>11655.226839473811</v>
      </c>
      <c r="K240" s="57">
        <f t="shared" si="109"/>
        <v>10741.37112429007</v>
      </c>
      <c r="L240" s="9">
        <f t="shared" si="109"/>
        <v>11934.952283621184</v>
      </c>
      <c r="M240" s="9">
        <f t="shared" si="110"/>
        <v>11031.388144645902</v>
      </c>
      <c r="N240" s="9">
        <f t="shared" si="110"/>
        <v>12257.195995278955</v>
      </c>
      <c r="O240" s="78">
        <f t="shared" si="111"/>
        <v>11274.078683828111</v>
      </c>
      <c r="P240" s="78">
        <f t="shared" si="111"/>
        <v>12526.854307175092</v>
      </c>
      <c r="Q240" s="1">
        <f t="shared" si="112"/>
        <v>11544.656572239986</v>
      </c>
      <c r="R240" s="78">
        <f t="shared" si="113"/>
        <v>12827.498810547295</v>
      </c>
      <c r="S240" s="1">
        <f t="shared" si="114"/>
        <v>11971.808865412864</v>
      </c>
      <c r="T240" s="78">
        <f t="shared" si="115"/>
        <v>13302.116266537543</v>
      </c>
      <c r="U240" s="1">
        <f t="shared" si="116"/>
        <v>12307.019513644425</v>
      </c>
      <c r="V240" s="99">
        <f t="shared" si="117"/>
        <v>13674.575522000594</v>
      </c>
      <c r="W240" s="78">
        <f t="shared" si="118"/>
        <v>12491.624806349091</v>
      </c>
      <c r="X240" s="78">
        <f t="shared" si="119"/>
        <v>13879.694154830602</v>
      </c>
      <c r="Y240" s="78">
        <f t="shared" si="120"/>
        <v>12691.490803250677</v>
      </c>
      <c r="Z240" s="78">
        <f t="shared" si="121"/>
        <v>14101.769261307893</v>
      </c>
      <c r="AA240" s="78">
        <f t="shared" si="122"/>
        <v>12932.629128512439</v>
      </c>
      <c r="AB240" s="78">
        <f t="shared" si="123"/>
        <v>14369.702877272741</v>
      </c>
      <c r="AC240" s="1">
        <f t="shared" si="124"/>
        <v>13178.349081954175</v>
      </c>
      <c r="AD240" s="78">
        <f t="shared" si="125"/>
        <v>14642.727231940922</v>
      </c>
      <c r="AE240" s="1">
        <f t="shared" si="126"/>
        <v>13455.094412675211</v>
      </c>
      <c r="AF240" s="78">
        <f t="shared" si="127"/>
        <v>14950.22450381168</v>
      </c>
      <c r="AG240" s="141">
        <f t="shared" si="128"/>
        <v>13630.010640039987</v>
      </c>
      <c r="AH240" s="140">
        <f t="shared" si="129"/>
        <v>15144.57742236123</v>
      </c>
      <c r="AI240" s="141">
        <f t="shared" si="130"/>
        <v>13902.610852840788</v>
      </c>
      <c r="AJ240" s="140">
        <f t="shared" si="131"/>
        <v>15447.468970808455</v>
      </c>
      <c r="AK240" s="141">
        <f t="shared" si="132"/>
        <v>14305.78656757317</v>
      </c>
      <c r="AL240" s="140">
        <f t="shared" si="133"/>
        <v>15895.4455709619</v>
      </c>
      <c r="AM240" s="141">
        <f t="shared" si="134"/>
        <v>15207.05112133028</v>
      </c>
      <c r="AN240" s="141">
        <f t="shared" si="135"/>
        <v>16896.8586419325</v>
      </c>
    </row>
    <row r="241" spans="1:40">
      <c r="A241" s="56">
        <v>340209</v>
      </c>
      <c r="B241" s="162">
        <v>34020905</v>
      </c>
      <c r="C241" s="86" t="s">
        <v>335</v>
      </c>
      <c r="D241" s="16">
        <v>8995.541517583868</v>
      </c>
      <c r="E241" s="17">
        <f t="shared" si="136"/>
        <v>9445.3185934630619</v>
      </c>
      <c r="F241" s="57">
        <f>E241*1.045</f>
        <v>9870.3579301688987</v>
      </c>
      <c r="G241" s="57">
        <f t="shared" si="106"/>
        <v>10213.846386138775</v>
      </c>
      <c r="H241" s="57">
        <f t="shared" si="107"/>
        <v>11348.808996566517</v>
      </c>
      <c r="I241" s="57">
        <f t="shared" si="108"/>
        <v>10489.620238564521</v>
      </c>
      <c r="J241" s="57">
        <f t="shared" si="108"/>
        <v>11655.226839473811</v>
      </c>
      <c r="K241" s="57">
        <f t="shared" si="109"/>
        <v>10741.37112429007</v>
      </c>
      <c r="L241" s="9">
        <f t="shared" si="109"/>
        <v>11934.952283621184</v>
      </c>
      <c r="M241" s="9">
        <f t="shared" si="110"/>
        <v>11031.388144645902</v>
      </c>
      <c r="N241" s="9">
        <f t="shared" si="110"/>
        <v>12257.195995278955</v>
      </c>
      <c r="O241" s="78">
        <f t="shared" si="111"/>
        <v>11274.078683828111</v>
      </c>
      <c r="P241" s="78">
        <f t="shared" si="111"/>
        <v>12526.854307175092</v>
      </c>
      <c r="Q241" s="1">
        <f t="shared" si="112"/>
        <v>11544.656572239986</v>
      </c>
      <c r="R241" s="78">
        <f t="shared" si="113"/>
        <v>12827.498810547295</v>
      </c>
      <c r="S241" s="1">
        <f t="shared" si="114"/>
        <v>11971.808865412864</v>
      </c>
      <c r="T241" s="78">
        <f t="shared" si="115"/>
        <v>13302.116266537543</v>
      </c>
      <c r="U241" s="1">
        <f t="shared" si="116"/>
        <v>12307.019513644425</v>
      </c>
      <c r="V241" s="99">
        <f t="shared" si="117"/>
        <v>13674.575522000594</v>
      </c>
      <c r="W241" s="78">
        <f t="shared" si="118"/>
        <v>12491.624806349091</v>
      </c>
      <c r="X241" s="78">
        <f t="shared" si="119"/>
        <v>13879.694154830602</v>
      </c>
      <c r="Y241" s="78">
        <f t="shared" si="120"/>
        <v>12691.490803250677</v>
      </c>
      <c r="Z241" s="78">
        <f t="shared" si="121"/>
        <v>14101.769261307893</v>
      </c>
      <c r="AA241" s="78">
        <f t="shared" si="122"/>
        <v>12932.629128512439</v>
      </c>
      <c r="AB241" s="78">
        <f t="shared" si="123"/>
        <v>14369.702877272741</v>
      </c>
      <c r="AC241" s="1">
        <f t="shared" si="124"/>
        <v>13178.349081954175</v>
      </c>
      <c r="AD241" s="78">
        <f t="shared" si="125"/>
        <v>14642.727231940922</v>
      </c>
      <c r="AE241" s="1">
        <f t="shared" si="126"/>
        <v>13455.094412675211</v>
      </c>
      <c r="AF241" s="78">
        <f t="shared" si="127"/>
        <v>14950.22450381168</v>
      </c>
      <c r="AG241" s="141">
        <f t="shared" si="128"/>
        <v>13630.010640039987</v>
      </c>
      <c r="AH241" s="140">
        <f t="shared" si="129"/>
        <v>15144.57742236123</v>
      </c>
      <c r="AI241" s="141">
        <f t="shared" si="130"/>
        <v>13902.610852840788</v>
      </c>
      <c r="AJ241" s="140">
        <f t="shared" si="131"/>
        <v>15447.468970808455</v>
      </c>
      <c r="AK241" s="141">
        <f t="shared" si="132"/>
        <v>14305.78656757317</v>
      </c>
      <c r="AL241" s="140">
        <f t="shared" si="133"/>
        <v>15895.4455709619</v>
      </c>
      <c r="AM241" s="141">
        <f t="shared" si="134"/>
        <v>15207.05112133028</v>
      </c>
      <c r="AN241" s="141">
        <f t="shared" si="135"/>
        <v>16896.8586419325</v>
      </c>
    </row>
    <row r="242" spans="1:40">
      <c r="A242" s="56">
        <v>340209</v>
      </c>
      <c r="B242" s="162">
        <v>34020907</v>
      </c>
      <c r="C242" s="86" t="s">
        <v>336</v>
      </c>
      <c r="D242" s="16">
        <v>8995.541517583868</v>
      </c>
      <c r="E242" s="17">
        <f t="shared" si="136"/>
        <v>9445.3185934630619</v>
      </c>
      <c r="F242" s="57">
        <f>E242*1.045</f>
        <v>9870.3579301688987</v>
      </c>
      <c r="G242" s="57">
        <f t="shared" si="106"/>
        <v>10213.846386138775</v>
      </c>
      <c r="H242" s="57">
        <f t="shared" si="107"/>
        <v>11348.808996566517</v>
      </c>
      <c r="I242" s="57">
        <f t="shared" si="108"/>
        <v>10489.620238564521</v>
      </c>
      <c r="J242" s="57">
        <f t="shared" si="108"/>
        <v>11655.226839473811</v>
      </c>
      <c r="K242" s="57">
        <f t="shared" si="109"/>
        <v>10741.37112429007</v>
      </c>
      <c r="L242" s="9">
        <f t="shared" si="109"/>
        <v>11934.952283621184</v>
      </c>
      <c r="M242" s="9">
        <f t="shared" si="110"/>
        <v>11031.388144645902</v>
      </c>
      <c r="N242" s="9">
        <f t="shared" si="110"/>
        <v>12257.195995278955</v>
      </c>
      <c r="O242" s="78">
        <f t="shared" si="111"/>
        <v>11274.078683828111</v>
      </c>
      <c r="P242" s="78">
        <f t="shared" si="111"/>
        <v>12526.854307175092</v>
      </c>
      <c r="Q242" s="1">
        <f t="shared" si="112"/>
        <v>11544.656572239986</v>
      </c>
      <c r="R242" s="78">
        <f t="shared" si="113"/>
        <v>12827.498810547295</v>
      </c>
      <c r="S242" s="1">
        <f t="shared" si="114"/>
        <v>11971.808865412864</v>
      </c>
      <c r="T242" s="78">
        <f t="shared" si="115"/>
        <v>13302.116266537543</v>
      </c>
      <c r="U242" s="1">
        <f t="shared" si="116"/>
        <v>12307.019513644425</v>
      </c>
      <c r="V242" s="99">
        <f t="shared" si="117"/>
        <v>13674.575522000594</v>
      </c>
      <c r="W242" s="78">
        <f t="shared" si="118"/>
        <v>12491.624806349091</v>
      </c>
      <c r="X242" s="78">
        <f t="shared" si="119"/>
        <v>13879.694154830602</v>
      </c>
      <c r="Y242" s="78">
        <f t="shared" si="120"/>
        <v>12691.490803250677</v>
      </c>
      <c r="Z242" s="78">
        <f t="shared" si="121"/>
        <v>14101.769261307893</v>
      </c>
      <c r="AA242" s="78">
        <f t="shared" si="122"/>
        <v>12932.629128512439</v>
      </c>
      <c r="AB242" s="78">
        <f t="shared" si="123"/>
        <v>14369.702877272741</v>
      </c>
      <c r="AC242" s="1">
        <f t="shared" si="124"/>
        <v>13178.349081954175</v>
      </c>
      <c r="AD242" s="78">
        <f t="shared" si="125"/>
        <v>14642.727231940922</v>
      </c>
      <c r="AE242" s="1">
        <f t="shared" si="126"/>
        <v>13455.094412675211</v>
      </c>
      <c r="AF242" s="78">
        <f t="shared" si="127"/>
        <v>14950.22450381168</v>
      </c>
      <c r="AG242" s="141">
        <f t="shared" si="128"/>
        <v>13630.010640039987</v>
      </c>
      <c r="AH242" s="140">
        <f t="shared" si="129"/>
        <v>15144.57742236123</v>
      </c>
      <c r="AI242" s="141">
        <f t="shared" si="130"/>
        <v>13902.610852840788</v>
      </c>
      <c r="AJ242" s="140">
        <f t="shared" si="131"/>
        <v>15447.468970808455</v>
      </c>
      <c r="AK242" s="141">
        <f t="shared" si="132"/>
        <v>14305.78656757317</v>
      </c>
      <c r="AL242" s="140">
        <f t="shared" si="133"/>
        <v>15895.4455709619</v>
      </c>
      <c r="AM242" s="141">
        <f t="shared" si="134"/>
        <v>15207.05112133028</v>
      </c>
      <c r="AN242" s="141">
        <f t="shared" si="135"/>
        <v>16896.8586419325</v>
      </c>
    </row>
    <row r="243" spans="1:40">
      <c r="A243" s="56">
        <v>340210</v>
      </c>
      <c r="B243" s="162">
        <v>34021000</v>
      </c>
      <c r="C243" s="86" t="s">
        <v>327</v>
      </c>
      <c r="D243" s="16">
        <v>6885.5150483109182</v>
      </c>
      <c r="E243" s="17">
        <f t="shared" si="136"/>
        <v>7229.7908007264641</v>
      </c>
      <c r="F243" s="57">
        <f>E243*1.045</f>
        <v>7555.1313867591543</v>
      </c>
      <c r="G243" s="57">
        <f t="shared" si="106"/>
        <v>7818.0499590183726</v>
      </c>
      <c r="H243" s="57">
        <f t="shared" si="107"/>
        <v>8686.7916704644958</v>
      </c>
      <c r="I243" s="57">
        <f t="shared" si="108"/>
        <v>8029.1373079118684</v>
      </c>
      <c r="J243" s="57">
        <f t="shared" si="108"/>
        <v>8921.335045567037</v>
      </c>
      <c r="K243" s="57">
        <f t="shared" si="109"/>
        <v>8221.8366033017537</v>
      </c>
      <c r="L243" s="9">
        <f t="shared" si="109"/>
        <v>9135.4470866606462</v>
      </c>
      <c r="M243" s="9">
        <f t="shared" si="110"/>
        <v>8443.8261915909006</v>
      </c>
      <c r="N243" s="9">
        <f t="shared" si="110"/>
        <v>9382.1041580004821</v>
      </c>
      <c r="O243" s="78">
        <f t="shared" si="111"/>
        <v>8629.5903678059003</v>
      </c>
      <c r="P243" s="78">
        <f t="shared" si="111"/>
        <v>9588.5104494764928</v>
      </c>
      <c r="Q243" s="1">
        <f t="shared" si="112"/>
        <v>8836.7005366332414</v>
      </c>
      <c r="R243" s="78">
        <f t="shared" si="113"/>
        <v>9818.6347002639286</v>
      </c>
      <c r="S243" s="1">
        <f t="shared" si="114"/>
        <v>9163.6584564886707</v>
      </c>
      <c r="T243" s="78">
        <f t="shared" si="115"/>
        <v>10181.924184173693</v>
      </c>
      <c r="U243" s="1">
        <f t="shared" si="116"/>
        <v>9420.2408932703529</v>
      </c>
      <c r="V243" s="99">
        <f t="shared" si="117"/>
        <v>10467.018061330557</v>
      </c>
      <c r="W243" s="78">
        <f t="shared" si="118"/>
        <v>9561.5445066694065</v>
      </c>
      <c r="X243" s="78">
        <f t="shared" si="119"/>
        <v>10624.023332250514</v>
      </c>
      <c r="Y243" s="78">
        <f t="shared" si="120"/>
        <v>9714.529218776117</v>
      </c>
      <c r="Z243" s="78">
        <f t="shared" si="121"/>
        <v>10794.007705566522</v>
      </c>
      <c r="AA243" s="78">
        <f t="shared" si="122"/>
        <v>9899.1052739328625</v>
      </c>
      <c r="AB243" s="78">
        <f t="shared" si="123"/>
        <v>10999.093851972286</v>
      </c>
      <c r="AC243" s="1">
        <f t="shared" si="124"/>
        <v>10087.188274137587</v>
      </c>
      <c r="AD243" s="78">
        <f t="shared" si="125"/>
        <v>11208.076635159758</v>
      </c>
      <c r="AE243" s="1">
        <f t="shared" si="126"/>
        <v>10299.019227894474</v>
      </c>
      <c r="AF243" s="78">
        <f t="shared" si="127"/>
        <v>11443.446244498111</v>
      </c>
      <c r="AG243" s="141">
        <f t="shared" si="128"/>
        <v>10432.906477857101</v>
      </c>
      <c r="AH243" s="140">
        <f t="shared" si="129"/>
        <v>11592.211045676586</v>
      </c>
      <c r="AI243" s="141">
        <f t="shared" si="130"/>
        <v>10641.564607414242</v>
      </c>
      <c r="AJ243" s="140">
        <f t="shared" si="131"/>
        <v>11824.055266590118</v>
      </c>
      <c r="AK243" s="141">
        <f t="shared" si="132"/>
        <v>10950.169981029254</v>
      </c>
      <c r="AL243" s="140">
        <f t="shared" si="133"/>
        <v>12166.952869321231</v>
      </c>
      <c r="AM243" s="141">
        <f t="shared" si="134"/>
        <v>11640.030689834097</v>
      </c>
      <c r="AN243" s="141">
        <f t="shared" si="135"/>
        <v>12933.470900088467</v>
      </c>
    </row>
    <row r="244" spans="1:40">
      <c r="A244" s="56">
        <v>340211</v>
      </c>
      <c r="B244" s="162">
        <v>34021100</v>
      </c>
      <c r="C244" s="86" t="s">
        <v>337</v>
      </c>
      <c r="D244" s="16">
        <v>8995.541517583868</v>
      </c>
      <c r="E244" s="17">
        <f t="shared" si="136"/>
        <v>9445.3185934630619</v>
      </c>
      <c r="F244" s="57">
        <f>E244*1.045</f>
        <v>9870.3579301688987</v>
      </c>
      <c r="G244" s="57">
        <f t="shared" si="106"/>
        <v>10213.846386138775</v>
      </c>
      <c r="H244" s="57">
        <f t="shared" si="107"/>
        <v>11348.808996566517</v>
      </c>
      <c r="I244" s="57">
        <f t="shared" si="108"/>
        <v>10489.620238564521</v>
      </c>
      <c r="J244" s="57">
        <f t="shared" si="108"/>
        <v>11655.226839473811</v>
      </c>
      <c r="K244" s="57">
        <f t="shared" si="109"/>
        <v>10741.37112429007</v>
      </c>
      <c r="L244" s="9">
        <f t="shared" si="109"/>
        <v>11934.952283621184</v>
      </c>
      <c r="M244" s="9">
        <f t="shared" si="110"/>
        <v>11031.388144645902</v>
      </c>
      <c r="N244" s="9">
        <f t="shared" si="110"/>
        <v>12257.195995278955</v>
      </c>
      <c r="O244" s="78">
        <f t="shared" si="111"/>
        <v>11274.078683828111</v>
      </c>
      <c r="P244" s="78">
        <f t="shared" si="111"/>
        <v>12526.854307175092</v>
      </c>
      <c r="Q244" s="1">
        <f t="shared" si="112"/>
        <v>11544.656572239986</v>
      </c>
      <c r="R244" s="78">
        <f t="shared" si="113"/>
        <v>12827.498810547295</v>
      </c>
      <c r="S244" s="1">
        <f t="shared" si="114"/>
        <v>11971.808865412864</v>
      </c>
      <c r="T244" s="78">
        <f t="shared" si="115"/>
        <v>13302.116266537543</v>
      </c>
      <c r="U244" s="1">
        <f t="shared" si="116"/>
        <v>12307.019513644425</v>
      </c>
      <c r="V244" s="99">
        <f t="shared" si="117"/>
        <v>13674.575522000594</v>
      </c>
      <c r="W244" s="78">
        <f t="shared" si="118"/>
        <v>12491.624806349091</v>
      </c>
      <c r="X244" s="78">
        <f t="shared" si="119"/>
        <v>13879.694154830602</v>
      </c>
      <c r="Y244" s="78">
        <f t="shared" si="120"/>
        <v>12691.490803250677</v>
      </c>
      <c r="Z244" s="78">
        <f t="shared" si="121"/>
        <v>14101.769261307893</v>
      </c>
      <c r="AA244" s="78">
        <f t="shared" si="122"/>
        <v>12932.629128512439</v>
      </c>
      <c r="AB244" s="78">
        <f t="shared" si="123"/>
        <v>14369.702877272741</v>
      </c>
      <c r="AC244" s="1">
        <f t="shared" si="124"/>
        <v>13178.349081954175</v>
      </c>
      <c r="AD244" s="78">
        <f t="shared" si="125"/>
        <v>14642.727231940922</v>
      </c>
      <c r="AE244" s="1">
        <f t="shared" si="126"/>
        <v>13455.094412675211</v>
      </c>
      <c r="AF244" s="78">
        <f t="shared" si="127"/>
        <v>14950.22450381168</v>
      </c>
      <c r="AG244" s="141">
        <f t="shared" si="128"/>
        <v>13630.010640039987</v>
      </c>
      <c r="AH244" s="140">
        <f t="shared" si="129"/>
        <v>15144.57742236123</v>
      </c>
      <c r="AI244" s="141">
        <f t="shared" si="130"/>
        <v>13902.610852840788</v>
      </c>
      <c r="AJ244" s="140">
        <f t="shared" si="131"/>
        <v>15447.468970808455</v>
      </c>
      <c r="AK244" s="141">
        <f t="shared" si="132"/>
        <v>14305.78656757317</v>
      </c>
      <c r="AL244" s="140">
        <f t="shared" si="133"/>
        <v>15895.4455709619</v>
      </c>
      <c r="AM244" s="141">
        <f t="shared" si="134"/>
        <v>15207.05112133028</v>
      </c>
      <c r="AN244" s="141">
        <f t="shared" si="135"/>
        <v>16896.8586419325</v>
      </c>
    </row>
    <row r="245" spans="1:40">
      <c r="A245" s="56">
        <v>340211</v>
      </c>
      <c r="B245" s="162">
        <v>34021102</v>
      </c>
      <c r="C245" s="86" t="s">
        <v>338</v>
      </c>
      <c r="D245" s="16">
        <v>8995.541517583868</v>
      </c>
      <c r="E245" s="17">
        <f t="shared" si="136"/>
        <v>9445.3185934630619</v>
      </c>
      <c r="F245" s="57">
        <f>E245*1.045</f>
        <v>9870.3579301688987</v>
      </c>
      <c r="G245" s="57">
        <f t="shared" si="106"/>
        <v>10213.846386138775</v>
      </c>
      <c r="H245" s="57">
        <f t="shared" si="107"/>
        <v>11348.808996566517</v>
      </c>
      <c r="I245" s="57">
        <f t="shared" si="108"/>
        <v>10489.620238564521</v>
      </c>
      <c r="J245" s="57">
        <f t="shared" si="108"/>
        <v>11655.226839473811</v>
      </c>
      <c r="K245" s="57">
        <f t="shared" si="109"/>
        <v>10741.37112429007</v>
      </c>
      <c r="L245" s="9">
        <f t="shared" si="109"/>
        <v>11934.952283621184</v>
      </c>
      <c r="M245" s="9">
        <f t="shared" si="110"/>
        <v>11031.388144645902</v>
      </c>
      <c r="N245" s="9">
        <f t="shared" si="110"/>
        <v>12257.195995278955</v>
      </c>
      <c r="O245" s="78">
        <f t="shared" si="111"/>
        <v>11274.078683828111</v>
      </c>
      <c r="P245" s="78">
        <f t="shared" si="111"/>
        <v>12526.854307175092</v>
      </c>
      <c r="Q245" s="1">
        <f t="shared" si="112"/>
        <v>11544.656572239986</v>
      </c>
      <c r="R245" s="78">
        <f t="shared" si="113"/>
        <v>12827.498810547295</v>
      </c>
      <c r="S245" s="1">
        <f t="shared" si="114"/>
        <v>11971.808865412864</v>
      </c>
      <c r="T245" s="78">
        <f t="shared" si="115"/>
        <v>13302.116266537543</v>
      </c>
      <c r="U245" s="1">
        <f t="shared" si="116"/>
        <v>12307.019513644425</v>
      </c>
      <c r="V245" s="99">
        <f t="shared" si="117"/>
        <v>13674.575522000594</v>
      </c>
      <c r="W245" s="78">
        <f t="shared" si="118"/>
        <v>12491.624806349091</v>
      </c>
      <c r="X245" s="78">
        <f t="shared" si="119"/>
        <v>13879.694154830602</v>
      </c>
      <c r="Y245" s="78">
        <f t="shared" si="120"/>
        <v>12691.490803250677</v>
      </c>
      <c r="Z245" s="78">
        <f t="shared" si="121"/>
        <v>14101.769261307893</v>
      </c>
      <c r="AA245" s="78">
        <f t="shared" si="122"/>
        <v>12932.629128512439</v>
      </c>
      <c r="AB245" s="78">
        <f t="shared" si="123"/>
        <v>14369.702877272741</v>
      </c>
      <c r="AC245" s="1">
        <f t="shared" si="124"/>
        <v>13178.349081954175</v>
      </c>
      <c r="AD245" s="78">
        <f t="shared" si="125"/>
        <v>14642.727231940922</v>
      </c>
      <c r="AE245" s="1">
        <f t="shared" si="126"/>
        <v>13455.094412675211</v>
      </c>
      <c r="AF245" s="78">
        <f t="shared" si="127"/>
        <v>14950.22450381168</v>
      </c>
      <c r="AG245" s="141">
        <f t="shared" si="128"/>
        <v>13630.010640039987</v>
      </c>
      <c r="AH245" s="140">
        <f t="shared" si="129"/>
        <v>15144.57742236123</v>
      </c>
      <c r="AI245" s="141">
        <f t="shared" si="130"/>
        <v>13902.610852840788</v>
      </c>
      <c r="AJ245" s="140">
        <f t="shared" si="131"/>
        <v>15447.468970808455</v>
      </c>
      <c r="AK245" s="141">
        <f t="shared" si="132"/>
        <v>14305.78656757317</v>
      </c>
      <c r="AL245" s="140">
        <f t="shared" si="133"/>
        <v>15895.4455709619</v>
      </c>
      <c r="AM245" s="141">
        <f t="shared" si="134"/>
        <v>15207.05112133028</v>
      </c>
      <c r="AN245" s="141">
        <f t="shared" si="135"/>
        <v>16896.8586419325</v>
      </c>
    </row>
    <row r="246" spans="1:40">
      <c r="A246" s="56">
        <v>340211</v>
      </c>
      <c r="B246" s="162">
        <v>34021103</v>
      </c>
      <c r="C246" s="86" t="s">
        <v>339</v>
      </c>
      <c r="D246" s="16">
        <v>8995.541517583868</v>
      </c>
      <c r="E246" s="17">
        <f t="shared" si="136"/>
        <v>9445.3185934630619</v>
      </c>
      <c r="F246" s="57">
        <f>E246*1.045</f>
        <v>9870.3579301688987</v>
      </c>
      <c r="G246" s="57">
        <f t="shared" si="106"/>
        <v>10213.846386138775</v>
      </c>
      <c r="H246" s="57">
        <f t="shared" si="107"/>
        <v>11348.808996566517</v>
      </c>
      <c r="I246" s="57">
        <f t="shared" si="108"/>
        <v>10489.620238564521</v>
      </c>
      <c r="J246" s="57">
        <f t="shared" si="108"/>
        <v>11655.226839473811</v>
      </c>
      <c r="K246" s="57">
        <f t="shared" si="109"/>
        <v>10741.37112429007</v>
      </c>
      <c r="L246" s="9">
        <f t="shared" si="109"/>
        <v>11934.952283621184</v>
      </c>
      <c r="M246" s="9">
        <f t="shared" si="110"/>
        <v>11031.388144645902</v>
      </c>
      <c r="N246" s="9">
        <f t="shared" si="110"/>
        <v>12257.195995278955</v>
      </c>
      <c r="O246" s="78">
        <f t="shared" si="111"/>
        <v>11274.078683828111</v>
      </c>
      <c r="P246" s="78">
        <f t="shared" si="111"/>
        <v>12526.854307175092</v>
      </c>
      <c r="Q246" s="1">
        <f t="shared" si="112"/>
        <v>11544.656572239986</v>
      </c>
      <c r="R246" s="78">
        <f t="shared" si="113"/>
        <v>12827.498810547295</v>
      </c>
      <c r="S246" s="1">
        <f t="shared" si="114"/>
        <v>11971.808865412864</v>
      </c>
      <c r="T246" s="78">
        <f t="shared" si="115"/>
        <v>13302.116266537543</v>
      </c>
      <c r="U246" s="1">
        <f t="shared" si="116"/>
        <v>12307.019513644425</v>
      </c>
      <c r="V246" s="99">
        <f t="shared" si="117"/>
        <v>13674.575522000594</v>
      </c>
      <c r="W246" s="78">
        <f t="shared" si="118"/>
        <v>12491.624806349091</v>
      </c>
      <c r="X246" s="78">
        <f t="shared" si="119"/>
        <v>13879.694154830602</v>
      </c>
      <c r="Y246" s="78">
        <f t="shared" si="120"/>
        <v>12691.490803250677</v>
      </c>
      <c r="Z246" s="78">
        <f t="shared" si="121"/>
        <v>14101.769261307893</v>
      </c>
      <c r="AA246" s="78">
        <f t="shared" si="122"/>
        <v>12932.629128512439</v>
      </c>
      <c r="AB246" s="78">
        <f t="shared" si="123"/>
        <v>14369.702877272741</v>
      </c>
      <c r="AC246" s="1">
        <f t="shared" si="124"/>
        <v>13178.349081954175</v>
      </c>
      <c r="AD246" s="78">
        <f t="shared" si="125"/>
        <v>14642.727231940922</v>
      </c>
      <c r="AE246" s="1">
        <f t="shared" si="126"/>
        <v>13455.094412675211</v>
      </c>
      <c r="AF246" s="78">
        <f t="shared" si="127"/>
        <v>14950.22450381168</v>
      </c>
      <c r="AG246" s="141">
        <f t="shared" si="128"/>
        <v>13630.010640039987</v>
      </c>
      <c r="AH246" s="140">
        <f t="shared" si="129"/>
        <v>15144.57742236123</v>
      </c>
      <c r="AI246" s="141">
        <f t="shared" si="130"/>
        <v>13902.610852840788</v>
      </c>
      <c r="AJ246" s="140">
        <f t="shared" si="131"/>
        <v>15447.468970808455</v>
      </c>
      <c r="AK246" s="141">
        <f t="shared" si="132"/>
        <v>14305.78656757317</v>
      </c>
      <c r="AL246" s="140">
        <f t="shared" si="133"/>
        <v>15895.4455709619</v>
      </c>
      <c r="AM246" s="141">
        <f t="shared" si="134"/>
        <v>15207.05112133028</v>
      </c>
      <c r="AN246" s="141">
        <f t="shared" si="135"/>
        <v>16896.8586419325</v>
      </c>
    </row>
    <row r="247" spans="1:40">
      <c r="A247" s="56">
        <v>340211</v>
      </c>
      <c r="B247" s="162">
        <v>34021104</v>
      </c>
      <c r="C247" s="86" t="s">
        <v>340</v>
      </c>
      <c r="D247" s="16">
        <v>8995.541517583868</v>
      </c>
      <c r="E247" s="17">
        <f t="shared" si="136"/>
        <v>9445.3185934630619</v>
      </c>
      <c r="F247" s="57">
        <f>E247*1.045</f>
        <v>9870.3579301688987</v>
      </c>
      <c r="G247" s="57">
        <f t="shared" si="106"/>
        <v>10213.846386138775</v>
      </c>
      <c r="H247" s="57">
        <f t="shared" si="107"/>
        <v>11348.808996566517</v>
      </c>
      <c r="I247" s="57">
        <f t="shared" si="108"/>
        <v>10489.620238564521</v>
      </c>
      <c r="J247" s="57">
        <f t="shared" si="108"/>
        <v>11655.226839473811</v>
      </c>
      <c r="K247" s="57">
        <f t="shared" si="109"/>
        <v>10741.37112429007</v>
      </c>
      <c r="L247" s="9">
        <f t="shared" si="109"/>
        <v>11934.952283621184</v>
      </c>
      <c r="M247" s="9">
        <f t="shared" si="110"/>
        <v>11031.388144645902</v>
      </c>
      <c r="N247" s="9">
        <f t="shared" si="110"/>
        <v>12257.195995278955</v>
      </c>
      <c r="O247" s="78">
        <f t="shared" si="111"/>
        <v>11274.078683828111</v>
      </c>
      <c r="P247" s="78">
        <f t="shared" si="111"/>
        <v>12526.854307175092</v>
      </c>
      <c r="Q247" s="1">
        <f t="shared" si="112"/>
        <v>11544.656572239986</v>
      </c>
      <c r="R247" s="78">
        <f t="shared" si="113"/>
        <v>12827.498810547295</v>
      </c>
      <c r="S247" s="1">
        <f t="shared" si="114"/>
        <v>11971.808865412864</v>
      </c>
      <c r="T247" s="78">
        <f t="shared" si="115"/>
        <v>13302.116266537543</v>
      </c>
      <c r="U247" s="1">
        <f t="shared" si="116"/>
        <v>12307.019513644425</v>
      </c>
      <c r="V247" s="99">
        <f t="shared" si="117"/>
        <v>13674.575522000594</v>
      </c>
      <c r="W247" s="78">
        <f t="shared" si="118"/>
        <v>12491.624806349091</v>
      </c>
      <c r="X247" s="78">
        <f t="shared" si="119"/>
        <v>13879.694154830602</v>
      </c>
      <c r="Y247" s="78">
        <f t="shared" si="120"/>
        <v>12691.490803250677</v>
      </c>
      <c r="Z247" s="78">
        <f t="shared" si="121"/>
        <v>14101.769261307893</v>
      </c>
      <c r="AA247" s="78">
        <f t="shared" si="122"/>
        <v>12932.629128512439</v>
      </c>
      <c r="AB247" s="78">
        <f t="shared" si="123"/>
        <v>14369.702877272741</v>
      </c>
      <c r="AC247" s="1">
        <f t="shared" si="124"/>
        <v>13178.349081954175</v>
      </c>
      <c r="AD247" s="78">
        <f t="shared" si="125"/>
        <v>14642.727231940922</v>
      </c>
      <c r="AE247" s="1">
        <f t="shared" si="126"/>
        <v>13455.094412675211</v>
      </c>
      <c r="AF247" s="78">
        <f t="shared" si="127"/>
        <v>14950.22450381168</v>
      </c>
      <c r="AG247" s="141">
        <f t="shared" si="128"/>
        <v>13630.010640039987</v>
      </c>
      <c r="AH247" s="140">
        <f t="shared" si="129"/>
        <v>15144.57742236123</v>
      </c>
      <c r="AI247" s="141">
        <f t="shared" si="130"/>
        <v>13902.610852840788</v>
      </c>
      <c r="AJ247" s="140">
        <f t="shared" si="131"/>
        <v>15447.468970808455</v>
      </c>
      <c r="AK247" s="141">
        <f t="shared" si="132"/>
        <v>14305.78656757317</v>
      </c>
      <c r="AL247" s="140">
        <f t="shared" si="133"/>
        <v>15895.4455709619</v>
      </c>
      <c r="AM247" s="141">
        <f t="shared" si="134"/>
        <v>15207.05112133028</v>
      </c>
      <c r="AN247" s="141">
        <f t="shared" si="135"/>
        <v>16896.8586419325</v>
      </c>
    </row>
    <row r="248" spans="1:40">
      <c r="A248" s="56">
        <v>340211</v>
      </c>
      <c r="B248" s="162">
        <v>34021105</v>
      </c>
      <c r="C248" s="86" t="s">
        <v>341</v>
      </c>
      <c r="D248" s="16">
        <v>8995.541517583868</v>
      </c>
      <c r="E248" s="17">
        <f t="shared" si="136"/>
        <v>9445.3185934630619</v>
      </c>
      <c r="F248" s="57">
        <f>E248*1.045</f>
        <v>9870.3579301688987</v>
      </c>
      <c r="G248" s="57">
        <f t="shared" si="106"/>
        <v>10213.846386138775</v>
      </c>
      <c r="H248" s="57">
        <f t="shared" si="107"/>
        <v>11348.808996566517</v>
      </c>
      <c r="I248" s="57">
        <f t="shared" si="108"/>
        <v>10489.620238564521</v>
      </c>
      <c r="J248" s="57">
        <f t="shared" si="108"/>
        <v>11655.226839473811</v>
      </c>
      <c r="K248" s="57">
        <f t="shared" si="109"/>
        <v>10741.37112429007</v>
      </c>
      <c r="L248" s="9">
        <f t="shared" si="109"/>
        <v>11934.952283621184</v>
      </c>
      <c r="M248" s="9">
        <f t="shared" si="110"/>
        <v>11031.388144645902</v>
      </c>
      <c r="N248" s="9">
        <f t="shared" si="110"/>
        <v>12257.195995278955</v>
      </c>
      <c r="O248" s="78">
        <f t="shared" si="111"/>
        <v>11274.078683828111</v>
      </c>
      <c r="P248" s="78">
        <f t="shared" si="111"/>
        <v>12526.854307175092</v>
      </c>
      <c r="Q248" s="1">
        <f t="shared" si="112"/>
        <v>11544.656572239986</v>
      </c>
      <c r="R248" s="78">
        <f t="shared" si="113"/>
        <v>12827.498810547295</v>
      </c>
      <c r="S248" s="1">
        <f t="shared" si="114"/>
        <v>11971.808865412864</v>
      </c>
      <c r="T248" s="78">
        <f t="shared" si="115"/>
        <v>13302.116266537543</v>
      </c>
      <c r="U248" s="1">
        <f t="shared" si="116"/>
        <v>12307.019513644425</v>
      </c>
      <c r="V248" s="99">
        <f t="shared" si="117"/>
        <v>13674.575522000594</v>
      </c>
      <c r="W248" s="78">
        <f t="shared" si="118"/>
        <v>12491.624806349091</v>
      </c>
      <c r="X248" s="78">
        <f t="shared" si="119"/>
        <v>13879.694154830602</v>
      </c>
      <c r="Y248" s="78">
        <f t="shared" si="120"/>
        <v>12691.490803250677</v>
      </c>
      <c r="Z248" s="78">
        <f t="shared" si="121"/>
        <v>14101.769261307893</v>
      </c>
      <c r="AA248" s="78">
        <f t="shared" si="122"/>
        <v>12932.629128512439</v>
      </c>
      <c r="AB248" s="78">
        <f t="shared" si="123"/>
        <v>14369.702877272741</v>
      </c>
      <c r="AC248" s="1">
        <f t="shared" si="124"/>
        <v>13178.349081954175</v>
      </c>
      <c r="AD248" s="78">
        <f t="shared" si="125"/>
        <v>14642.727231940922</v>
      </c>
      <c r="AE248" s="1">
        <f t="shared" si="126"/>
        <v>13455.094412675211</v>
      </c>
      <c r="AF248" s="78">
        <f t="shared" si="127"/>
        <v>14950.22450381168</v>
      </c>
      <c r="AG248" s="141">
        <f t="shared" si="128"/>
        <v>13630.010640039987</v>
      </c>
      <c r="AH248" s="140">
        <f t="shared" si="129"/>
        <v>15144.57742236123</v>
      </c>
      <c r="AI248" s="141">
        <f t="shared" si="130"/>
        <v>13902.610852840788</v>
      </c>
      <c r="AJ248" s="140">
        <f t="shared" si="131"/>
        <v>15447.468970808455</v>
      </c>
      <c r="AK248" s="141">
        <f t="shared" si="132"/>
        <v>14305.78656757317</v>
      </c>
      <c r="AL248" s="140">
        <f t="shared" si="133"/>
        <v>15895.4455709619</v>
      </c>
      <c r="AM248" s="141">
        <f t="shared" si="134"/>
        <v>15207.05112133028</v>
      </c>
      <c r="AN248" s="141">
        <f t="shared" si="135"/>
        <v>16896.8586419325</v>
      </c>
    </row>
    <row r="249" spans="1:40">
      <c r="A249" s="56">
        <v>340211</v>
      </c>
      <c r="B249" s="162">
        <v>34021107</v>
      </c>
      <c r="C249" s="86" t="s">
        <v>342</v>
      </c>
      <c r="D249" s="16">
        <v>47643.169697684345</v>
      </c>
      <c r="E249" s="17">
        <f t="shared" si="136"/>
        <v>50025.328182568563</v>
      </c>
      <c r="F249" s="57">
        <f>E249*1.045</f>
        <v>52276.467950784143</v>
      </c>
      <c r="G249" s="57">
        <f t="shared" si="106"/>
        <v>54095.689035471427</v>
      </c>
      <c r="H249" s="57">
        <f t="shared" si="107"/>
        <v>60106.802001093019</v>
      </c>
      <c r="I249" s="57">
        <f t="shared" si="108"/>
        <v>55556.272639429153</v>
      </c>
      <c r="J249" s="57">
        <f t="shared" si="108"/>
        <v>61729.685655122528</v>
      </c>
      <c r="K249" s="57">
        <f t="shared" si="109"/>
        <v>56889.623182775453</v>
      </c>
      <c r="L249" s="9">
        <f t="shared" si="109"/>
        <v>63211.198110845471</v>
      </c>
      <c r="M249" s="9">
        <f t="shared" si="110"/>
        <v>58425.643008710387</v>
      </c>
      <c r="N249" s="9">
        <f t="shared" si="110"/>
        <v>64917.900459838296</v>
      </c>
      <c r="O249" s="78">
        <f t="shared" si="111"/>
        <v>59711.007154902014</v>
      </c>
      <c r="P249" s="78">
        <f t="shared" si="111"/>
        <v>66346.094269954745</v>
      </c>
      <c r="Q249" s="1">
        <f t="shared" si="112"/>
        <v>61144.071326619662</v>
      </c>
      <c r="R249" s="78">
        <f t="shared" si="113"/>
        <v>67938.400532433661</v>
      </c>
      <c r="S249" s="1">
        <f t="shared" si="114"/>
        <v>63406.401965704586</v>
      </c>
      <c r="T249" s="78">
        <f t="shared" si="115"/>
        <v>70452.121352133705</v>
      </c>
      <c r="U249" s="1">
        <f t="shared" si="116"/>
        <v>65181.781220744313</v>
      </c>
      <c r="V249" s="99">
        <f t="shared" si="117"/>
        <v>72424.780749993457</v>
      </c>
      <c r="W249" s="78">
        <f t="shared" si="118"/>
        <v>66159.507939055475</v>
      </c>
      <c r="X249" s="78">
        <f t="shared" si="119"/>
        <v>73511.152461243357</v>
      </c>
      <c r="Y249" s="78">
        <f t="shared" si="120"/>
        <v>67218.060066080361</v>
      </c>
      <c r="Z249" s="78">
        <f t="shared" si="121"/>
        <v>74687.330900623245</v>
      </c>
      <c r="AA249" s="78">
        <f t="shared" si="122"/>
        <v>68495.203207335886</v>
      </c>
      <c r="AB249" s="78">
        <f t="shared" si="123"/>
        <v>76106.390187735073</v>
      </c>
      <c r="AC249" s="1">
        <f t="shared" si="124"/>
        <v>69796.612068275266</v>
      </c>
      <c r="AD249" s="78">
        <f t="shared" si="125"/>
        <v>77552.411601302025</v>
      </c>
      <c r="AE249" s="1">
        <f t="shared" si="126"/>
        <v>71262.340921709038</v>
      </c>
      <c r="AF249" s="78">
        <f t="shared" si="127"/>
        <v>79181.012244929356</v>
      </c>
      <c r="AG249" s="141">
        <f t="shared" si="128"/>
        <v>72188.751353691245</v>
      </c>
      <c r="AH249" s="140">
        <f t="shared" si="129"/>
        <v>80210.365404113429</v>
      </c>
      <c r="AI249" s="141">
        <f t="shared" si="130"/>
        <v>73632.526380765077</v>
      </c>
      <c r="AJ249" s="140">
        <f t="shared" si="131"/>
        <v>81814.572712195702</v>
      </c>
      <c r="AK249" s="141">
        <f t="shared" si="132"/>
        <v>75767.869645807252</v>
      </c>
      <c r="AL249" s="140">
        <f t="shared" si="133"/>
        <v>84187.195320849365</v>
      </c>
      <c r="AM249" s="141">
        <f t="shared" si="134"/>
        <v>80541.24543349311</v>
      </c>
      <c r="AN249" s="141">
        <f t="shared" si="135"/>
        <v>89490.98862606287</v>
      </c>
    </row>
    <row r="250" spans="1:40">
      <c r="A250" s="56">
        <v>340212</v>
      </c>
      <c r="B250" s="162">
        <v>34021200</v>
      </c>
      <c r="C250" s="86" t="s">
        <v>327</v>
      </c>
      <c r="D250" s="16">
        <v>6885.5150483109182</v>
      </c>
      <c r="E250" s="17">
        <f t="shared" si="136"/>
        <v>7229.7908007264641</v>
      </c>
      <c r="F250" s="57">
        <f>E250*1.045</f>
        <v>7555.1313867591543</v>
      </c>
      <c r="G250" s="57">
        <f t="shared" si="106"/>
        <v>7818.0499590183726</v>
      </c>
      <c r="H250" s="57">
        <f t="shared" si="107"/>
        <v>8686.7916704644958</v>
      </c>
      <c r="I250" s="57">
        <f t="shared" si="108"/>
        <v>8029.1373079118684</v>
      </c>
      <c r="J250" s="57">
        <f t="shared" si="108"/>
        <v>8921.335045567037</v>
      </c>
      <c r="K250" s="57">
        <f t="shared" si="109"/>
        <v>8221.8366033017537</v>
      </c>
      <c r="L250" s="9">
        <f t="shared" si="109"/>
        <v>9135.4470866606462</v>
      </c>
      <c r="M250" s="9">
        <f t="shared" si="110"/>
        <v>8443.8261915909006</v>
      </c>
      <c r="N250" s="9">
        <f t="shared" si="110"/>
        <v>9382.1041580004821</v>
      </c>
      <c r="O250" s="78">
        <f t="shared" si="111"/>
        <v>8629.5903678059003</v>
      </c>
      <c r="P250" s="78">
        <f t="shared" si="111"/>
        <v>9588.5104494764928</v>
      </c>
      <c r="Q250" s="1">
        <f t="shared" si="112"/>
        <v>8836.7005366332414</v>
      </c>
      <c r="R250" s="78">
        <f t="shared" si="113"/>
        <v>9818.6347002639286</v>
      </c>
      <c r="S250" s="1">
        <f t="shared" si="114"/>
        <v>9163.6584564886707</v>
      </c>
      <c r="T250" s="78">
        <f t="shared" si="115"/>
        <v>10181.924184173693</v>
      </c>
      <c r="U250" s="1">
        <f t="shared" si="116"/>
        <v>9420.2408932703529</v>
      </c>
      <c r="V250" s="99">
        <f t="shared" si="117"/>
        <v>10467.018061330557</v>
      </c>
      <c r="W250" s="78">
        <f t="shared" si="118"/>
        <v>9561.5445066694065</v>
      </c>
      <c r="X250" s="78">
        <f t="shared" si="119"/>
        <v>10624.023332250514</v>
      </c>
      <c r="Y250" s="78">
        <f t="shared" si="120"/>
        <v>9714.529218776117</v>
      </c>
      <c r="Z250" s="78">
        <f t="shared" si="121"/>
        <v>10794.007705566522</v>
      </c>
      <c r="AA250" s="78">
        <f t="shared" si="122"/>
        <v>9899.1052739328625</v>
      </c>
      <c r="AB250" s="78">
        <f t="shared" si="123"/>
        <v>10999.093851972286</v>
      </c>
      <c r="AC250" s="1">
        <f t="shared" si="124"/>
        <v>10087.188274137587</v>
      </c>
      <c r="AD250" s="78">
        <f t="shared" si="125"/>
        <v>11208.076635159758</v>
      </c>
      <c r="AE250" s="1">
        <f t="shared" si="126"/>
        <v>10299.019227894474</v>
      </c>
      <c r="AF250" s="78">
        <f t="shared" si="127"/>
        <v>11443.446244498111</v>
      </c>
      <c r="AG250" s="141">
        <f t="shared" si="128"/>
        <v>10432.906477857101</v>
      </c>
      <c r="AH250" s="140">
        <f t="shared" si="129"/>
        <v>11592.211045676586</v>
      </c>
      <c r="AI250" s="141">
        <f t="shared" si="130"/>
        <v>10641.564607414242</v>
      </c>
      <c r="AJ250" s="140">
        <f t="shared" si="131"/>
        <v>11824.055266590118</v>
      </c>
      <c r="AK250" s="141">
        <f t="shared" si="132"/>
        <v>10950.169981029254</v>
      </c>
      <c r="AL250" s="140">
        <f t="shared" si="133"/>
        <v>12166.952869321231</v>
      </c>
      <c r="AM250" s="141">
        <f t="shared" si="134"/>
        <v>11640.030689834097</v>
      </c>
      <c r="AN250" s="141">
        <f t="shared" si="135"/>
        <v>12933.470900088467</v>
      </c>
    </row>
    <row r="251" spans="1:40">
      <c r="A251" s="56">
        <v>340213</v>
      </c>
      <c r="B251" s="162">
        <v>34021300</v>
      </c>
      <c r="C251" s="86" t="s">
        <v>343</v>
      </c>
      <c r="D251" s="16">
        <v>8995.541517583868</v>
      </c>
      <c r="E251" s="17">
        <f t="shared" si="136"/>
        <v>9445.3185934630619</v>
      </c>
      <c r="F251" s="57">
        <f>E251*1.045</f>
        <v>9870.3579301688987</v>
      </c>
      <c r="G251" s="57">
        <f t="shared" si="106"/>
        <v>10213.846386138775</v>
      </c>
      <c r="H251" s="57">
        <f t="shared" si="107"/>
        <v>11348.808996566517</v>
      </c>
      <c r="I251" s="57">
        <f t="shared" si="108"/>
        <v>10489.620238564521</v>
      </c>
      <c r="J251" s="57">
        <f t="shared" si="108"/>
        <v>11655.226839473811</v>
      </c>
      <c r="K251" s="57">
        <f t="shared" si="109"/>
        <v>10741.37112429007</v>
      </c>
      <c r="L251" s="9">
        <f t="shared" si="109"/>
        <v>11934.952283621184</v>
      </c>
      <c r="M251" s="9">
        <f t="shared" si="110"/>
        <v>11031.388144645902</v>
      </c>
      <c r="N251" s="9">
        <f t="shared" si="110"/>
        <v>12257.195995278955</v>
      </c>
      <c r="O251" s="78">
        <f t="shared" si="111"/>
        <v>11274.078683828111</v>
      </c>
      <c r="P251" s="78">
        <f t="shared" si="111"/>
        <v>12526.854307175092</v>
      </c>
      <c r="Q251" s="1">
        <f t="shared" si="112"/>
        <v>11544.656572239986</v>
      </c>
      <c r="R251" s="78">
        <f t="shared" si="113"/>
        <v>12827.498810547295</v>
      </c>
      <c r="S251" s="1">
        <f t="shared" si="114"/>
        <v>11971.808865412864</v>
      </c>
      <c r="T251" s="78">
        <f t="shared" si="115"/>
        <v>13302.116266537543</v>
      </c>
      <c r="U251" s="1">
        <f t="shared" si="116"/>
        <v>12307.019513644425</v>
      </c>
      <c r="V251" s="99">
        <f t="shared" si="117"/>
        <v>13674.575522000594</v>
      </c>
      <c r="W251" s="78">
        <f t="shared" si="118"/>
        <v>12491.624806349091</v>
      </c>
      <c r="X251" s="78">
        <f t="shared" si="119"/>
        <v>13879.694154830602</v>
      </c>
      <c r="Y251" s="78">
        <f t="shared" si="120"/>
        <v>12691.490803250677</v>
      </c>
      <c r="Z251" s="78">
        <f t="shared" si="121"/>
        <v>14101.769261307893</v>
      </c>
      <c r="AA251" s="78">
        <f t="shared" si="122"/>
        <v>12932.629128512439</v>
      </c>
      <c r="AB251" s="78">
        <f t="shared" si="123"/>
        <v>14369.702877272741</v>
      </c>
      <c r="AC251" s="1">
        <f t="shared" si="124"/>
        <v>13178.349081954175</v>
      </c>
      <c r="AD251" s="78">
        <f t="shared" si="125"/>
        <v>14642.727231940922</v>
      </c>
      <c r="AE251" s="1">
        <f t="shared" si="126"/>
        <v>13455.094412675211</v>
      </c>
      <c r="AF251" s="78">
        <f t="shared" si="127"/>
        <v>14950.22450381168</v>
      </c>
      <c r="AG251" s="141">
        <f t="shared" si="128"/>
        <v>13630.010640039987</v>
      </c>
      <c r="AH251" s="140">
        <f t="shared" si="129"/>
        <v>15144.57742236123</v>
      </c>
      <c r="AI251" s="141">
        <f t="shared" si="130"/>
        <v>13902.610852840788</v>
      </c>
      <c r="AJ251" s="140">
        <f t="shared" si="131"/>
        <v>15447.468970808455</v>
      </c>
      <c r="AK251" s="141">
        <f t="shared" si="132"/>
        <v>14305.78656757317</v>
      </c>
      <c r="AL251" s="140">
        <f t="shared" si="133"/>
        <v>15895.4455709619</v>
      </c>
      <c r="AM251" s="141">
        <f t="shared" si="134"/>
        <v>15207.05112133028</v>
      </c>
      <c r="AN251" s="141">
        <f t="shared" si="135"/>
        <v>16896.8586419325</v>
      </c>
    </row>
    <row r="252" spans="1:40">
      <c r="A252" s="56">
        <v>340213</v>
      </c>
      <c r="B252" s="162">
        <v>34021301</v>
      </c>
      <c r="C252" s="86" t="s">
        <v>344</v>
      </c>
      <c r="D252" s="16">
        <v>8995.541517583868</v>
      </c>
      <c r="E252" s="17">
        <f t="shared" si="136"/>
        <v>9445.3185934630619</v>
      </c>
      <c r="F252" s="57">
        <f>E252*1.045</f>
        <v>9870.3579301688987</v>
      </c>
      <c r="G252" s="57">
        <f t="shared" ref="G252:G309" si="137">F252*1.0348</f>
        <v>10213.846386138775</v>
      </c>
      <c r="H252" s="57">
        <f t="shared" ref="H252:H309" si="138">G252*1.11112</f>
        <v>11348.808996566517</v>
      </c>
      <c r="I252" s="57">
        <f t="shared" ref="I252:J309" si="139">G252*1.027</f>
        <v>10489.620238564521</v>
      </c>
      <c r="J252" s="57">
        <f t="shared" si="139"/>
        <v>11655.226839473811</v>
      </c>
      <c r="K252" s="57">
        <f t="shared" ref="K252:L309" si="140">I252*1.024</f>
        <v>10741.37112429007</v>
      </c>
      <c r="L252" s="9">
        <f t="shared" si="140"/>
        <v>11934.952283621184</v>
      </c>
      <c r="M252" s="9">
        <f t="shared" ref="M252:N309" si="141">K252*1.027</f>
        <v>11031.388144645902</v>
      </c>
      <c r="N252" s="9">
        <f t="shared" si="141"/>
        <v>12257.195995278955</v>
      </c>
      <c r="O252" s="78">
        <f t="shared" ref="O252:P309" si="142">M252*1.022</f>
        <v>11274.078683828111</v>
      </c>
      <c r="P252" s="78">
        <f t="shared" si="142"/>
        <v>12526.854307175092</v>
      </c>
      <c r="Q252" s="1">
        <f t="shared" si="112"/>
        <v>11544.656572239986</v>
      </c>
      <c r="R252" s="78">
        <f t="shared" si="113"/>
        <v>12827.498810547295</v>
      </c>
      <c r="S252" s="1">
        <f t="shared" si="114"/>
        <v>11971.808865412864</v>
      </c>
      <c r="T252" s="78">
        <f t="shared" si="115"/>
        <v>13302.116266537543</v>
      </c>
      <c r="U252" s="1">
        <f t="shared" si="116"/>
        <v>12307.019513644425</v>
      </c>
      <c r="V252" s="99">
        <f t="shared" si="117"/>
        <v>13674.575522000594</v>
      </c>
      <c r="W252" s="78">
        <f t="shared" si="118"/>
        <v>12491.624806349091</v>
      </c>
      <c r="X252" s="78">
        <f t="shared" si="119"/>
        <v>13879.694154830602</v>
      </c>
      <c r="Y252" s="78">
        <f t="shared" si="120"/>
        <v>12691.490803250677</v>
      </c>
      <c r="Z252" s="78">
        <f t="shared" si="121"/>
        <v>14101.769261307893</v>
      </c>
      <c r="AA252" s="78">
        <f t="shared" si="122"/>
        <v>12932.629128512439</v>
      </c>
      <c r="AB252" s="78">
        <f t="shared" si="123"/>
        <v>14369.702877272741</v>
      </c>
      <c r="AC252" s="1">
        <f t="shared" si="124"/>
        <v>13178.349081954175</v>
      </c>
      <c r="AD252" s="78">
        <f t="shared" si="125"/>
        <v>14642.727231940922</v>
      </c>
      <c r="AE252" s="1">
        <f t="shared" si="126"/>
        <v>13455.094412675211</v>
      </c>
      <c r="AF252" s="78">
        <f t="shared" si="127"/>
        <v>14950.22450381168</v>
      </c>
      <c r="AG252" s="141">
        <f t="shared" si="128"/>
        <v>13630.010640039987</v>
      </c>
      <c r="AH252" s="140">
        <f t="shared" si="129"/>
        <v>15144.57742236123</v>
      </c>
      <c r="AI252" s="141">
        <f t="shared" si="130"/>
        <v>13902.610852840788</v>
      </c>
      <c r="AJ252" s="140">
        <f t="shared" si="131"/>
        <v>15447.468970808455</v>
      </c>
      <c r="AK252" s="141">
        <f t="shared" si="132"/>
        <v>14305.78656757317</v>
      </c>
      <c r="AL252" s="140">
        <f t="shared" si="133"/>
        <v>15895.4455709619</v>
      </c>
      <c r="AM252" s="141">
        <f t="shared" si="134"/>
        <v>15207.05112133028</v>
      </c>
      <c r="AN252" s="141">
        <f t="shared" si="135"/>
        <v>16896.8586419325</v>
      </c>
    </row>
    <row r="253" spans="1:40">
      <c r="A253" s="56">
        <v>340213</v>
      </c>
      <c r="B253" s="162">
        <v>34021302</v>
      </c>
      <c r="C253" s="86" t="s">
        <v>345</v>
      </c>
      <c r="D253" s="16">
        <v>8995.541517583868</v>
      </c>
      <c r="E253" s="17">
        <f t="shared" si="136"/>
        <v>9445.3185934630619</v>
      </c>
      <c r="F253" s="57">
        <f>E253*1.045</f>
        <v>9870.3579301688987</v>
      </c>
      <c r="G253" s="57">
        <f t="shared" si="137"/>
        <v>10213.846386138775</v>
      </c>
      <c r="H253" s="57">
        <f t="shared" si="138"/>
        <v>11348.808996566517</v>
      </c>
      <c r="I253" s="57">
        <f t="shared" si="139"/>
        <v>10489.620238564521</v>
      </c>
      <c r="J253" s="57">
        <f t="shared" si="139"/>
        <v>11655.226839473811</v>
      </c>
      <c r="K253" s="57">
        <f t="shared" si="140"/>
        <v>10741.37112429007</v>
      </c>
      <c r="L253" s="9">
        <f t="shared" si="140"/>
        <v>11934.952283621184</v>
      </c>
      <c r="M253" s="9">
        <f t="shared" si="141"/>
        <v>11031.388144645902</v>
      </c>
      <c r="N253" s="9">
        <f t="shared" si="141"/>
        <v>12257.195995278955</v>
      </c>
      <c r="O253" s="78">
        <f t="shared" si="142"/>
        <v>11274.078683828111</v>
      </c>
      <c r="P253" s="78">
        <f t="shared" si="142"/>
        <v>12526.854307175092</v>
      </c>
      <c r="Q253" s="1">
        <f t="shared" si="112"/>
        <v>11544.656572239986</v>
      </c>
      <c r="R253" s="78">
        <f t="shared" si="113"/>
        <v>12827.498810547295</v>
      </c>
      <c r="S253" s="1">
        <f t="shared" si="114"/>
        <v>11971.808865412864</v>
      </c>
      <c r="T253" s="78">
        <f t="shared" si="115"/>
        <v>13302.116266537543</v>
      </c>
      <c r="U253" s="1">
        <f t="shared" si="116"/>
        <v>12307.019513644425</v>
      </c>
      <c r="V253" s="99">
        <f t="shared" si="117"/>
        <v>13674.575522000594</v>
      </c>
      <c r="W253" s="78">
        <f t="shared" si="118"/>
        <v>12491.624806349091</v>
      </c>
      <c r="X253" s="78">
        <f t="shared" si="119"/>
        <v>13879.694154830602</v>
      </c>
      <c r="Y253" s="78">
        <f t="shared" si="120"/>
        <v>12691.490803250677</v>
      </c>
      <c r="Z253" s="78">
        <f t="shared" si="121"/>
        <v>14101.769261307893</v>
      </c>
      <c r="AA253" s="78">
        <f t="shared" si="122"/>
        <v>12932.629128512439</v>
      </c>
      <c r="AB253" s="78">
        <f t="shared" si="123"/>
        <v>14369.702877272741</v>
      </c>
      <c r="AC253" s="1">
        <f t="shared" si="124"/>
        <v>13178.349081954175</v>
      </c>
      <c r="AD253" s="78">
        <f t="shared" si="125"/>
        <v>14642.727231940922</v>
      </c>
      <c r="AE253" s="1">
        <f t="shared" si="126"/>
        <v>13455.094412675211</v>
      </c>
      <c r="AF253" s="78">
        <f t="shared" si="127"/>
        <v>14950.22450381168</v>
      </c>
      <c r="AG253" s="141">
        <f t="shared" si="128"/>
        <v>13630.010640039987</v>
      </c>
      <c r="AH253" s="140">
        <f t="shared" si="129"/>
        <v>15144.57742236123</v>
      </c>
      <c r="AI253" s="141">
        <f t="shared" si="130"/>
        <v>13902.610852840788</v>
      </c>
      <c r="AJ253" s="140">
        <f t="shared" si="131"/>
        <v>15447.468970808455</v>
      </c>
      <c r="AK253" s="141">
        <f t="shared" si="132"/>
        <v>14305.78656757317</v>
      </c>
      <c r="AL253" s="140">
        <f t="shared" si="133"/>
        <v>15895.4455709619</v>
      </c>
      <c r="AM253" s="141">
        <f t="shared" si="134"/>
        <v>15207.05112133028</v>
      </c>
      <c r="AN253" s="141">
        <f t="shared" si="135"/>
        <v>16896.8586419325</v>
      </c>
    </row>
    <row r="254" spans="1:40">
      <c r="A254" s="56">
        <v>340213</v>
      </c>
      <c r="B254" s="162">
        <v>34021303</v>
      </c>
      <c r="C254" s="86" t="s">
        <v>346</v>
      </c>
      <c r="D254" s="16">
        <v>8995.541517583868</v>
      </c>
      <c r="E254" s="17">
        <f t="shared" si="136"/>
        <v>9445.3185934630619</v>
      </c>
      <c r="F254" s="57">
        <f>E254*1.045</f>
        <v>9870.3579301688987</v>
      </c>
      <c r="G254" s="57">
        <f t="shared" si="137"/>
        <v>10213.846386138775</v>
      </c>
      <c r="H254" s="57">
        <f t="shared" si="138"/>
        <v>11348.808996566517</v>
      </c>
      <c r="I254" s="57">
        <f t="shared" si="139"/>
        <v>10489.620238564521</v>
      </c>
      <c r="J254" s="57">
        <f t="shared" si="139"/>
        <v>11655.226839473811</v>
      </c>
      <c r="K254" s="57">
        <f t="shared" si="140"/>
        <v>10741.37112429007</v>
      </c>
      <c r="L254" s="9">
        <f t="shared" si="140"/>
        <v>11934.952283621184</v>
      </c>
      <c r="M254" s="9">
        <f t="shared" si="141"/>
        <v>11031.388144645902</v>
      </c>
      <c r="N254" s="9">
        <f t="shared" si="141"/>
        <v>12257.195995278955</v>
      </c>
      <c r="O254" s="78">
        <f t="shared" si="142"/>
        <v>11274.078683828111</v>
      </c>
      <c r="P254" s="78">
        <f t="shared" si="142"/>
        <v>12526.854307175092</v>
      </c>
      <c r="Q254" s="1">
        <f t="shared" si="112"/>
        <v>11544.656572239986</v>
      </c>
      <c r="R254" s="78">
        <f t="shared" si="113"/>
        <v>12827.498810547295</v>
      </c>
      <c r="S254" s="1">
        <f t="shared" si="114"/>
        <v>11971.808865412864</v>
      </c>
      <c r="T254" s="78">
        <f t="shared" si="115"/>
        <v>13302.116266537543</v>
      </c>
      <c r="U254" s="1">
        <f t="shared" si="116"/>
        <v>12307.019513644425</v>
      </c>
      <c r="V254" s="99">
        <f t="shared" si="117"/>
        <v>13674.575522000594</v>
      </c>
      <c r="W254" s="78">
        <f t="shared" si="118"/>
        <v>12491.624806349091</v>
      </c>
      <c r="X254" s="78">
        <f t="shared" si="119"/>
        <v>13879.694154830602</v>
      </c>
      <c r="Y254" s="78">
        <f t="shared" si="120"/>
        <v>12691.490803250677</v>
      </c>
      <c r="Z254" s="78">
        <f t="shared" si="121"/>
        <v>14101.769261307893</v>
      </c>
      <c r="AA254" s="78">
        <f t="shared" si="122"/>
        <v>12932.629128512439</v>
      </c>
      <c r="AB254" s="78">
        <f t="shared" si="123"/>
        <v>14369.702877272741</v>
      </c>
      <c r="AC254" s="1">
        <f t="shared" si="124"/>
        <v>13178.349081954175</v>
      </c>
      <c r="AD254" s="78">
        <f t="shared" si="125"/>
        <v>14642.727231940922</v>
      </c>
      <c r="AE254" s="1">
        <f t="shared" si="126"/>
        <v>13455.094412675211</v>
      </c>
      <c r="AF254" s="78">
        <f t="shared" si="127"/>
        <v>14950.22450381168</v>
      </c>
      <c r="AG254" s="141">
        <f t="shared" si="128"/>
        <v>13630.010640039987</v>
      </c>
      <c r="AH254" s="140">
        <f t="shared" si="129"/>
        <v>15144.57742236123</v>
      </c>
      <c r="AI254" s="141">
        <f t="shared" si="130"/>
        <v>13902.610852840788</v>
      </c>
      <c r="AJ254" s="140">
        <f t="shared" si="131"/>
        <v>15447.468970808455</v>
      </c>
      <c r="AK254" s="141">
        <f t="shared" si="132"/>
        <v>14305.78656757317</v>
      </c>
      <c r="AL254" s="140">
        <f t="shared" si="133"/>
        <v>15895.4455709619</v>
      </c>
      <c r="AM254" s="141">
        <f t="shared" si="134"/>
        <v>15207.05112133028</v>
      </c>
      <c r="AN254" s="141">
        <f t="shared" si="135"/>
        <v>16896.8586419325</v>
      </c>
    </row>
    <row r="255" spans="1:40">
      <c r="A255" s="56">
        <v>340213</v>
      </c>
      <c r="B255" s="162">
        <v>34021304</v>
      </c>
      <c r="C255" s="86" t="s">
        <v>347</v>
      </c>
      <c r="D255" s="16">
        <v>8995.541517583868</v>
      </c>
      <c r="E255" s="17">
        <f t="shared" si="136"/>
        <v>9445.3185934630619</v>
      </c>
      <c r="F255" s="57">
        <f>E255*1.045</f>
        <v>9870.3579301688987</v>
      </c>
      <c r="G255" s="57">
        <f t="shared" si="137"/>
        <v>10213.846386138775</v>
      </c>
      <c r="H255" s="57">
        <f t="shared" si="138"/>
        <v>11348.808996566517</v>
      </c>
      <c r="I255" s="57">
        <f t="shared" si="139"/>
        <v>10489.620238564521</v>
      </c>
      <c r="J255" s="57">
        <f t="shared" si="139"/>
        <v>11655.226839473811</v>
      </c>
      <c r="K255" s="57">
        <f t="shared" si="140"/>
        <v>10741.37112429007</v>
      </c>
      <c r="L255" s="9">
        <f t="shared" si="140"/>
        <v>11934.952283621184</v>
      </c>
      <c r="M255" s="9">
        <f t="shared" si="141"/>
        <v>11031.388144645902</v>
      </c>
      <c r="N255" s="9">
        <f t="shared" si="141"/>
        <v>12257.195995278955</v>
      </c>
      <c r="O255" s="78">
        <f t="shared" si="142"/>
        <v>11274.078683828111</v>
      </c>
      <c r="P255" s="78">
        <f t="shared" si="142"/>
        <v>12526.854307175092</v>
      </c>
      <c r="Q255" s="1">
        <f t="shared" si="112"/>
        <v>11544.656572239986</v>
      </c>
      <c r="R255" s="78">
        <f t="shared" si="113"/>
        <v>12827.498810547295</v>
      </c>
      <c r="S255" s="1">
        <f t="shared" si="114"/>
        <v>11971.808865412864</v>
      </c>
      <c r="T255" s="78">
        <f t="shared" si="115"/>
        <v>13302.116266537543</v>
      </c>
      <c r="U255" s="1">
        <f t="shared" si="116"/>
        <v>12307.019513644425</v>
      </c>
      <c r="V255" s="99">
        <f t="shared" si="117"/>
        <v>13674.575522000594</v>
      </c>
      <c r="W255" s="78">
        <f t="shared" si="118"/>
        <v>12491.624806349091</v>
      </c>
      <c r="X255" s="78">
        <f t="shared" si="119"/>
        <v>13879.694154830602</v>
      </c>
      <c r="Y255" s="78">
        <f t="shared" si="120"/>
        <v>12691.490803250677</v>
      </c>
      <c r="Z255" s="78">
        <f t="shared" si="121"/>
        <v>14101.769261307893</v>
      </c>
      <c r="AA255" s="78">
        <f t="shared" si="122"/>
        <v>12932.629128512439</v>
      </c>
      <c r="AB255" s="78">
        <f t="shared" si="123"/>
        <v>14369.702877272741</v>
      </c>
      <c r="AC255" s="1">
        <f t="shared" si="124"/>
        <v>13178.349081954175</v>
      </c>
      <c r="AD255" s="78">
        <f t="shared" si="125"/>
        <v>14642.727231940922</v>
      </c>
      <c r="AE255" s="1">
        <f t="shared" si="126"/>
        <v>13455.094412675211</v>
      </c>
      <c r="AF255" s="78">
        <f t="shared" si="127"/>
        <v>14950.22450381168</v>
      </c>
      <c r="AG255" s="141">
        <f t="shared" si="128"/>
        <v>13630.010640039987</v>
      </c>
      <c r="AH255" s="140">
        <f t="shared" si="129"/>
        <v>15144.57742236123</v>
      </c>
      <c r="AI255" s="141">
        <f t="shared" si="130"/>
        <v>13902.610852840788</v>
      </c>
      <c r="AJ255" s="140">
        <f t="shared" si="131"/>
        <v>15447.468970808455</v>
      </c>
      <c r="AK255" s="141">
        <f t="shared" si="132"/>
        <v>14305.78656757317</v>
      </c>
      <c r="AL255" s="140">
        <f t="shared" si="133"/>
        <v>15895.4455709619</v>
      </c>
      <c r="AM255" s="141">
        <f t="shared" si="134"/>
        <v>15207.05112133028</v>
      </c>
      <c r="AN255" s="141">
        <f t="shared" si="135"/>
        <v>16896.8586419325</v>
      </c>
    </row>
    <row r="256" spans="1:40">
      <c r="A256" s="56">
        <v>340213</v>
      </c>
      <c r="B256" s="162">
        <v>34021305</v>
      </c>
      <c r="C256" s="86" t="s">
        <v>348</v>
      </c>
      <c r="D256" s="16">
        <v>8995.541517583868</v>
      </c>
      <c r="E256" s="17">
        <f t="shared" si="136"/>
        <v>9445.3185934630619</v>
      </c>
      <c r="F256" s="57">
        <f>E256*1.045</f>
        <v>9870.3579301688987</v>
      </c>
      <c r="G256" s="57">
        <f t="shared" si="137"/>
        <v>10213.846386138775</v>
      </c>
      <c r="H256" s="57">
        <f t="shared" si="138"/>
        <v>11348.808996566517</v>
      </c>
      <c r="I256" s="57">
        <f t="shared" si="139"/>
        <v>10489.620238564521</v>
      </c>
      <c r="J256" s="57">
        <f t="shared" si="139"/>
        <v>11655.226839473811</v>
      </c>
      <c r="K256" s="57">
        <f t="shared" si="140"/>
        <v>10741.37112429007</v>
      </c>
      <c r="L256" s="9">
        <f t="shared" si="140"/>
        <v>11934.952283621184</v>
      </c>
      <c r="M256" s="9">
        <f t="shared" si="141"/>
        <v>11031.388144645902</v>
      </c>
      <c r="N256" s="9">
        <f t="shared" si="141"/>
        <v>12257.195995278955</v>
      </c>
      <c r="O256" s="78">
        <f t="shared" si="142"/>
        <v>11274.078683828111</v>
      </c>
      <c r="P256" s="78">
        <f t="shared" si="142"/>
        <v>12526.854307175092</v>
      </c>
      <c r="Q256" s="1">
        <f t="shared" si="112"/>
        <v>11544.656572239986</v>
      </c>
      <c r="R256" s="78">
        <f t="shared" si="113"/>
        <v>12827.498810547295</v>
      </c>
      <c r="S256" s="1">
        <f t="shared" si="114"/>
        <v>11971.808865412864</v>
      </c>
      <c r="T256" s="78">
        <f t="shared" si="115"/>
        <v>13302.116266537543</v>
      </c>
      <c r="U256" s="1">
        <f t="shared" si="116"/>
        <v>12307.019513644425</v>
      </c>
      <c r="V256" s="99">
        <f t="shared" si="117"/>
        <v>13674.575522000594</v>
      </c>
      <c r="W256" s="78">
        <f t="shared" si="118"/>
        <v>12491.624806349091</v>
      </c>
      <c r="X256" s="78">
        <f t="shared" si="119"/>
        <v>13879.694154830602</v>
      </c>
      <c r="Y256" s="78">
        <f t="shared" si="120"/>
        <v>12691.490803250677</v>
      </c>
      <c r="Z256" s="78">
        <f t="shared" si="121"/>
        <v>14101.769261307893</v>
      </c>
      <c r="AA256" s="78">
        <f t="shared" si="122"/>
        <v>12932.629128512439</v>
      </c>
      <c r="AB256" s="78">
        <f t="shared" si="123"/>
        <v>14369.702877272741</v>
      </c>
      <c r="AC256" s="1">
        <f t="shared" si="124"/>
        <v>13178.349081954175</v>
      </c>
      <c r="AD256" s="78">
        <f t="shared" si="125"/>
        <v>14642.727231940922</v>
      </c>
      <c r="AE256" s="1">
        <f t="shared" si="126"/>
        <v>13455.094412675211</v>
      </c>
      <c r="AF256" s="78">
        <f t="shared" si="127"/>
        <v>14950.22450381168</v>
      </c>
      <c r="AG256" s="141">
        <f t="shared" si="128"/>
        <v>13630.010640039987</v>
      </c>
      <c r="AH256" s="140">
        <f t="shared" si="129"/>
        <v>15144.57742236123</v>
      </c>
      <c r="AI256" s="141">
        <f t="shared" si="130"/>
        <v>13902.610852840788</v>
      </c>
      <c r="AJ256" s="140">
        <f t="shared" si="131"/>
        <v>15447.468970808455</v>
      </c>
      <c r="AK256" s="141">
        <f t="shared" si="132"/>
        <v>14305.78656757317</v>
      </c>
      <c r="AL256" s="140">
        <f t="shared" si="133"/>
        <v>15895.4455709619</v>
      </c>
      <c r="AM256" s="141">
        <f t="shared" si="134"/>
        <v>15207.05112133028</v>
      </c>
      <c r="AN256" s="141">
        <f t="shared" si="135"/>
        <v>16896.8586419325</v>
      </c>
    </row>
    <row r="257" spans="1:40">
      <c r="A257" s="56">
        <v>340213</v>
      </c>
      <c r="B257" s="162">
        <v>34021306</v>
      </c>
      <c r="C257" s="86" t="s">
        <v>349</v>
      </c>
      <c r="D257" s="16">
        <v>8995.541517583868</v>
      </c>
      <c r="E257" s="17">
        <f t="shared" si="136"/>
        <v>9445.3185934630619</v>
      </c>
      <c r="F257" s="57">
        <f>E257*1.045</f>
        <v>9870.3579301688987</v>
      </c>
      <c r="G257" s="57">
        <f t="shared" si="137"/>
        <v>10213.846386138775</v>
      </c>
      <c r="H257" s="57">
        <f t="shared" si="138"/>
        <v>11348.808996566517</v>
      </c>
      <c r="I257" s="57">
        <f t="shared" si="139"/>
        <v>10489.620238564521</v>
      </c>
      <c r="J257" s="57">
        <f t="shared" si="139"/>
        <v>11655.226839473811</v>
      </c>
      <c r="K257" s="57">
        <f t="shared" si="140"/>
        <v>10741.37112429007</v>
      </c>
      <c r="L257" s="9">
        <f t="shared" si="140"/>
        <v>11934.952283621184</v>
      </c>
      <c r="M257" s="9">
        <f t="shared" si="141"/>
        <v>11031.388144645902</v>
      </c>
      <c r="N257" s="9">
        <f t="shared" si="141"/>
        <v>12257.195995278955</v>
      </c>
      <c r="O257" s="78">
        <f t="shared" si="142"/>
        <v>11274.078683828111</v>
      </c>
      <c r="P257" s="78">
        <f t="shared" si="142"/>
        <v>12526.854307175092</v>
      </c>
      <c r="Q257" s="1">
        <f t="shared" si="112"/>
        <v>11544.656572239986</v>
      </c>
      <c r="R257" s="78">
        <f t="shared" si="113"/>
        <v>12827.498810547295</v>
      </c>
      <c r="S257" s="1">
        <f t="shared" si="114"/>
        <v>11971.808865412864</v>
      </c>
      <c r="T257" s="78">
        <f t="shared" si="115"/>
        <v>13302.116266537543</v>
      </c>
      <c r="U257" s="1">
        <f t="shared" si="116"/>
        <v>12307.019513644425</v>
      </c>
      <c r="V257" s="99">
        <f t="shared" si="117"/>
        <v>13674.575522000594</v>
      </c>
      <c r="W257" s="78">
        <f t="shared" si="118"/>
        <v>12491.624806349091</v>
      </c>
      <c r="X257" s="78">
        <f t="shared" si="119"/>
        <v>13879.694154830602</v>
      </c>
      <c r="Y257" s="78">
        <f t="shared" si="120"/>
        <v>12691.490803250677</v>
      </c>
      <c r="Z257" s="78">
        <f t="shared" si="121"/>
        <v>14101.769261307893</v>
      </c>
      <c r="AA257" s="78">
        <f t="shared" si="122"/>
        <v>12932.629128512439</v>
      </c>
      <c r="AB257" s="78">
        <f t="shared" si="123"/>
        <v>14369.702877272741</v>
      </c>
      <c r="AC257" s="1">
        <f t="shared" si="124"/>
        <v>13178.349081954175</v>
      </c>
      <c r="AD257" s="78">
        <f t="shared" si="125"/>
        <v>14642.727231940922</v>
      </c>
      <c r="AE257" s="1">
        <f t="shared" si="126"/>
        <v>13455.094412675211</v>
      </c>
      <c r="AF257" s="78">
        <f t="shared" si="127"/>
        <v>14950.22450381168</v>
      </c>
      <c r="AG257" s="141">
        <f t="shared" si="128"/>
        <v>13630.010640039987</v>
      </c>
      <c r="AH257" s="140">
        <f t="shared" si="129"/>
        <v>15144.57742236123</v>
      </c>
      <c r="AI257" s="141">
        <f t="shared" si="130"/>
        <v>13902.610852840788</v>
      </c>
      <c r="AJ257" s="140">
        <f t="shared" si="131"/>
        <v>15447.468970808455</v>
      </c>
      <c r="AK257" s="141">
        <f t="shared" si="132"/>
        <v>14305.78656757317</v>
      </c>
      <c r="AL257" s="140">
        <f t="shared" si="133"/>
        <v>15895.4455709619</v>
      </c>
      <c r="AM257" s="141">
        <f t="shared" si="134"/>
        <v>15207.05112133028</v>
      </c>
      <c r="AN257" s="141">
        <f t="shared" si="135"/>
        <v>16896.8586419325</v>
      </c>
    </row>
    <row r="258" spans="1:40">
      <c r="A258" s="56">
        <v>340213</v>
      </c>
      <c r="B258" s="162">
        <v>34021307</v>
      </c>
      <c r="C258" s="86" t="s">
        <v>350</v>
      </c>
      <c r="D258" s="16">
        <v>8995.541517583868</v>
      </c>
      <c r="E258" s="17">
        <f t="shared" si="136"/>
        <v>9445.3185934630619</v>
      </c>
      <c r="F258" s="57">
        <f>E258*1.045</f>
        <v>9870.3579301688987</v>
      </c>
      <c r="G258" s="57">
        <f t="shared" si="137"/>
        <v>10213.846386138775</v>
      </c>
      <c r="H258" s="57">
        <f t="shared" si="138"/>
        <v>11348.808996566517</v>
      </c>
      <c r="I258" s="57">
        <f t="shared" si="139"/>
        <v>10489.620238564521</v>
      </c>
      <c r="J258" s="57">
        <f t="shared" si="139"/>
        <v>11655.226839473811</v>
      </c>
      <c r="K258" s="57">
        <f t="shared" si="140"/>
        <v>10741.37112429007</v>
      </c>
      <c r="L258" s="9">
        <f t="shared" si="140"/>
        <v>11934.952283621184</v>
      </c>
      <c r="M258" s="9">
        <f t="shared" si="141"/>
        <v>11031.388144645902</v>
      </c>
      <c r="N258" s="9">
        <f t="shared" si="141"/>
        <v>12257.195995278955</v>
      </c>
      <c r="O258" s="78">
        <f t="shared" si="142"/>
        <v>11274.078683828111</v>
      </c>
      <c r="P258" s="78">
        <f t="shared" si="142"/>
        <v>12526.854307175092</v>
      </c>
      <c r="Q258" s="1">
        <f t="shared" si="112"/>
        <v>11544.656572239986</v>
      </c>
      <c r="R258" s="78">
        <f t="shared" si="113"/>
        <v>12827.498810547295</v>
      </c>
      <c r="S258" s="1">
        <f t="shared" si="114"/>
        <v>11971.808865412864</v>
      </c>
      <c r="T258" s="78">
        <f t="shared" si="115"/>
        <v>13302.116266537543</v>
      </c>
      <c r="U258" s="1">
        <f t="shared" si="116"/>
        <v>12307.019513644425</v>
      </c>
      <c r="V258" s="99">
        <f t="shared" si="117"/>
        <v>13674.575522000594</v>
      </c>
      <c r="W258" s="78">
        <f t="shared" si="118"/>
        <v>12491.624806349091</v>
      </c>
      <c r="X258" s="78">
        <f t="shared" si="119"/>
        <v>13879.694154830602</v>
      </c>
      <c r="Y258" s="78">
        <f t="shared" si="120"/>
        <v>12691.490803250677</v>
      </c>
      <c r="Z258" s="78">
        <f t="shared" si="121"/>
        <v>14101.769261307893</v>
      </c>
      <c r="AA258" s="78">
        <f t="shared" si="122"/>
        <v>12932.629128512439</v>
      </c>
      <c r="AB258" s="78">
        <f t="shared" si="123"/>
        <v>14369.702877272741</v>
      </c>
      <c r="AC258" s="1">
        <f t="shared" si="124"/>
        <v>13178.349081954175</v>
      </c>
      <c r="AD258" s="78">
        <f t="shared" si="125"/>
        <v>14642.727231940922</v>
      </c>
      <c r="AE258" s="1">
        <f t="shared" si="126"/>
        <v>13455.094412675211</v>
      </c>
      <c r="AF258" s="78">
        <f t="shared" si="127"/>
        <v>14950.22450381168</v>
      </c>
      <c r="AG258" s="141">
        <f t="shared" si="128"/>
        <v>13630.010640039987</v>
      </c>
      <c r="AH258" s="140">
        <f t="shared" si="129"/>
        <v>15144.57742236123</v>
      </c>
      <c r="AI258" s="141">
        <f t="shared" si="130"/>
        <v>13902.610852840788</v>
      </c>
      <c r="AJ258" s="140">
        <f t="shared" si="131"/>
        <v>15447.468970808455</v>
      </c>
      <c r="AK258" s="141">
        <f t="shared" si="132"/>
        <v>14305.78656757317</v>
      </c>
      <c r="AL258" s="140">
        <f t="shared" si="133"/>
        <v>15895.4455709619</v>
      </c>
      <c r="AM258" s="141">
        <f t="shared" si="134"/>
        <v>15207.05112133028</v>
      </c>
      <c r="AN258" s="141">
        <f t="shared" si="135"/>
        <v>16896.8586419325</v>
      </c>
    </row>
    <row r="259" spans="1:40">
      <c r="A259" s="56">
        <v>340213</v>
      </c>
      <c r="B259" s="162">
        <v>34021308</v>
      </c>
      <c r="C259" s="86" t="s">
        <v>351</v>
      </c>
      <c r="D259" s="16">
        <v>8995.541517583868</v>
      </c>
      <c r="E259" s="17">
        <f t="shared" si="136"/>
        <v>9445.3185934630619</v>
      </c>
      <c r="F259" s="57">
        <f>E259*1.045</f>
        <v>9870.3579301688987</v>
      </c>
      <c r="G259" s="57">
        <f t="shared" si="137"/>
        <v>10213.846386138775</v>
      </c>
      <c r="H259" s="57">
        <f t="shared" si="138"/>
        <v>11348.808996566517</v>
      </c>
      <c r="I259" s="57">
        <f t="shared" si="139"/>
        <v>10489.620238564521</v>
      </c>
      <c r="J259" s="57">
        <f t="shared" si="139"/>
        <v>11655.226839473811</v>
      </c>
      <c r="K259" s="57">
        <f t="shared" si="140"/>
        <v>10741.37112429007</v>
      </c>
      <c r="L259" s="9">
        <f t="shared" si="140"/>
        <v>11934.952283621184</v>
      </c>
      <c r="M259" s="9">
        <f t="shared" si="141"/>
        <v>11031.388144645902</v>
      </c>
      <c r="N259" s="9">
        <f t="shared" si="141"/>
        <v>12257.195995278955</v>
      </c>
      <c r="O259" s="78">
        <f t="shared" si="142"/>
        <v>11274.078683828111</v>
      </c>
      <c r="P259" s="78">
        <f t="shared" si="142"/>
        <v>12526.854307175092</v>
      </c>
      <c r="Q259" s="1">
        <f t="shared" si="112"/>
        <v>11544.656572239986</v>
      </c>
      <c r="R259" s="78">
        <f t="shared" si="113"/>
        <v>12827.498810547295</v>
      </c>
      <c r="S259" s="1">
        <f t="shared" si="114"/>
        <v>11971.808865412864</v>
      </c>
      <c r="T259" s="78">
        <f t="shared" si="115"/>
        <v>13302.116266537543</v>
      </c>
      <c r="U259" s="1">
        <f t="shared" si="116"/>
        <v>12307.019513644425</v>
      </c>
      <c r="V259" s="99">
        <f t="shared" si="117"/>
        <v>13674.575522000594</v>
      </c>
      <c r="W259" s="78">
        <f t="shared" si="118"/>
        <v>12491.624806349091</v>
      </c>
      <c r="X259" s="78">
        <f t="shared" si="119"/>
        <v>13879.694154830602</v>
      </c>
      <c r="Y259" s="78">
        <f t="shared" si="120"/>
        <v>12691.490803250677</v>
      </c>
      <c r="Z259" s="78">
        <f t="shared" si="121"/>
        <v>14101.769261307893</v>
      </c>
      <c r="AA259" s="78">
        <f t="shared" si="122"/>
        <v>12932.629128512439</v>
      </c>
      <c r="AB259" s="78">
        <f t="shared" si="123"/>
        <v>14369.702877272741</v>
      </c>
      <c r="AC259" s="1">
        <f t="shared" si="124"/>
        <v>13178.349081954175</v>
      </c>
      <c r="AD259" s="78">
        <f t="shared" si="125"/>
        <v>14642.727231940922</v>
      </c>
      <c r="AE259" s="1">
        <f t="shared" si="126"/>
        <v>13455.094412675211</v>
      </c>
      <c r="AF259" s="78">
        <f t="shared" si="127"/>
        <v>14950.22450381168</v>
      </c>
      <c r="AG259" s="141">
        <f t="shared" si="128"/>
        <v>13630.010640039987</v>
      </c>
      <c r="AH259" s="140">
        <f t="shared" si="129"/>
        <v>15144.57742236123</v>
      </c>
      <c r="AI259" s="141">
        <f t="shared" si="130"/>
        <v>13902.610852840788</v>
      </c>
      <c r="AJ259" s="140">
        <f t="shared" si="131"/>
        <v>15447.468970808455</v>
      </c>
      <c r="AK259" s="141">
        <f t="shared" si="132"/>
        <v>14305.78656757317</v>
      </c>
      <c r="AL259" s="140">
        <f t="shared" si="133"/>
        <v>15895.4455709619</v>
      </c>
      <c r="AM259" s="141">
        <f t="shared" si="134"/>
        <v>15207.05112133028</v>
      </c>
      <c r="AN259" s="141">
        <f t="shared" si="135"/>
        <v>16896.8586419325</v>
      </c>
    </row>
    <row r="260" spans="1:40">
      <c r="A260" s="56">
        <v>340213</v>
      </c>
      <c r="B260" s="162">
        <v>34021309</v>
      </c>
      <c r="C260" s="86" t="s">
        <v>343</v>
      </c>
      <c r="D260" s="16">
        <v>8995.541517583868</v>
      </c>
      <c r="E260" s="17">
        <f t="shared" si="136"/>
        <v>9445.3185934630619</v>
      </c>
      <c r="F260" s="57">
        <f>E260*1.045</f>
        <v>9870.3579301688987</v>
      </c>
      <c r="G260" s="57">
        <f t="shared" si="137"/>
        <v>10213.846386138775</v>
      </c>
      <c r="H260" s="57">
        <f t="shared" si="138"/>
        <v>11348.808996566517</v>
      </c>
      <c r="I260" s="57">
        <f t="shared" si="139"/>
        <v>10489.620238564521</v>
      </c>
      <c r="J260" s="57">
        <f t="shared" si="139"/>
        <v>11655.226839473811</v>
      </c>
      <c r="K260" s="57">
        <f t="shared" si="140"/>
        <v>10741.37112429007</v>
      </c>
      <c r="L260" s="9">
        <f t="shared" si="140"/>
        <v>11934.952283621184</v>
      </c>
      <c r="M260" s="9">
        <f t="shared" si="141"/>
        <v>11031.388144645902</v>
      </c>
      <c r="N260" s="9">
        <f t="shared" si="141"/>
        <v>12257.195995278955</v>
      </c>
      <c r="O260" s="78">
        <f t="shared" si="142"/>
        <v>11274.078683828111</v>
      </c>
      <c r="P260" s="78">
        <f t="shared" si="142"/>
        <v>12526.854307175092</v>
      </c>
      <c r="Q260" s="1">
        <f t="shared" si="112"/>
        <v>11544.656572239986</v>
      </c>
      <c r="R260" s="78">
        <f t="shared" si="113"/>
        <v>12827.498810547295</v>
      </c>
      <c r="S260" s="1">
        <f t="shared" si="114"/>
        <v>11971.808865412864</v>
      </c>
      <c r="T260" s="78">
        <f t="shared" si="115"/>
        <v>13302.116266537543</v>
      </c>
      <c r="U260" s="1">
        <f t="shared" si="116"/>
        <v>12307.019513644425</v>
      </c>
      <c r="V260" s="99">
        <f t="shared" si="117"/>
        <v>13674.575522000594</v>
      </c>
      <c r="W260" s="78">
        <f t="shared" si="118"/>
        <v>12491.624806349091</v>
      </c>
      <c r="X260" s="78">
        <f t="shared" si="119"/>
        <v>13879.694154830602</v>
      </c>
      <c r="Y260" s="78">
        <f t="shared" si="120"/>
        <v>12691.490803250677</v>
      </c>
      <c r="Z260" s="78">
        <f t="shared" si="121"/>
        <v>14101.769261307893</v>
      </c>
      <c r="AA260" s="78">
        <f t="shared" si="122"/>
        <v>12932.629128512439</v>
      </c>
      <c r="AB260" s="78">
        <f t="shared" si="123"/>
        <v>14369.702877272741</v>
      </c>
      <c r="AC260" s="1">
        <f t="shared" si="124"/>
        <v>13178.349081954175</v>
      </c>
      <c r="AD260" s="78">
        <f t="shared" si="125"/>
        <v>14642.727231940922</v>
      </c>
      <c r="AE260" s="1">
        <f t="shared" si="126"/>
        <v>13455.094412675211</v>
      </c>
      <c r="AF260" s="78">
        <f t="shared" si="127"/>
        <v>14950.22450381168</v>
      </c>
      <c r="AG260" s="141">
        <f t="shared" si="128"/>
        <v>13630.010640039987</v>
      </c>
      <c r="AH260" s="140">
        <f t="shared" si="129"/>
        <v>15144.57742236123</v>
      </c>
      <c r="AI260" s="141">
        <f t="shared" si="130"/>
        <v>13902.610852840788</v>
      </c>
      <c r="AJ260" s="140">
        <f t="shared" si="131"/>
        <v>15447.468970808455</v>
      </c>
      <c r="AK260" s="141">
        <f t="shared" si="132"/>
        <v>14305.78656757317</v>
      </c>
      <c r="AL260" s="140">
        <f t="shared" si="133"/>
        <v>15895.4455709619</v>
      </c>
      <c r="AM260" s="141">
        <f t="shared" si="134"/>
        <v>15207.05112133028</v>
      </c>
      <c r="AN260" s="141">
        <f t="shared" si="135"/>
        <v>16896.8586419325</v>
      </c>
    </row>
    <row r="261" spans="1:40">
      <c r="A261" s="56">
        <v>340213</v>
      </c>
      <c r="B261" s="162">
        <v>34021310</v>
      </c>
      <c r="C261" s="86" t="s">
        <v>344</v>
      </c>
      <c r="D261" s="16">
        <v>8995.541517583868</v>
      </c>
      <c r="E261" s="17">
        <f t="shared" si="136"/>
        <v>9445.3185934630619</v>
      </c>
      <c r="F261" s="57">
        <f>E261*1.045</f>
        <v>9870.3579301688987</v>
      </c>
      <c r="G261" s="57">
        <f t="shared" si="137"/>
        <v>10213.846386138775</v>
      </c>
      <c r="H261" s="57">
        <f t="shared" si="138"/>
        <v>11348.808996566517</v>
      </c>
      <c r="I261" s="57">
        <f t="shared" si="139"/>
        <v>10489.620238564521</v>
      </c>
      <c r="J261" s="57">
        <f t="shared" si="139"/>
        <v>11655.226839473811</v>
      </c>
      <c r="K261" s="57">
        <f t="shared" si="140"/>
        <v>10741.37112429007</v>
      </c>
      <c r="L261" s="9">
        <f t="shared" si="140"/>
        <v>11934.952283621184</v>
      </c>
      <c r="M261" s="9">
        <f t="shared" si="141"/>
        <v>11031.388144645902</v>
      </c>
      <c r="N261" s="9">
        <f t="shared" si="141"/>
        <v>12257.195995278955</v>
      </c>
      <c r="O261" s="78">
        <f t="shared" si="142"/>
        <v>11274.078683828111</v>
      </c>
      <c r="P261" s="78">
        <f t="shared" si="142"/>
        <v>12526.854307175092</v>
      </c>
      <c r="Q261" s="1">
        <f t="shared" si="112"/>
        <v>11544.656572239986</v>
      </c>
      <c r="R261" s="78">
        <f t="shared" si="113"/>
        <v>12827.498810547295</v>
      </c>
      <c r="S261" s="1">
        <f t="shared" si="114"/>
        <v>11971.808865412864</v>
      </c>
      <c r="T261" s="78">
        <f t="shared" si="115"/>
        <v>13302.116266537543</v>
      </c>
      <c r="U261" s="1">
        <f t="shared" si="116"/>
        <v>12307.019513644425</v>
      </c>
      <c r="V261" s="99">
        <f t="shared" si="117"/>
        <v>13674.575522000594</v>
      </c>
      <c r="W261" s="78">
        <f t="shared" si="118"/>
        <v>12491.624806349091</v>
      </c>
      <c r="X261" s="78">
        <f t="shared" si="119"/>
        <v>13879.694154830602</v>
      </c>
      <c r="Y261" s="78">
        <f t="shared" si="120"/>
        <v>12691.490803250677</v>
      </c>
      <c r="Z261" s="78">
        <f t="shared" si="121"/>
        <v>14101.769261307893</v>
      </c>
      <c r="AA261" s="78">
        <f t="shared" si="122"/>
        <v>12932.629128512439</v>
      </c>
      <c r="AB261" s="78">
        <f t="shared" si="123"/>
        <v>14369.702877272741</v>
      </c>
      <c r="AC261" s="1">
        <f t="shared" si="124"/>
        <v>13178.349081954175</v>
      </c>
      <c r="AD261" s="78">
        <f t="shared" si="125"/>
        <v>14642.727231940922</v>
      </c>
      <c r="AE261" s="1">
        <f t="shared" si="126"/>
        <v>13455.094412675211</v>
      </c>
      <c r="AF261" s="78">
        <f t="shared" si="127"/>
        <v>14950.22450381168</v>
      </c>
      <c r="AG261" s="141">
        <f t="shared" si="128"/>
        <v>13630.010640039987</v>
      </c>
      <c r="AH261" s="140">
        <f t="shared" si="129"/>
        <v>15144.57742236123</v>
      </c>
      <c r="AI261" s="141">
        <f t="shared" si="130"/>
        <v>13902.610852840788</v>
      </c>
      <c r="AJ261" s="140">
        <f t="shared" si="131"/>
        <v>15447.468970808455</v>
      </c>
      <c r="AK261" s="141">
        <f t="shared" si="132"/>
        <v>14305.78656757317</v>
      </c>
      <c r="AL261" s="140">
        <f t="shared" si="133"/>
        <v>15895.4455709619</v>
      </c>
      <c r="AM261" s="141">
        <f t="shared" si="134"/>
        <v>15207.05112133028</v>
      </c>
      <c r="AN261" s="141">
        <f t="shared" si="135"/>
        <v>16896.8586419325</v>
      </c>
    </row>
    <row r="262" spans="1:40">
      <c r="A262" s="56">
        <v>340214</v>
      </c>
      <c r="B262" s="162">
        <v>34021400</v>
      </c>
      <c r="C262" s="86" t="s">
        <v>352</v>
      </c>
      <c r="D262" s="16">
        <v>11714.166111138235</v>
      </c>
      <c r="E262" s="17">
        <f t="shared" si="136"/>
        <v>12299.874416695147</v>
      </c>
      <c r="F262" s="57">
        <f>E262*1.045</f>
        <v>12853.368765446428</v>
      </c>
      <c r="G262" s="57">
        <f t="shared" si="137"/>
        <v>13300.665998483963</v>
      </c>
      <c r="H262" s="57">
        <f t="shared" si="138"/>
        <v>14778.636004235503</v>
      </c>
      <c r="I262" s="57">
        <f t="shared" si="139"/>
        <v>13659.783980443028</v>
      </c>
      <c r="J262" s="57">
        <f t="shared" si="139"/>
        <v>15177.65917634986</v>
      </c>
      <c r="K262" s="57">
        <f t="shared" si="140"/>
        <v>13987.61879597366</v>
      </c>
      <c r="L262" s="9">
        <f t="shared" si="140"/>
        <v>15541.922996582258</v>
      </c>
      <c r="M262" s="9">
        <f t="shared" si="141"/>
        <v>14365.284503464947</v>
      </c>
      <c r="N262" s="9">
        <f t="shared" si="141"/>
        <v>15961.554917489977</v>
      </c>
      <c r="O262" s="78">
        <f t="shared" si="142"/>
        <v>14681.320762541176</v>
      </c>
      <c r="P262" s="78">
        <f t="shared" si="142"/>
        <v>16312.709125674757</v>
      </c>
      <c r="Q262" s="1">
        <f t="shared" si="112"/>
        <v>15033.672460842165</v>
      </c>
      <c r="R262" s="78">
        <f t="shared" si="113"/>
        <v>16704.214144690952</v>
      </c>
      <c r="S262" s="1">
        <f t="shared" si="114"/>
        <v>15589.918341893324</v>
      </c>
      <c r="T262" s="78">
        <f t="shared" si="115"/>
        <v>17322.270068044516</v>
      </c>
      <c r="U262" s="1">
        <f t="shared" si="116"/>
        <v>16026.436055466338</v>
      </c>
      <c r="V262" s="99">
        <f t="shared" si="117"/>
        <v>17807.293629949763</v>
      </c>
      <c r="W262" s="78">
        <f t="shared" si="118"/>
        <v>16266.832596298331</v>
      </c>
      <c r="X262" s="78">
        <f t="shared" si="119"/>
        <v>18074.403034399009</v>
      </c>
      <c r="Y262" s="78">
        <f t="shared" si="120"/>
        <v>16527.101917839103</v>
      </c>
      <c r="Z262" s="78">
        <f t="shared" si="121"/>
        <v>18363.593482949393</v>
      </c>
      <c r="AA262" s="78">
        <f t="shared" si="122"/>
        <v>16841.116854278043</v>
      </c>
      <c r="AB262" s="78">
        <f t="shared" si="123"/>
        <v>18712.501759125429</v>
      </c>
      <c r="AC262" s="1">
        <f t="shared" si="124"/>
        <v>17161.098074509326</v>
      </c>
      <c r="AD262" s="78">
        <f t="shared" si="125"/>
        <v>19068.039292548812</v>
      </c>
      <c r="AE262" s="1">
        <f t="shared" si="126"/>
        <v>17521.48113407402</v>
      </c>
      <c r="AF262" s="78">
        <f t="shared" si="127"/>
        <v>19468.468117692337</v>
      </c>
      <c r="AG262" s="141">
        <f t="shared" si="128"/>
        <v>17749.26038881698</v>
      </c>
      <c r="AH262" s="140">
        <f t="shared" si="129"/>
        <v>19721.558203222336</v>
      </c>
      <c r="AI262" s="141">
        <f t="shared" si="130"/>
        <v>18104.245596593319</v>
      </c>
      <c r="AJ262" s="140">
        <f t="shared" si="131"/>
        <v>20115.989367286784</v>
      </c>
      <c r="AK262" s="141">
        <f t="shared" si="132"/>
        <v>18629.268718894524</v>
      </c>
      <c r="AL262" s="140">
        <f t="shared" si="133"/>
        <v>20699.353058938097</v>
      </c>
      <c r="AM262" s="141">
        <f t="shared" si="134"/>
        <v>19802.912648184876</v>
      </c>
      <c r="AN262" s="141">
        <f t="shared" si="135"/>
        <v>22003.412301651195</v>
      </c>
    </row>
    <row r="263" spans="1:40">
      <c r="A263" s="56">
        <v>340217</v>
      </c>
      <c r="B263" s="162">
        <v>34021700</v>
      </c>
      <c r="C263" s="86" t="s">
        <v>327</v>
      </c>
      <c r="D263" s="16">
        <v>5576.6696727647477</v>
      </c>
      <c r="E263" s="17">
        <f t="shared" si="136"/>
        <v>5855.503156402985</v>
      </c>
      <c r="F263" s="57">
        <f>E263*1.045</f>
        <v>6119.0007984411186</v>
      </c>
      <c r="G263" s="57">
        <f t="shared" si="137"/>
        <v>6331.9420262268695</v>
      </c>
      <c r="H263" s="57">
        <f t="shared" si="138"/>
        <v>7035.5474241811999</v>
      </c>
      <c r="I263" s="57">
        <f t="shared" si="139"/>
        <v>6502.9044609349949</v>
      </c>
      <c r="J263" s="57">
        <f t="shared" si="139"/>
        <v>7225.507204634092</v>
      </c>
      <c r="K263" s="57">
        <f t="shared" si="140"/>
        <v>6658.974167997435</v>
      </c>
      <c r="L263" s="9">
        <f t="shared" si="140"/>
        <v>7398.9193775453105</v>
      </c>
      <c r="M263" s="9">
        <f t="shared" si="141"/>
        <v>6838.7664705333655</v>
      </c>
      <c r="N263" s="9">
        <f t="shared" si="141"/>
        <v>7598.6902007390336</v>
      </c>
      <c r="O263" s="78">
        <f t="shared" si="142"/>
        <v>6989.2193328850999</v>
      </c>
      <c r="P263" s="78">
        <f t="shared" si="142"/>
        <v>7765.8613851552927</v>
      </c>
      <c r="Q263" s="1">
        <f t="shared" si="112"/>
        <v>7156.9605968743426</v>
      </c>
      <c r="R263" s="78">
        <f t="shared" si="113"/>
        <v>7952.2420583990197</v>
      </c>
      <c r="S263" s="1">
        <f t="shared" si="114"/>
        <v>7421.7681389586924</v>
      </c>
      <c r="T263" s="78">
        <f t="shared" si="115"/>
        <v>8246.4750145597827</v>
      </c>
      <c r="U263" s="1">
        <f t="shared" si="116"/>
        <v>7629.577646849536</v>
      </c>
      <c r="V263" s="99">
        <f t="shared" si="117"/>
        <v>8477.376314967456</v>
      </c>
      <c r="W263" s="78">
        <f t="shared" si="118"/>
        <v>7744.0213115522783</v>
      </c>
      <c r="X263" s="78">
        <f t="shared" si="119"/>
        <v>8604.5369596919663</v>
      </c>
      <c r="Y263" s="78">
        <f t="shared" si="120"/>
        <v>7867.9256525371147</v>
      </c>
      <c r="Z263" s="78">
        <f t="shared" si="121"/>
        <v>8742.2095510470372</v>
      </c>
      <c r="AA263" s="78">
        <f t="shared" si="122"/>
        <v>8017.416239935319</v>
      </c>
      <c r="AB263" s="78">
        <f t="shared" si="123"/>
        <v>8908.3115325169292</v>
      </c>
      <c r="AC263" s="1">
        <f t="shared" si="124"/>
        <v>8169.7471484940897</v>
      </c>
      <c r="AD263" s="78">
        <f t="shared" si="125"/>
        <v>9077.5694516347503</v>
      </c>
      <c r="AE263" s="1">
        <f t="shared" si="126"/>
        <v>8341.3118386124643</v>
      </c>
      <c r="AF263" s="78">
        <f t="shared" si="127"/>
        <v>9268.1984101190792</v>
      </c>
      <c r="AG263" s="141">
        <f t="shared" si="128"/>
        <v>8449.7488925144262</v>
      </c>
      <c r="AH263" s="140">
        <f t="shared" si="129"/>
        <v>9388.6849894506267</v>
      </c>
      <c r="AI263" s="141">
        <f t="shared" si="130"/>
        <v>8618.7438703647149</v>
      </c>
      <c r="AJ263" s="140">
        <f t="shared" si="131"/>
        <v>9576.4586892396401</v>
      </c>
      <c r="AK263" s="141">
        <f t="shared" si="132"/>
        <v>8868.6874426052909</v>
      </c>
      <c r="AL263" s="140">
        <f t="shared" si="133"/>
        <v>9854.1759912275884</v>
      </c>
      <c r="AM263" s="141">
        <f t="shared" si="134"/>
        <v>9427.414751489423</v>
      </c>
      <c r="AN263" s="141">
        <f t="shared" si="135"/>
        <v>10474.989078674926</v>
      </c>
    </row>
    <row r="264" spans="1:40">
      <c r="A264" s="56">
        <v>340301</v>
      </c>
      <c r="B264" s="162">
        <v>34030100</v>
      </c>
      <c r="C264" s="86" t="s">
        <v>353</v>
      </c>
      <c r="D264" s="16">
        <v>7665.7306554728775</v>
      </c>
      <c r="E264" s="17">
        <f t="shared" si="136"/>
        <v>8049.017188246522</v>
      </c>
      <c r="F264" s="57">
        <f>E264*1.045</f>
        <v>8411.2229617176145</v>
      </c>
      <c r="G264" s="57">
        <f t="shared" si="137"/>
        <v>8703.9335207853874</v>
      </c>
      <c r="H264" s="57">
        <f t="shared" si="138"/>
        <v>9671.1146136150601</v>
      </c>
      <c r="I264" s="57">
        <f t="shared" si="139"/>
        <v>8938.9397258465924</v>
      </c>
      <c r="J264" s="57">
        <f t="shared" si="139"/>
        <v>9932.2347081826665</v>
      </c>
      <c r="K264" s="57">
        <f t="shared" si="140"/>
        <v>9153.4742792669113</v>
      </c>
      <c r="L264" s="9">
        <f t="shared" si="140"/>
        <v>10170.608341179051</v>
      </c>
      <c r="M264" s="9">
        <f t="shared" si="141"/>
        <v>9400.6180848071162</v>
      </c>
      <c r="N264" s="9">
        <f t="shared" si="141"/>
        <v>10445.214766390885</v>
      </c>
      <c r="O264" s="78">
        <f t="shared" si="142"/>
        <v>9607.4316826728736</v>
      </c>
      <c r="P264" s="78">
        <f t="shared" si="142"/>
        <v>10675.009491251485</v>
      </c>
      <c r="Q264" s="1">
        <f t="shared" si="112"/>
        <v>9838.0100430570237</v>
      </c>
      <c r="R264" s="78">
        <f t="shared" si="113"/>
        <v>10931.209719041521</v>
      </c>
      <c r="S264" s="1">
        <f t="shared" si="114"/>
        <v>10202.016414650132</v>
      </c>
      <c r="T264" s="78">
        <f t="shared" si="115"/>
        <v>11335.664478646057</v>
      </c>
      <c r="U264" s="1">
        <f t="shared" si="116"/>
        <v>10487.672874260335</v>
      </c>
      <c r="V264" s="99">
        <f t="shared" si="117"/>
        <v>11653.063084048146</v>
      </c>
      <c r="W264" s="78">
        <f t="shared" si="118"/>
        <v>10644.98796737424</v>
      </c>
      <c r="X264" s="78">
        <f t="shared" si="119"/>
        <v>11827.859030308868</v>
      </c>
      <c r="Y264" s="78">
        <f t="shared" si="120"/>
        <v>10815.307774852228</v>
      </c>
      <c r="Z264" s="78">
        <f t="shared" si="121"/>
        <v>12017.10477479381</v>
      </c>
      <c r="AA264" s="78">
        <f t="shared" si="122"/>
        <v>11020.798622574419</v>
      </c>
      <c r="AB264" s="78">
        <f t="shared" si="123"/>
        <v>12245.429765514891</v>
      </c>
      <c r="AC264" s="1">
        <f t="shared" si="124"/>
        <v>11230.193796403331</v>
      </c>
      <c r="AD264" s="78">
        <f t="shared" si="125"/>
        <v>12478.092931059673</v>
      </c>
      <c r="AE264" s="1">
        <f t="shared" si="126"/>
        <v>11466.027866127801</v>
      </c>
      <c r="AF264" s="78">
        <f t="shared" si="127"/>
        <v>12740.132882611924</v>
      </c>
      <c r="AG264" s="141">
        <f t="shared" si="128"/>
        <v>11615.086228387461</v>
      </c>
      <c r="AH264" s="140">
        <f t="shared" si="129"/>
        <v>12905.754610085878</v>
      </c>
      <c r="AI264" s="141">
        <f t="shared" si="130"/>
        <v>11847.38795295521</v>
      </c>
      <c r="AJ264" s="140">
        <f t="shared" si="131"/>
        <v>13163.869702287597</v>
      </c>
      <c r="AK264" s="141">
        <f t="shared" si="132"/>
        <v>12190.962203590911</v>
      </c>
      <c r="AL264" s="140">
        <f t="shared" si="133"/>
        <v>13545.621923653936</v>
      </c>
      <c r="AM264" s="141">
        <f t="shared" si="134"/>
        <v>12958.992822417138</v>
      </c>
      <c r="AN264" s="141">
        <f t="shared" si="135"/>
        <v>14398.996104844133</v>
      </c>
    </row>
    <row r="265" spans="1:40">
      <c r="A265" s="56">
        <v>340301</v>
      </c>
      <c r="B265" s="162">
        <v>34030150</v>
      </c>
      <c r="C265" s="86" t="s">
        <v>354</v>
      </c>
      <c r="D265" s="16">
        <v>7665.7306554728775</v>
      </c>
      <c r="E265" s="17">
        <f t="shared" si="136"/>
        <v>8049.017188246522</v>
      </c>
      <c r="F265" s="57">
        <f>E265*1.045</f>
        <v>8411.2229617176145</v>
      </c>
      <c r="G265" s="57">
        <f t="shared" si="137"/>
        <v>8703.9335207853874</v>
      </c>
      <c r="H265" s="57">
        <f t="shared" si="138"/>
        <v>9671.1146136150601</v>
      </c>
      <c r="I265" s="57">
        <f t="shared" si="139"/>
        <v>8938.9397258465924</v>
      </c>
      <c r="J265" s="57">
        <f t="shared" si="139"/>
        <v>9932.2347081826665</v>
      </c>
      <c r="K265" s="57">
        <f t="shared" si="140"/>
        <v>9153.4742792669113</v>
      </c>
      <c r="L265" s="9">
        <f t="shared" si="140"/>
        <v>10170.608341179051</v>
      </c>
      <c r="M265" s="9">
        <f t="shared" si="141"/>
        <v>9400.6180848071162</v>
      </c>
      <c r="N265" s="9">
        <f t="shared" si="141"/>
        <v>10445.214766390885</v>
      </c>
      <c r="O265" s="78">
        <f t="shared" si="142"/>
        <v>9607.4316826728736</v>
      </c>
      <c r="P265" s="78">
        <f t="shared" si="142"/>
        <v>10675.009491251485</v>
      </c>
      <c r="Q265" s="1">
        <f t="shared" ref="Q265:Q332" si="143">O265*1.024</f>
        <v>9838.0100430570237</v>
      </c>
      <c r="R265" s="78">
        <f t="shared" ref="R265:R332" si="144">P265*1.024</f>
        <v>10931.209719041521</v>
      </c>
      <c r="S265" s="1">
        <f t="shared" ref="S265:S332" si="145">Q265*1.037</f>
        <v>10202.016414650132</v>
      </c>
      <c r="T265" s="78">
        <f t="shared" ref="T265:T332" si="146">R265*1.037</f>
        <v>11335.664478646057</v>
      </c>
      <c r="U265" s="1">
        <f t="shared" ref="U265:U332" si="147">S265*1.028</f>
        <v>10487.672874260335</v>
      </c>
      <c r="V265" s="99">
        <f t="shared" ref="V265:V332" si="148">T265*1.028</f>
        <v>11653.063084048146</v>
      </c>
      <c r="W265" s="78">
        <f t="shared" ref="W265:X332" si="149">U265*1.015</f>
        <v>10644.98796737424</v>
      </c>
      <c r="X265" s="78">
        <f t="shared" ref="X265:X332" si="150">V265*1.015</f>
        <v>11827.859030308868</v>
      </c>
      <c r="Y265" s="78">
        <f t="shared" ref="Y265:Z332" si="151">W265*1.016</f>
        <v>10815.307774852228</v>
      </c>
      <c r="Z265" s="78">
        <f t="shared" ref="Z265:Z332" si="152">X265*1.016</f>
        <v>12017.10477479381</v>
      </c>
      <c r="AA265" s="78">
        <f t="shared" ref="AA265:AD332" si="153">Y265*1.019</f>
        <v>11020.798622574419</v>
      </c>
      <c r="AB265" s="78">
        <f t="shared" ref="AB265:AB332" si="154">Z265*1.019</f>
        <v>12245.429765514891</v>
      </c>
      <c r="AC265" s="1">
        <f t="shared" ref="AC265:AC332" si="155">AA265*1.019</f>
        <v>11230.193796403331</v>
      </c>
      <c r="AD265" s="78">
        <f t="shared" ref="AD265:AD332" si="156">AB265*1.019</f>
        <v>12478.092931059673</v>
      </c>
      <c r="AE265" s="1">
        <f t="shared" ref="AE265:AF332" si="157">AC265*1.021</f>
        <v>11466.027866127801</v>
      </c>
      <c r="AF265" s="78">
        <f t="shared" ref="AF265:AF332" si="158">AD265*1.021</f>
        <v>12740.132882611924</v>
      </c>
      <c r="AG265" s="141">
        <f t="shared" ref="AG265:AG328" si="159">AE265*1.013</f>
        <v>11615.086228387461</v>
      </c>
      <c r="AH265" s="140">
        <f t="shared" ref="AH265:AH328" si="160">AF265*1.013</f>
        <v>12905.754610085878</v>
      </c>
      <c r="AI265" s="141">
        <f t="shared" ref="AI265:AI328" si="161">AG265*1.02</f>
        <v>11847.38795295521</v>
      </c>
      <c r="AJ265" s="140">
        <f t="shared" ref="AJ265:AJ328" si="162">AH265*1.02</f>
        <v>13163.869702287597</v>
      </c>
      <c r="AK265" s="141">
        <f t="shared" ref="AK265:AK328" si="163">AI265*1.029</f>
        <v>12190.962203590911</v>
      </c>
      <c r="AL265" s="140">
        <f t="shared" ref="AL265:AL328" si="164">AJ265*1.029</f>
        <v>13545.621923653936</v>
      </c>
      <c r="AM265" s="141">
        <f t="shared" ref="AM265:AM328" si="165">AK265*1.063</f>
        <v>12958.992822417138</v>
      </c>
      <c r="AN265" s="141">
        <f t="shared" ref="AN265:AN328" si="166">AL265*1.063</f>
        <v>14398.996104844133</v>
      </c>
    </row>
    <row r="266" spans="1:40">
      <c r="A266" s="56">
        <v>340302</v>
      </c>
      <c r="B266" s="162">
        <v>34030200</v>
      </c>
      <c r="C266" s="86" t="s">
        <v>327</v>
      </c>
      <c r="D266" s="16">
        <v>5838.4387478739782</v>
      </c>
      <c r="E266" s="17">
        <f t="shared" si="136"/>
        <v>6130.3606852676776</v>
      </c>
      <c r="F266" s="57">
        <f>E266*1.045</f>
        <v>6406.2269161047225</v>
      </c>
      <c r="G266" s="57">
        <f t="shared" si="137"/>
        <v>6629.1636127851662</v>
      </c>
      <c r="H266" s="57">
        <f t="shared" si="138"/>
        <v>7365.7962734378543</v>
      </c>
      <c r="I266" s="57">
        <f t="shared" si="139"/>
        <v>6808.1510303303648</v>
      </c>
      <c r="J266" s="57">
        <f t="shared" si="139"/>
        <v>7564.6727728206761</v>
      </c>
      <c r="K266" s="57">
        <f t="shared" si="140"/>
        <v>6971.5466550582942</v>
      </c>
      <c r="L266" s="9">
        <f t="shared" si="140"/>
        <v>7746.2249193683729</v>
      </c>
      <c r="M266" s="9">
        <f t="shared" si="141"/>
        <v>7159.7784147448674</v>
      </c>
      <c r="N266" s="9">
        <f t="shared" si="141"/>
        <v>7955.3729921913182</v>
      </c>
      <c r="O266" s="78">
        <f t="shared" si="142"/>
        <v>7317.2935398692543</v>
      </c>
      <c r="P266" s="78">
        <f t="shared" si="142"/>
        <v>8130.3911980195271</v>
      </c>
      <c r="Q266" s="1">
        <f t="shared" si="143"/>
        <v>7492.9085848261166</v>
      </c>
      <c r="R266" s="78">
        <f t="shared" si="144"/>
        <v>8325.520586771996</v>
      </c>
      <c r="S266" s="1">
        <f t="shared" si="145"/>
        <v>7770.1462024646826</v>
      </c>
      <c r="T266" s="78">
        <f t="shared" si="146"/>
        <v>8633.5648484825597</v>
      </c>
      <c r="U266" s="1">
        <f t="shared" si="147"/>
        <v>7987.7102961336941</v>
      </c>
      <c r="V266" s="99">
        <f t="shared" si="148"/>
        <v>8875.3046642400714</v>
      </c>
      <c r="W266" s="78">
        <f t="shared" si="149"/>
        <v>8107.5259505756985</v>
      </c>
      <c r="X266" s="78">
        <f t="shared" si="150"/>
        <v>9008.4342342036707</v>
      </c>
      <c r="Y266" s="78">
        <f t="shared" si="151"/>
        <v>8237.2463657849094</v>
      </c>
      <c r="Z266" s="78">
        <f t="shared" si="152"/>
        <v>9152.5691819509302</v>
      </c>
      <c r="AA266" s="78">
        <f t="shared" si="153"/>
        <v>8393.7540467348226</v>
      </c>
      <c r="AB266" s="78">
        <f t="shared" si="154"/>
        <v>9326.4679964079969</v>
      </c>
      <c r="AC266" s="1">
        <f t="shared" si="155"/>
        <v>8553.2353736227833</v>
      </c>
      <c r="AD266" s="78">
        <f t="shared" si="156"/>
        <v>9503.6708883397478</v>
      </c>
      <c r="AE266" s="1">
        <f t="shared" si="157"/>
        <v>8732.8533164688615</v>
      </c>
      <c r="AF266" s="78">
        <f t="shared" si="158"/>
        <v>9703.2479769948823</v>
      </c>
      <c r="AG266" s="141">
        <f t="shared" si="159"/>
        <v>8846.3804095829564</v>
      </c>
      <c r="AH266" s="140">
        <f t="shared" si="160"/>
        <v>9829.3902006958142</v>
      </c>
      <c r="AI266" s="141">
        <f t="shared" si="161"/>
        <v>9023.308017774616</v>
      </c>
      <c r="AJ266" s="140">
        <f t="shared" si="162"/>
        <v>10025.97800470973</v>
      </c>
      <c r="AK266" s="141">
        <f t="shared" si="163"/>
        <v>9284.9839502900795</v>
      </c>
      <c r="AL266" s="140">
        <f t="shared" si="164"/>
        <v>10316.731366846312</v>
      </c>
      <c r="AM266" s="141">
        <f t="shared" si="165"/>
        <v>9869.9379391583534</v>
      </c>
      <c r="AN266" s="141">
        <f t="shared" si="166"/>
        <v>10966.685442957629</v>
      </c>
    </row>
    <row r="267" spans="1:40">
      <c r="B267" s="162">
        <v>34040505</v>
      </c>
      <c r="C267" s="86" t="s">
        <v>355</v>
      </c>
      <c r="D267" s="16">
        <v>38139.814144805619</v>
      </c>
      <c r="E267" s="17">
        <f t="shared" si="136"/>
        <v>40046.804852045905</v>
      </c>
      <c r="F267" s="57">
        <f>E267*1.045</f>
        <v>41848.911070387971</v>
      </c>
      <c r="G267" s="57">
        <f t="shared" si="137"/>
        <v>43305.253175637466</v>
      </c>
      <c r="H267" s="57">
        <f t="shared" si="138"/>
        <v>48117.332908514305</v>
      </c>
      <c r="I267" s="57">
        <f t="shared" si="139"/>
        <v>44474.495011379673</v>
      </c>
      <c r="J267" s="57">
        <f t="shared" si="139"/>
        <v>49416.500897044185</v>
      </c>
      <c r="K267" s="57">
        <f t="shared" si="140"/>
        <v>45541.882891652785</v>
      </c>
      <c r="L267" s="9">
        <f t="shared" si="140"/>
        <v>50602.496918573248</v>
      </c>
      <c r="M267" s="9">
        <f t="shared" si="141"/>
        <v>46771.513729727405</v>
      </c>
      <c r="N267" s="9">
        <f t="shared" si="141"/>
        <v>51968.764335374719</v>
      </c>
      <c r="O267" s="78">
        <f t="shared" si="142"/>
        <v>47800.487031781406</v>
      </c>
      <c r="P267" s="78">
        <f t="shared" si="142"/>
        <v>53112.077150752964</v>
      </c>
      <c r="Q267" s="1">
        <f t="shared" si="143"/>
        <v>48947.698720544162</v>
      </c>
      <c r="R267" s="78">
        <f t="shared" si="144"/>
        <v>54386.767002371038</v>
      </c>
      <c r="S267" s="1">
        <f t="shared" si="145"/>
        <v>50758.763573204291</v>
      </c>
      <c r="T267" s="78">
        <f t="shared" si="146"/>
        <v>56399.077381458759</v>
      </c>
      <c r="U267" s="1">
        <f t="shared" si="147"/>
        <v>52180.008953254015</v>
      </c>
      <c r="V267" s="99">
        <f t="shared" si="148"/>
        <v>57978.251548139604</v>
      </c>
      <c r="W267" s="78">
        <f t="shared" si="149"/>
        <v>52962.709087552823</v>
      </c>
      <c r="X267" s="78">
        <f t="shared" si="150"/>
        <v>58847.92532136169</v>
      </c>
      <c r="Y267" s="78">
        <f t="shared" si="151"/>
        <v>53810.112432953669</v>
      </c>
      <c r="Z267" s="78">
        <f t="shared" si="152"/>
        <v>59789.492126503479</v>
      </c>
      <c r="AA267" s="78">
        <f t="shared" si="153"/>
        <v>54832.504569179786</v>
      </c>
      <c r="AB267" s="78">
        <f t="shared" si="154"/>
        <v>60925.492476907042</v>
      </c>
      <c r="AC267" s="1">
        <f t="shared" si="155"/>
        <v>55874.322155994196</v>
      </c>
      <c r="AD267" s="78">
        <f t="shared" si="156"/>
        <v>62083.076833968269</v>
      </c>
      <c r="AE267" s="1">
        <f t="shared" si="157"/>
        <v>57047.682921270069</v>
      </c>
      <c r="AF267" s="78">
        <f t="shared" si="158"/>
        <v>63386.821447481598</v>
      </c>
      <c r="AG267" s="141">
        <f t="shared" si="159"/>
        <v>57789.302799246572</v>
      </c>
      <c r="AH267" s="140">
        <f t="shared" si="160"/>
        <v>64210.85012629885</v>
      </c>
      <c r="AI267" s="141">
        <f t="shared" si="161"/>
        <v>58945.088855231508</v>
      </c>
      <c r="AJ267" s="140">
        <f t="shared" si="162"/>
        <v>65495.067128824827</v>
      </c>
      <c r="AK267" s="141">
        <f t="shared" si="163"/>
        <v>60654.496432033215</v>
      </c>
      <c r="AL267" s="140">
        <f t="shared" si="164"/>
        <v>67394.424075560746</v>
      </c>
      <c r="AM267" s="141">
        <f t="shared" si="165"/>
        <v>64475.729707251303</v>
      </c>
      <c r="AN267" s="141">
        <f t="shared" si="166"/>
        <v>71640.272792321062</v>
      </c>
    </row>
    <row r="268" spans="1:40">
      <c r="B268" s="162">
        <v>34041203</v>
      </c>
      <c r="C268" s="86" t="s">
        <v>356</v>
      </c>
      <c r="D268" s="16">
        <v>38187.136243051915</v>
      </c>
      <c r="E268" s="17">
        <f t="shared" si="136"/>
        <v>40096.493055204512</v>
      </c>
      <c r="F268" s="57">
        <f>E268*1.045</f>
        <v>41900.835242688714</v>
      </c>
      <c r="G268" s="57">
        <f t="shared" si="137"/>
        <v>43358.984309134277</v>
      </c>
      <c r="H268" s="57">
        <f t="shared" si="138"/>
        <v>48177.034645565283</v>
      </c>
      <c r="I268" s="57">
        <f t="shared" si="139"/>
        <v>44529.676885480898</v>
      </c>
      <c r="J268" s="57">
        <f t="shared" si="139"/>
        <v>49477.814580995539</v>
      </c>
      <c r="K268" s="57">
        <f t="shared" si="140"/>
        <v>45598.389130732437</v>
      </c>
      <c r="L268" s="9">
        <f t="shared" si="140"/>
        <v>50665.282130939435</v>
      </c>
      <c r="M268" s="9">
        <f t="shared" si="141"/>
        <v>46829.545637262207</v>
      </c>
      <c r="N268" s="9">
        <f t="shared" si="141"/>
        <v>52033.244748474797</v>
      </c>
      <c r="O268" s="78">
        <f t="shared" si="142"/>
        <v>47859.795641281977</v>
      </c>
      <c r="P268" s="78">
        <f t="shared" si="142"/>
        <v>53177.976132941243</v>
      </c>
      <c r="Q268" s="1">
        <f t="shared" si="143"/>
        <v>49008.430736672744</v>
      </c>
      <c r="R268" s="78">
        <f t="shared" si="144"/>
        <v>54454.247560131837</v>
      </c>
      <c r="S268" s="1">
        <f t="shared" si="145"/>
        <v>50821.742673929635</v>
      </c>
      <c r="T268" s="78">
        <f t="shared" si="146"/>
        <v>56469.054719856707</v>
      </c>
      <c r="U268" s="1">
        <f t="shared" si="147"/>
        <v>52244.751468799666</v>
      </c>
      <c r="V268" s="99">
        <f t="shared" si="148"/>
        <v>58050.188252012696</v>
      </c>
      <c r="W268" s="78">
        <f t="shared" si="149"/>
        <v>53028.422740831658</v>
      </c>
      <c r="X268" s="78">
        <f t="shared" si="150"/>
        <v>58920.941075792878</v>
      </c>
      <c r="Y268" s="78">
        <f t="shared" si="151"/>
        <v>53876.877504684962</v>
      </c>
      <c r="Z268" s="78">
        <f t="shared" si="152"/>
        <v>59863.676133005567</v>
      </c>
      <c r="AA268" s="78">
        <f t="shared" si="153"/>
        <v>54900.538177273971</v>
      </c>
      <c r="AB268" s="78">
        <f t="shared" si="154"/>
        <v>61001.085979532669</v>
      </c>
      <c r="AC268" s="1">
        <f t="shared" si="155"/>
        <v>55943.648402642175</v>
      </c>
      <c r="AD268" s="78">
        <f t="shared" si="156"/>
        <v>62160.106613143784</v>
      </c>
      <c r="AE268" s="1">
        <f t="shared" si="157"/>
        <v>57118.465019097654</v>
      </c>
      <c r="AF268" s="78">
        <f t="shared" si="158"/>
        <v>63465.468852019796</v>
      </c>
      <c r="AG268" s="141">
        <f t="shared" si="159"/>
        <v>57861.005064345918</v>
      </c>
      <c r="AH268" s="140">
        <f t="shared" si="160"/>
        <v>64290.519947096051</v>
      </c>
      <c r="AI268" s="141">
        <f t="shared" si="161"/>
        <v>59018.225165632837</v>
      </c>
      <c r="AJ268" s="140">
        <f t="shared" si="162"/>
        <v>65576.330346037968</v>
      </c>
      <c r="AK268" s="141">
        <f t="shared" si="163"/>
        <v>60729.753695436186</v>
      </c>
      <c r="AL268" s="140">
        <f t="shared" si="164"/>
        <v>67478.043926073064</v>
      </c>
      <c r="AM268" s="141">
        <f t="shared" si="165"/>
        <v>64555.728178248661</v>
      </c>
      <c r="AN268" s="141">
        <f t="shared" si="166"/>
        <v>71729.160693415659</v>
      </c>
    </row>
    <row r="269" spans="1:40">
      <c r="A269" s="56">
        <v>340416</v>
      </c>
      <c r="B269" s="162">
        <v>34041600</v>
      </c>
      <c r="C269" s="86" t="s">
        <v>357</v>
      </c>
      <c r="D269" s="16">
        <v>40476.267868978561</v>
      </c>
      <c r="E269" s="17">
        <f t="shared" si="136"/>
        <v>42500.081262427491</v>
      </c>
      <c r="F269" s="57">
        <f>E269*1.045</f>
        <v>44412.584919236724</v>
      </c>
      <c r="G269" s="57">
        <f t="shared" si="137"/>
        <v>45958.142874426158</v>
      </c>
      <c r="H269" s="57">
        <f t="shared" si="138"/>
        <v>51065.011710632396</v>
      </c>
      <c r="I269" s="57">
        <f t="shared" si="139"/>
        <v>47199.012732035662</v>
      </c>
      <c r="J269" s="57">
        <f t="shared" si="139"/>
        <v>52443.767026819463</v>
      </c>
      <c r="K269" s="57">
        <f t="shared" si="140"/>
        <v>48331.789037604518</v>
      </c>
      <c r="L269" s="9">
        <f t="shared" si="140"/>
        <v>53702.417435463132</v>
      </c>
      <c r="M269" s="9">
        <f t="shared" si="141"/>
        <v>49636.747341619834</v>
      </c>
      <c r="N269" s="9">
        <f t="shared" si="141"/>
        <v>55152.382706220633</v>
      </c>
      <c r="O269" s="78">
        <f t="shared" si="142"/>
        <v>50728.755783135472</v>
      </c>
      <c r="P269" s="78">
        <f t="shared" si="142"/>
        <v>56365.735125757485</v>
      </c>
      <c r="Q269" s="1">
        <f t="shared" si="143"/>
        <v>51946.245921930727</v>
      </c>
      <c r="R269" s="78">
        <f t="shared" si="144"/>
        <v>57718.512768775669</v>
      </c>
      <c r="S269" s="1">
        <f t="shared" si="145"/>
        <v>53868.257021042162</v>
      </c>
      <c r="T269" s="78">
        <f t="shared" si="146"/>
        <v>59854.097741220365</v>
      </c>
      <c r="U269" s="1">
        <f t="shared" si="147"/>
        <v>55376.568217631342</v>
      </c>
      <c r="V269" s="99">
        <f t="shared" si="148"/>
        <v>61530.012477974538</v>
      </c>
      <c r="W269" s="78">
        <f t="shared" si="149"/>
        <v>56207.216740895805</v>
      </c>
      <c r="X269" s="78">
        <f t="shared" si="150"/>
        <v>62452.96266514415</v>
      </c>
      <c r="Y269" s="78">
        <f t="shared" si="151"/>
        <v>57106.532208750141</v>
      </c>
      <c r="Z269" s="78">
        <f t="shared" si="152"/>
        <v>63452.210067786458</v>
      </c>
      <c r="AA269" s="78">
        <f t="shared" si="153"/>
        <v>58191.556320716387</v>
      </c>
      <c r="AB269" s="78">
        <f t="shared" si="154"/>
        <v>64657.802059074398</v>
      </c>
      <c r="AC269" s="1">
        <f t="shared" si="155"/>
        <v>59297.195890809991</v>
      </c>
      <c r="AD269" s="78">
        <f t="shared" si="156"/>
        <v>65886.300298196802</v>
      </c>
      <c r="AE269" s="1">
        <f t="shared" si="157"/>
        <v>60542.437004516993</v>
      </c>
      <c r="AF269" s="78">
        <f t="shared" si="158"/>
        <v>67269.912604458936</v>
      </c>
      <c r="AG269" s="141">
        <f t="shared" si="159"/>
        <v>61329.488685575707</v>
      </c>
      <c r="AH269" s="140">
        <f t="shared" si="160"/>
        <v>68144.421468316898</v>
      </c>
      <c r="AI269" s="141">
        <f t="shared" si="161"/>
        <v>62556.078459287222</v>
      </c>
      <c r="AJ269" s="140">
        <f t="shared" si="162"/>
        <v>69507.309897683241</v>
      </c>
      <c r="AK269" s="141">
        <f t="shared" si="163"/>
        <v>64370.204734606545</v>
      </c>
      <c r="AL269" s="140">
        <f t="shared" si="164"/>
        <v>71523.021884716043</v>
      </c>
      <c r="AM269" s="141">
        <f t="shared" si="165"/>
        <v>68425.527632886748</v>
      </c>
      <c r="AN269" s="141">
        <f t="shared" si="166"/>
        <v>76028.97226345315</v>
      </c>
    </row>
    <row r="270" spans="1:40">
      <c r="A270" s="56">
        <v>340417</v>
      </c>
      <c r="B270" s="162">
        <v>34041700</v>
      </c>
      <c r="C270" s="86" t="s">
        <v>327</v>
      </c>
      <c r="D270" s="16">
        <v>5576.6696727647477</v>
      </c>
      <c r="E270" s="17">
        <f t="shared" si="136"/>
        <v>5855.503156402985</v>
      </c>
      <c r="F270" s="57">
        <f>E270*1.045</f>
        <v>6119.0007984411186</v>
      </c>
      <c r="G270" s="57">
        <f t="shared" si="137"/>
        <v>6331.9420262268695</v>
      </c>
      <c r="H270" s="57">
        <f t="shared" si="138"/>
        <v>7035.5474241811999</v>
      </c>
      <c r="I270" s="57">
        <f t="shared" si="139"/>
        <v>6502.9044609349949</v>
      </c>
      <c r="J270" s="57">
        <f t="shared" si="139"/>
        <v>7225.507204634092</v>
      </c>
      <c r="K270" s="57">
        <f t="shared" si="140"/>
        <v>6658.974167997435</v>
      </c>
      <c r="L270" s="9">
        <f t="shared" si="140"/>
        <v>7398.9193775453105</v>
      </c>
      <c r="M270" s="9">
        <f t="shared" si="141"/>
        <v>6838.7664705333655</v>
      </c>
      <c r="N270" s="9">
        <f t="shared" si="141"/>
        <v>7598.6902007390336</v>
      </c>
      <c r="O270" s="78">
        <f t="shared" si="142"/>
        <v>6989.2193328850999</v>
      </c>
      <c r="P270" s="78">
        <f t="shared" si="142"/>
        <v>7765.8613851552927</v>
      </c>
      <c r="Q270" s="1">
        <f t="shared" si="143"/>
        <v>7156.9605968743426</v>
      </c>
      <c r="R270" s="78">
        <f t="shared" si="144"/>
        <v>7952.2420583990197</v>
      </c>
      <c r="S270" s="1">
        <f t="shared" si="145"/>
        <v>7421.7681389586924</v>
      </c>
      <c r="T270" s="78">
        <f t="shared" si="146"/>
        <v>8246.4750145597827</v>
      </c>
      <c r="U270" s="1">
        <f t="shared" si="147"/>
        <v>7629.577646849536</v>
      </c>
      <c r="V270" s="99">
        <f t="shared" si="148"/>
        <v>8477.376314967456</v>
      </c>
      <c r="W270" s="78">
        <f t="shared" si="149"/>
        <v>7744.0213115522783</v>
      </c>
      <c r="X270" s="78">
        <f t="shared" si="150"/>
        <v>8604.5369596919663</v>
      </c>
      <c r="Y270" s="78">
        <f t="shared" si="151"/>
        <v>7867.9256525371147</v>
      </c>
      <c r="Z270" s="78">
        <f t="shared" si="152"/>
        <v>8742.2095510470372</v>
      </c>
      <c r="AA270" s="78">
        <f t="shared" si="153"/>
        <v>8017.416239935319</v>
      </c>
      <c r="AB270" s="78">
        <f t="shared" si="154"/>
        <v>8908.3115325169292</v>
      </c>
      <c r="AC270" s="1">
        <f t="shared" si="155"/>
        <v>8169.7471484940897</v>
      </c>
      <c r="AD270" s="78">
        <f t="shared" si="156"/>
        <v>9077.5694516347503</v>
      </c>
      <c r="AE270" s="1">
        <f t="shared" si="157"/>
        <v>8341.3118386124643</v>
      </c>
      <c r="AF270" s="78">
        <f t="shared" si="158"/>
        <v>9268.1984101190792</v>
      </c>
      <c r="AG270" s="141">
        <f t="shared" si="159"/>
        <v>8449.7488925144262</v>
      </c>
      <c r="AH270" s="140">
        <f t="shared" si="160"/>
        <v>9388.6849894506267</v>
      </c>
      <c r="AI270" s="141">
        <f t="shared" si="161"/>
        <v>8618.7438703647149</v>
      </c>
      <c r="AJ270" s="140">
        <f t="shared" si="162"/>
        <v>9576.4586892396401</v>
      </c>
      <c r="AK270" s="141">
        <f t="shared" si="163"/>
        <v>8868.6874426052909</v>
      </c>
      <c r="AL270" s="140">
        <f t="shared" si="164"/>
        <v>9854.1759912275884</v>
      </c>
      <c r="AM270" s="141">
        <f t="shared" si="165"/>
        <v>9427.414751489423</v>
      </c>
      <c r="AN270" s="141">
        <f t="shared" si="166"/>
        <v>10474.989078674926</v>
      </c>
    </row>
    <row r="271" spans="1:40">
      <c r="A271" s="56">
        <v>340419</v>
      </c>
      <c r="B271" s="162">
        <v>34041900</v>
      </c>
      <c r="C271" s="86" t="s">
        <v>358</v>
      </c>
      <c r="D271" s="16">
        <v>17608.762412310825</v>
      </c>
      <c r="E271" s="17">
        <f t="shared" si="136"/>
        <v>18489.200532926367</v>
      </c>
      <c r="F271" s="57">
        <f>E271*1.045</f>
        <v>19321.214556908053</v>
      </c>
      <c r="G271" s="57">
        <f t="shared" si="137"/>
        <v>19993.592823488452</v>
      </c>
      <c r="H271" s="57">
        <f t="shared" si="138"/>
        <v>22215.28085803449</v>
      </c>
      <c r="I271" s="57">
        <f t="shared" si="139"/>
        <v>20533.419829722639</v>
      </c>
      <c r="J271" s="57">
        <f t="shared" si="139"/>
        <v>22815.093441201418</v>
      </c>
      <c r="K271" s="57">
        <f t="shared" si="140"/>
        <v>21026.221905635983</v>
      </c>
      <c r="L271" s="9">
        <f t="shared" si="140"/>
        <v>23362.655683790254</v>
      </c>
      <c r="M271" s="9">
        <f t="shared" si="141"/>
        <v>21593.929897088154</v>
      </c>
      <c r="N271" s="9">
        <f t="shared" si="141"/>
        <v>23993.447387252589</v>
      </c>
      <c r="O271" s="78">
        <f t="shared" si="142"/>
        <v>22068.996354824092</v>
      </c>
      <c r="P271" s="78">
        <f t="shared" si="142"/>
        <v>24521.303229772147</v>
      </c>
      <c r="Q271" s="1">
        <f t="shared" si="143"/>
        <v>22598.652267339872</v>
      </c>
      <c r="R271" s="78">
        <f t="shared" si="144"/>
        <v>25109.814507286679</v>
      </c>
      <c r="S271" s="1">
        <f t="shared" si="145"/>
        <v>23434.802401231445</v>
      </c>
      <c r="T271" s="78">
        <f t="shared" si="146"/>
        <v>26038.877644056283</v>
      </c>
      <c r="U271" s="1">
        <f t="shared" si="147"/>
        <v>24090.976868465925</v>
      </c>
      <c r="V271" s="99">
        <f t="shared" si="148"/>
        <v>26767.966218089859</v>
      </c>
      <c r="W271" s="78">
        <f t="shared" si="149"/>
        <v>24452.341521492912</v>
      </c>
      <c r="X271" s="78">
        <f t="shared" si="150"/>
        <v>27169.485711361205</v>
      </c>
      <c r="Y271" s="78">
        <f t="shared" si="151"/>
        <v>24843.578985836797</v>
      </c>
      <c r="Z271" s="78">
        <f t="shared" si="152"/>
        <v>27604.197482742984</v>
      </c>
      <c r="AA271" s="78">
        <f t="shared" si="153"/>
        <v>25315.606986567695</v>
      </c>
      <c r="AB271" s="78">
        <f t="shared" si="154"/>
        <v>28128.6772349151</v>
      </c>
      <c r="AC271" s="1">
        <f t="shared" si="155"/>
        <v>25796.603519312477</v>
      </c>
      <c r="AD271" s="78">
        <f t="shared" si="156"/>
        <v>28663.122102378486</v>
      </c>
      <c r="AE271" s="1">
        <f t="shared" si="157"/>
        <v>26338.332193218037</v>
      </c>
      <c r="AF271" s="78">
        <f t="shared" si="158"/>
        <v>29265.04766652843</v>
      </c>
      <c r="AG271" s="141">
        <f t="shared" si="159"/>
        <v>26680.730511729867</v>
      </c>
      <c r="AH271" s="140">
        <f t="shared" si="160"/>
        <v>29645.493286193298</v>
      </c>
      <c r="AI271" s="141">
        <f t="shared" si="161"/>
        <v>27214.345121964467</v>
      </c>
      <c r="AJ271" s="140">
        <f t="shared" si="162"/>
        <v>30238.403151917166</v>
      </c>
      <c r="AK271" s="141">
        <f t="shared" si="163"/>
        <v>28003.561130501435</v>
      </c>
      <c r="AL271" s="140">
        <f t="shared" si="164"/>
        <v>31115.316843322762</v>
      </c>
      <c r="AM271" s="141">
        <f t="shared" si="165"/>
        <v>29767.785481723025</v>
      </c>
      <c r="AN271" s="141">
        <f t="shared" si="166"/>
        <v>33075.581804452093</v>
      </c>
    </row>
    <row r="272" spans="1:40">
      <c r="A272" s="56">
        <v>340421</v>
      </c>
      <c r="B272" s="162">
        <v>34042100</v>
      </c>
      <c r="C272" s="86" t="s">
        <v>359</v>
      </c>
      <c r="D272" s="16">
        <v>7418.487667483555</v>
      </c>
      <c r="E272" s="17">
        <f t="shared" si="136"/>
        <v>7789.4120508577334</v>
      </c>
      <c r="F272" s="57">
        <f>E272*1.045</f>
        <v>8139.9355931463306</v>
      </c>
      <c r="G272" s="57">
        <f t="shared" si="137"/>
        <v>8423.205351787823</v>
      </c>
      <c r="H272" s="57">
        <f t="shared" si="138"/>
        <v>9359.191930478486</v>
      </c>
      <c r="I272" s="57">
        <f t="shared" si="139"/>
        <v>8650.6318962860933</v>
      </c>
      <c r="J272" s="57">
        <f t="shared" si="139"/>
        <v>9611.8901126014043</v>
      </c>
      <c r="K272" s="57">
        <f t="shared" si="140"/>
        <v>8858.2470617969593</v>
      </c>
      <c r="L272" s="9">
        <f t="shared" si="140"/>
        <v>9842.5754753038382</v>
      </c>
      <c r="M272" s="9">
        <f t="shared" si="141"/>
        <v>9097.419732465476</v>
      </c>
      <c r="N272" s="9">
        <f t="shared" si="141"/>
        <v>10108.325013137041</v>
      </c>
      <c r="O272" s="78">
        <f t="shared" si="142"/>
        <v>9297.5629665797169</v>
      </c>
      <c r="P272" s="78">
        <f t="shared" si="142"/>
        <v>10330.708163426056</v>
      </c>
      <c r="Q272" s="1">
        <f t="shared" si="143"/>
        <v>9520.70447777763</v>
      </c>
      <c r="R272" s="78">
        <f t="shared" si="144"/>
        <v>10578.645159348282</v>
      </c>
      <c r="S272" s="1">
        <f t="shared" si="145"/>
        <v>9872.9705434554016</v>
      </c>
      <c r="T272" s="78">
        <f t="shared" si="146"/>
        <v>10970.055030244168</v>
      </c>
      <c r="U272" s="1">
        <f t="shared" si="147"/>
        <v>10149.413718672153</v>
      </c>
      <c r="V272" s="99">
        <f t="shared" si="148"/>
        <v>11277.216571091005</v>
      </c>
      <c r="W272" s="78">
        <f t="shared" si="149"/>
        <v>10301.654924452234</v>
      </c>
      <c r="X272" s="78">
        <f t="shared" si="150"/>
        <v>11446.374819657369</v>
      </c>
      <c r="Y272" s="78">
        <f t="shared" si="151"/>
        <v>10466.48140324347</v>
      </c>
      <c r="Z272" s="78">
        <f t="shared" si="152"/>
        <v>11629.516816771888</v>
      </c>
      <c r="AA272" s="78">
        <f t="shared" si="153"/>
        <v>10665.344549905094</v>
      </c>
      <c r="AB272" s="78">
        <f t="shared" si="154"/>
        <v>11850.477636290552</v>
      </c>
      <c r="AC272" s="1">
        <f t="shared" si="155"/>
        <v>10867.98609635329</v>
      </c>
      <c r="AD272" s="78">
        <f t="shared" si="156"/>
        <v>12075.636711380072</v>
      </c>
      <c r="AE272" s="1">
        <f t="shared" si="157"/>
        <v>11096.213804376708</v>
      </c>
      <c r="AF272" s="78">
        <f t="shared" si="158"/>
        <v>12329.225082319052</v>
      </c>
      <c r="AG272" s="141">
        <f t="shared" si="159"/>
        <v>11240.464583833604</v>
      </c>
      <c r="AH272" s="140">
        <f t="shared" si="160"/>
        <v>12489.505008389198</v>
      </c>
      <c r="AI272" s="141">
        <f t="shared" si="161"/>
        <v>11465.273875510276</v>
      </c>
      <c r="AJ272" s="140">
        <f t="shared" si="162"/>
        <v>12739.295108556982</v>
      </c>
      <c r="AK272" s="141">
        <f t="shared" si="163"/>
        <v>11797.766817900074</v>
      </c>
      <c r="AL272" s="140">
        <f t="shared" si="164"/>
        <v>13108.734666705133</v>
      </c>
      <c r="AM272" s="141">
        <f t="shared" si="165"/>
        <v>12541.026127427778</v>
      </c>
      <c r="AN272" s="141">
        <f t="shared" si="166"/>
        <v>13934.584950707556</v>
      </c>
    </row>
    <row r="273" spans="1:40">
      <c r="B273" s="162">
        <v>34042101</v>
      </c>
      <c r="C273" s="86" t="s">
        <v>360</v>
      </c>
      <c r="D273" s="16">
        <v>23930.755132454662</v>
      </c>
      <c r="E273" s="17">
        <f t="shared" ref="E273:E314" si="167">D273*1.05</f>
        <v>25127.292889077395</v>
      </c>
      <c r="F273" s="57">
        <f>E273*1.045</f>
        <v>26258.021069085877</v>
      </c>
      <c r="G273" s="57">
        <f t="shared" si="137"/>
        <v>27171.800202290062</v>
      </c>
      <c r="H273" s="57">
        <f t="shared" si="138"/>
        <v>30191.130640768537</v>
      </c>
      <c r="I273" s="57">
        <f t="shared" si="139"/>
        <v>27905.438807751892</v>
      </c>
      <c r="J273" s="57">
        <f t="shared" si="139"/>
        <v>31006.291168069285</v>
      </c>
      <c r="K273" s="57">
        <f t="shared" si="140"/>
        <v>28575.169339137938</v>
      </c>
      <c r="L273" s="9">
        <f t="shared" si="140"/>
        <v>31750.442156102949</v>
      </c>
      <c r="M273" s="9">
        <f t="shared" si="141"/>
        <v>29346.698911294661</v>
      </c>
      <c r="N273" s="9">
        <f t="shared" si="141"/>
        <v>32607.704094317727</v>
      </c>
      <c r="O273" s="78">
        <f t="shared" si="142"/>
        <v>29992.326287343145</v>
      </c>
      <c r="P273" s="78">
        <f t="shared" si="142"/>
        <v>33325.073584392718</v>
      </c>
      <c r="Q273" s="1">
        <f t="shared" si="143"/>
        <v>30712.142118239382</v>
      </c>
      <c r="R273" s="78">
        <f t="shared" si="144"/>
        <v>34124.875350418144</v>
      </c>
      <c r="S273" s="1">
        <f t="shared" si="145"/>
        <v>31848.491376614238</v>
      </c>
      <c r="T273" s="78">
        <f t="shared" si="146"/>
        <v>35387.495738383615</v>
      </c>
      <c r="U273" s="1">
        <f t="shared" si="147"/>
        <v>32740.249135159436</v>
      </c>
      <c r="V273" s="99">
        <f t="shared" si="148"/>
        <v>36378.34561905836</v>
      </c>
      <c r="W273" s="78">
        <f t="shared" si="149"/>
        <v>33231.352872186828</v>
      </c>
      <c r="X273" s="78">
        <f t="shared" si="150"/>
        <v>36924.020803344232</v>
      </c>
      <c r="Y273" s="78">
        <f t="shared" si="151"/>
        <v>33763.05451814182</v>
      </c>
      <c r="Z273" s="78">
        <f t="shared" si="152"/>
        <v>37514.805136197741</v>
      </c>
      <c r="AA273" s="78">
        <f t="shared" si="153"/>
        <v>34404.552553986512</v>
      </c>
      <c r="AB273" s="78">
        <f t="shared" si="154"/>
        <v>38227.586433785495</v>
      </c>
      <c r="AC273" s="1">
        <f t="shared" si="155"/>
        <v>35058.239052512254</v>
      </c>
      <c r="AD273" s="78">
        <f t="shared" si="156"/>
        <v>38953.910576027418</v>
      </c>
      <c r="AE273" s="1">
        <f t="shared" si="157"/>
        <v>35794.46207261501</v>
      </c>
      <c r="AF273" s="78">
        <f t="shared" si="158"/>
        <v>39771.942698123989</v>
      </c>
      <c r="AG273" s="141">
        <f t="shared" si="159"/>
        <v>36259.790079559003</v>
      </c>
      <c r="AH273" s="140">
        <f t="shared" si="160"/>
        <v>40288.977953199596</v>
      </c>
      <c r="AI273" s="141">
        <f t="shared" si="161"/>
        <v>36984.985881150184</v>
      </c>
      <c r="AJ273" s="140">
        <f t="shared" si="162"/>
        <v>41094.75751226359</v>
      </c>
      <c r="AK273" s="141">
        <f t="shared" si="163"/>
        <v>38057.550471703536</v>
      </c>
      <c r="AL273" s="140">
        <f t="shared" si="164"/>
        <v>42286.505480119231</v>
      </c>
      <c r="AM273" s="141">
        <f t="shared" si="165"/>
        <v>40455.176151420856</v>
      </c>
      <c r="AN273" s="141">
        <f t="shared" si="166"/>
        <v>44950.555325366739</v>
      </c>
    </row>
    <row r="274" spans="1:40">
      <c r="A274" s="56">
        <v>340421</v>
      </c>
      <c r="B274" s="162">
        <v>34042102</v>
      </c>
      <c r="C274" s="86" t="s">
        <v>361</v>
      </c>
      <c r="D274" s="16">
        <v>7418.487667483555</v>
      </c>
      <c r="E274" s="17">
        <f t="shared" si="167"/>
        <v>7789.4120508577334</v>
      </c>
      <c r="F274" s="57">
        <f>E274*1.045</f>
        <v>8139.9355931463306</v>
      </c>
      <c r="G274" s="57">
        <f t="shared" si="137"/>
        <v>8423.205351787823</v>
      </c>
      <c r="H274" s="57">
        <f t="shared" si="138"/>
        <v>9359.191930478486</v>
      </c>
      <c r="I274" s="57">
        <f t="shared" si="139"/>
        <v>8650.6318962860933</v>
      </c>
      <c r="J274" s="57">
        <f t="shared" si="139"/>
        <v>9611.8901126014043</v>
      </c>
      <c r="K274" s="57">
        <f t="shared" si="140"/>
        <v>8858.2470617969593</v>
      </c>
      <c r="L274" s="9">
        <f t="shared" si="140"/>
        <v>9842.5754753038382</v>
      </c>
      <c r="M274" s="9">
        <f t="shared" si="141"/>
        <v>9097.419732465476</v>
      </c>
      <c r="N274" s="9">
        <f t="shared" si="141"/>
        <v>10108.325013137041</v>
      </c>
      <c r="O274" s="78">
        <f t="shared" si="142"/>
        <v>9297.5629665797169</v>
      </c>
      <c r="P274" s="78">
        <f t="shared" si="142"/>
        <v>10330.708163426056</v>
      </c>
      <c r="Q274" s="1">
        <f t="shared" si="143"/>
        <v>9520.70447777763</v>
      </c>
      <c r="R274" s="78">
        <f t="shared" si="144"/>
        <v>10578.645159348282</v>
      </c>
      <c r="S274" s="1">
        <f t="shared" si="145"/>
        <v>9872.9705434554016</v>
      </c>
      <c r="T274" s="78">
        <f t="shared" si="146"/>
        <v>10970.055030244168</v>
      </c>
      <c r="U274" s="1">
        <f t="shared" si="147"/>
        <v>10149.413718672153</v>
      </c>
      <c r="V274" s="99">
        <f t="shared" si="148"/>
        <v>11277.216571091005</v>
      </c>
      <c r="W274" s="78">
        <f t="shared" si="149"/>
        <v>10301.654924452234</v>
      </c>
      <c r="X274" s="78">
        <f t="shared" si="150"/>
        <v>11446.374819657369</v>
      </c>
      <c r="Y274" s="78">
        <f t="shared" si="151"/>
        <v>10466.48140324347</v>
      </c>
      <c r="Z274" s="78">
        <f t="shared" si="152"/>
        <v>11629.516816771888</v>
      </c>
      <c r="AA274" s="78">
        <f t="shared" si="153"/>
        <v>10665.344549905094</v>
      </c>
      <c r="AB274" s="78">
        <f t="shared" si="154"/>
        <v>11850.477636290552</v>
      </c>
      <c r="AC274" s="1">
        <f t="shared" si="155"/>
        <v>10867.98609635329</v>
      </c>
      <c r="AD274" s="78">
        <f t="shared" si="156"/>
        <v>12075.636711380072</v>
      </c>
      <c r="AE274" s="1">
        <f t="shared" si="157"/>
        <v>11096.213804376708</v>
      </c>
      <c r="AF274" s="78">
        <f t="shared" si="158"/>
        <v>12329.225082319052</v>
      </c>
      <c r="AG274" s="141">
        <f t="shared" si="159"/>
        <v>11240.464583833604</v>
      </c>
      <c r="AH274" s="140">
        <f t="shared" si="160"/>
        <v>12489.505008389198</v>
      </c>
      <c r="AI274" s="141">
        <f t="shared" si="161"/>
        <v>11465.273875510276</v>
      </c>
      <c r="AJ274" s="140">
        <f t="shared" si="162"/>
        <v>12739.295108556982</v>
      </c>
      <c r="AK274" s="141">
        <f t="shared" si="163"/>
        <v>11797.766817900074</v>
      </c>
      <c r="AL274" s="140">
        <f t="shared" si="164"/>
        <v>13108.734666705133</v>
      </c>
      <c r="AM274" s="141">
        <f t="shared" si="165"/>
        <v>12541.026127427778</v>
      </c>
      <c r="AN274" s="141">
        <f t="shared" si="166"/>
        <v>13934.584950707556</v>
      </c>
    </row>
    <row r="275" spans="1:40">
      <c r="A275" s="56">
        <v>340422</v>
      </c>
      <c r="B275" s="162">
        <v>34042200</v>
      </c>
      <c r="C275" s="86" t="s">
        <v>327</v>
      </c>
      <c r="D275" s="16">
        <v>5576.6696727647477</v>
      </c>
      <c r="E275" s="17">
        <f t="shared" si="167"/>
        <v>5855.503156402985</v>
      </c>
      <c r="F275" s="57">
        <f>E275*1.045</f>
        <v>6119.0007984411186</v>
      </c>
      <c r="G275" s="57">
        <f t="shared" si="137"/>
        <v>6331.9420262268695</v>
      </c>
      <c r="H275" s="57">
        <f t="shared" si="138"/>
        <v>7035.5474241811999</v>
      </c>
      <c r="I275" s="57">
        <f t="shared" si="139"/>
        <v>6502.9044609349949</v>
      </c>
      <c r="J275" s="57">
        <f t="shared" si="139"/>
        <v>7225.507204634092</v>
      </c>
      <c r="K275" s="57">
        <f t="shared" si="140"/>
        <v>6658.974167997435</v>
      </c>
      <c r="L275" s="9">
        <f t="shared" si="140"/>
        <v>7398.9193775453105</v>
      </c>
      <c r="M275" s="9">
        <f t="shared" si="141"/>
        <v>6838.7664705333655</v>
      </c>
      <c r="N275" s="9">
        <f t="shared" si="141"/>
        <v>7598.6902007390336</v>
      </c>
      <c r="O275" s="78">
        <f t="shared" si="142"/>
        <v>6989.2193328850999</v>
      </c>
      <c r="P275" s="78">
        <f t="shared" si="142"/>
        <v>7765.8613851552927</v>
      </c>
      <c r="Q275" s="1">
        <f t="shared" si="143"/>
        <v>7156.9605968743426</v>
      </c>
      <c r="R275" s="78">
        <f t="shared" si="144"/>
        <v>7952.2420583990197</v>
      </c>
      <c r="S275" s="1">
        <f t="shared" si="145"/>
        <v>7421.7681389586924</v>
      </c>
      <c r="T275" s="78">
        <f t="shared" si="146"/>
        <v>8246.4750145597827</v>
      </c>
      <c r="U275" s="1">
        <f t="shared" si="147"/>
        <v>7629.577646849536</v>
      </c>
      <c r="V275" s="99">
        <f t="shared" si="148"/>
        <v>8477.376314967456</v>
      </c>
      <c r="W275" s="78">
        <f t="shared" si="149"/>
        <v>7744.0213115522783</v>
      </c>
      <c r="X275" s="78">
        <f t="shared" si="150"/>
        <v>8604.5369596919663</v>
      </c>
      <c r="Y275" s="78">
        <f t="shared" si="151"/>
        <v>7867.9256525371147</v>
      </c>
      <c r="Z275" s="78">
        <f t="shared" si="152"/>
        <v>8742.2095510470372</v>
      </c>
      <c r="AA275" s="78">
        <f t="shared" si="153"/>
        <v>8017.416239935319</v>
      </c>
      <c r="AB275" s="78">
        <f t="shared" si="154"/>
        <v>8908.3115325169292</v>
      </c>
      <c r="AC275" s="1">
        <f t="shared" si="155"/>
        <v>8169.7471484940897</v>
      </c>
      <c r="AD275" s="78">
        <f t="shared" si="156"/>
        <v>9077.5694516347503</v>
      </c>
      <c r="AE275" s="1">
        <f t="shared" si="157"/>
        <v>8341.3118386124643</v>
      </c>
      <c r="AF275" s="78">
        <f t="shared" si="158"/>
        <v>9268.1984101190792</v>
      </c>
      <c r="AG275" s="141">
        <f t="shared" si="159"/>
        <v>8449.7488925144262</v>
      </c>
      <c r="AH275" s="140">
        <f t="shared" si="160"/>
        <v>9388.6849894506267</v>
      </c>
      <c r="AI275" s="141">
        <f t="shared" si="161"/>
        <v>8618.7438703647149</v>
      </c>
      <c r="AJ275" s="140">
        <f t="shared" si="162"/>
        <v>9576.4586892396401</v>
      </c>
      <c r="AK275" s="141">
        <f t="shared" si="163"/>
        <v>8868.6874426052909</v>
      </c>
      <c r="AL275" s="140">
        <f t="shared" si="164"/>
        <v>9854.1759912275884</v>
      </c>
      <c r="AM275" s="141">
        <f t="shared" si="165"/>
        <v>9427.414751489423</v>
      </c>
      <c r="AN275" s="141">
        <f t="shared" si="166"/>
        <v>10474.989078674926</v>
      </c>
    </row>
    <row r="276" spans="1:40">
      <c r="A276" s="56">
        <v>340501</v>
      </c>
      <c r="B276" s="162">
        <v>34050100</v>
      </c>
      <c r="C276" s="86" t="s">
        <v>362</v>
      </c>
      <c r="D276" s="16">
        <v>7418.487667483555</v>
      </c>
      <c r="E276" s="17">
        <f t="shared" si="167"/>
        <v>7789.4120508577334</v>
      </c>
      <c r="F276" s="57">
        <f>E276*1.045</f>
        <v>8139.9355931463306</v>
      </c>
      <c r="G276" s="57">
        <f t="shared" si="137"/>
        <v>8423.205351787823</v>
      </c>
      <c r="H276" s="57">
        <f t="shared" si="138"/>
        <v>9359.191930478486</v>
      </c>
      <c r="I276" s="57">
        <f t="shared" si="139"/>
        <v>8650.6318962860933</v>
      </c>
      <c r="J276" s="57">
        <f t="shared" si="139"/>
        <v>9611.8901126014043</v>
      </c>
      <c r="K276" s="57">
        <f t="shared" si="140"/>
        <v>8858.2470617969593</v>
      </c>
      <c r="L276" s="9">
        <f t="shared" si="140"/>
        <v>9842.5754753038382</v>
      </c>
      <c r="M276" s="9">
        <f t="shared" si="141"/>
        <v>9097.419732465476</v>
      </c>
      <c r="N276" s="9">
        <f t="shared" si="141"/>
        <v>10108.325013137041</v>
      </c>
      <c r="O276" s="78">
        <f t="shared" si="142"/>
        <v>9297.5629665797169</v>
      </c>
      <c r="P276" s="78">
        <f t="shared" si="142"/>
        <v>10330.708163426056</v>
      </c>
      <c r="Q276" s="1">
        <f t="shared" si="143"/>
        <v>9520.70447777763</v>
      </c>
      <c r="R276" s="78">
        <f t="shared" si="144"/>
        <v>10578.645159348282</v>
      </c>
      <c r="S276" s="1">
        <f t="shared" si="145"/>
        <v>9872.9705434554016</v>
      </c>
      <c r="T276" s="78">
        <f t="shared" si="146"/>
        <v>10970.055030244168</v>
      </c>
      <c r="U276" s="1">
        <f t="shared" si="147"/>
        <v>10149.413718672153</v>
      </c>
      <c r="V276" s="99">
        <f t="shared" si="148"/>
        <v>11277.216571091005</v>
      </c>
      <c r="W276" s="78">
        <f t="shared" si="149"/>
        <v>10301.654924452234</v>
      </c>
      <c r="X276" s="78">
        <f t="shared" si="150"/>
        <v>11446.374819657369</v>
      </c>
      <c r="Y276" s="78">
        <f t="shared" si="151"/>
        <v>10466.48140324347</v>
      </c>
      <c r="Z276" s="78">
        <f t="shared" si="152"/>
        <v>11629.516816771888</v>
      </c>
      <c r="AA276" s="78">
        <f t="shared" si="153"/>
        <v>10665.344549905094</v>
      </c>
      <c r="AB276" s="78">
        <f t="shared" si="154"/>
        <v>11850.477636290552</v>
      </c>
      <c r="AC276" s="1">
        <f t="shared" si="155"/>
        <v>10867.98609635329</v>
      </c>
      <c r="AD276" s="78">
        <f t="shared" si="156"/>
        <v>12075.636711380072</v>
      </c>
      <c r="AE276" s="1">
        <f t="shared" si="157"/>
        <v>11096.213804376708</v>
      </c>
      <c r="AF276" s="78">
        <f t="shared" si="158"/>
        <v>12329.225082319052</v>
      </c>
      <c r="AG276" s="141">
        <f t="shared" si="159"/>
        <v>11240.464583833604</v>
      </c>
      <c r="AH276" s="140">
        <f t="shared" si="160"/>
        <v>12489.505008389198</v>
      </c>
      <c r="AI276" s="141">
        <f t="shared" si="161"/>
        <v>11465.273875510276</v>
      </c>
      <c r="AJ276" s="140">
        <f t="shared" si="162"/>
        <v>12739.295108556982</v>
      </c>
      <c r="AK276" s="141">
        <f t="shared" si="163"/>
        <v>11797.766817900074</v>
      </c>
      <c r="AL276" s="140">
        <f t="shared" si="164"/>
        <v>13108.734666705133</v>
      </c>
      <c r="AM276" s="141">
        <f t="shared" si="165"/>
        <v>12541.026127427778</v>
      </c>
      <c r="AN276" s="141">
        <f t="shared" si="166"/>
        <v>13934.584950707556</v>
      </c>
    </row>
    <row r="277" spans="1:40">
      <c r="A277" s="56">
        <v>340506</v>
      </c>
      <c r="B277" s="162">
        <v>34050600</v>
      </c>
      <c r="C277" s="86" t="s">
        <v>327</v>
      </c>
      <c r="D277" s="16">
        <v>5576.6696727647477</v>
      </c>
      <c r="E277" s="17">
        <f t="shared" si="167"/>
        <v>5855.503156402985</v>
      </c>
      <c r="F277" s="57">
        <f>E277*1.045</f>
        <v>6119.0007984411186</v>
      </c>
      <c r="G277" s="57">
        <f t="shared" si="137"/>
        <v>6331.9420262268695</v>
      </c>
      <c r="H277" s="57">
        <f t="shared" si="138"/>
        <v>7035.5474241811999</v>
      </c>
      <c r="I277" s="57">
        <f t="shared" si="139"/>
        <v>6502.9044609349949</v>
      </c>
      <c r="J277" s="57">
        <f t="shared" si="139"/>
        <v>7225.507204634092</v>
      </c>
      <c r="K277" s="57">
        <f t="shared" si="140"/>
        <v>6658.974167997435</v>
      </c>
      <c r="L277" s="9">
        <f t="shared" si="140"/>
        <v>7398.9193775453105</v>
      </c>
      <c r="M277" s="9">
        <f t="shared" si="141"/>
        <v>6838.7664705333655</v>
      </c>
      <c r="N277" s="9">
        <f t="shared" si="141"/>
        <v>7598.6902007390336</v>
      </c>
      <c r="O277" s="78">
        <f t="shared" si="142"/>
        <v>6989.2193328850999</v>
      </c>
      <c r="P277" s="78">
        <f t="shared" si="142"/>
        <v>7765.8613851552927</v>
      </c>
      <c r="Q277" s="1">
        <f t="shared" si="143"/>
        <v>7156.9605968743426</v>
      </c>
      <c r="R277" s="78">
        <f t="shared" si="144"/>
        <v>7952.2420583990197</v>
      </c>
      <c r="S277" s="1">
        <f t="shared" si="145"/>
        <v>7421.7681389586924</v>
      </c>
      <c r="T277" s="78">
        <f t="shared" si="146"/>
        <v>8246.4750145597827</v>
      </c>
      <c r="U277" s="1">
        <f t="shared" si="147"/>
        <v>7629.577646849536</v>
      </c>
      <c r="V277" s="99">
        <f t="shared" si="148"/>
        <v>8477.376314967456</v>
      </c>
      <c r="W277" s="78">
        <f t="shared" si="149"/>
        <v>7744.0213115522783</v>
      </c>
      <c r="X277" s="78">
        <f t="shared" si="150"/>
        <v>8604.5369596919663</v>
      </c>
      <c r="Y277" s="78">
        <f t="shared" si="151"/>
        <v>7867.9256525371147</v>
      </c>
      <c r="Z277" s="78">
        <f t="shared" si="152"/>
        <v>8742.2095510470372</v>
      </c>
      <c r="AA277" s="78">
        <f t="shared" si="153"/>
        <v>8017.416239935319</v>
      </c>
      <c r="AB277" s="78">
        <f t="shared" si="154"/>
        <v>8908.3115325169292</v>
      </c>
      <c r="AC277" s="1">
        <f t="shared" si="155"/>
        <v>8169.7471484940897</v>
      </c>
      <c r="AD277" s="78">
        <f t="shared" si="156"/>
        <v>9077.5694516347503</v>
      </c>
      <c r="AE277" s="1">
        <f t="shared" si="157"/>
        <v>8341.3118386124643</v>
      </c>
      <c r="AF277" s="78">
        <f t="shared" si="158"/>
        <v>9268.1984101190792</v>
      </c>
      <c r="AG277" s="141">
        <f t="shared" si="159"/>
        <v>8449.7488925144262</v>
      </c>
      <c r="AH277" s="140">
        <f t="shared" si="160"/>
        <v>9388.6849894506267</v>
      </c>
      <c r="AI277" s="141">
        <f t="shared" si="161"/>
        <v>8618.7438703647149</v>
      </c>
      <c r="AJ277" s="140">
        <f t="shared" si="162"/>
        <v>9576.4586892396401</v>
      </c>
      <c r="AK277" s="141">
        <f t="shared" si="163"/>
        <v>8868.6874426052909</v>
      </c>
      <c r="AL277" s="140">
        <f t="shared" si="164"/>
        <v>9854.1759912275884</v>
      </c>
      <c r="AM277" s="141">
        <f t="shared" si="165"/>
        <v>9427.414751489423</v>
      </c>
      <c r="AN277" s="141">
        <f t="shared" si="166"/>
        <v>10474.989078674926</v>
      </c>
    </row>
    <row r="278" spans="1:40">
      <c r="A278" s="56">
        <v>340508</v>
      </c>
      <c r="B278" s="162">
        <v>34050800</v>
      </c>
      <c r="C278" s="86" t="s">
        <v>363</v>
      </c>
      <c r="D278" s="16">
        <v>44023.777949220355</v>
      </c>
      <c r="E278" s="17">
        <f t="shared" si="167"/>
        <v>46224.966846681375</v>
      </c>
      <c r="F278" s="57">
        <f>E278*1.045</f>
        <v>48305.090354782034</v>
      </c>
      <c r="G278" s="57">
        <f t="shared" si="137"/>
        <v>49986.107499128448</v>
      </c>
      <c r="H278" s="57">
        <f t="shared" si="138"/>
        <v>55540.563764431608</v>
      </c>
      <c r="I278" s="57">
        <f t="shared" si="139"/>
        <v>51335.73240160491</v>
      </c>
      <c r="J278" s="57">
        <f t="shared" si="139"/>
        <v>57040.158986071256</v>
      </c>
      <c r="K278" s="57">
        <f t="shared" si="140"/>
        <v>52567.789979243425</v>
      </c>
      <c r="L278" s="9">
        <f t="shared" si="140"/>
        <v>58409.122801736965</v>
      </c>
      <c r="M278" s="9">
        <f t="shared" si="141"/>
        <v>53987.120308682992</v>
      </c>
      <c r="N278" s="9">
        <f t="shared" si="141"/>
        <v>59986.169117383855</v>
      </c>
      <c r="O278" s="78">
        <f t="shared" si="142"/>
        <v>55174.83695547402</v>
      </c>
      <c r="P278" s="78">
        <f t="shared" si="142"/>
        <v>61305.864837966299</v>
      </c>
      <c r="Q278" s="1">
        <f t="shared" si="143"/>
        <v>56499.033042405397</v>
      </c>
      <c r="R278" s="78">
        <f t="shared" si="144"/>
        <v>62777.205594077488</v>
      </c>
      <c r="S278" s="1">
        <f t="shared" si="145"/>
        <v>58589.497264974394</v>
      </c>
      <c r="T278" s="78">
        <f t="shared" si="146"/>
        <v>65099.962201058348</v>
      </c>
      <c r="U278" s="1">
        <f t="shared" si="147"/>
        <v>60230.003188393675</v>
      </c>
      <c r="V278" s="99">
        <f t="shared" si="148"/>
        <v>66922.761142687988</v>
      </c>
      <c r="W278" s="78">
        <f t="shared" si="149"/>
        <v>61133.453236219575</v>
      </c>
      <c r="X278" s="78">
        <f t="shared" si="150"/>
        <v>67926.602559828301</v>
      </c>
      <c r="Y278" s="78">
        <f t="shared" si="151"/>
        <v>62111.588487999092</v>
      </c>
      <c r="Z278" s="78">
        <f t="shared" si="152"/>
        <v>69013.428200785551</v>
      </c>
      <c r="AA278" s="78">
        <f t="shared" si="153"/>
        <v>63291.708669271065</v>
      </c>
      <c r="AB278" s="78">
        <f t="shared" si="154"/>
        <v>70324.683336600472</v>
      </c>
      <c r="AC278" s="1">
        <f t="shared" si="155"/>
        <v>64494.251133987207</v>
      </c>
      <c r="AD278" s="78">
        <f t="shared" si="156"/>
        <v>71660.852319995873</v>
      </c>
      <c r="AE278" s="1">
        <f t="shared" si="157"/>
        <v>65848.630407800927</v>
      </c>
      <c r="AF278" s="78">
        <f t="shared" si="158"/>
        <v>73165.730218715777</v>
      </c>
      <c r="AG278" s="141">
        <f t="shared" si="159"/>
        <v>66704.662603102333</v>
      </c>
      <c r="AH278" s="140">
        <f t="shared" si="160"/>
        <v>74116.884711559076</v>
      </c>
      <c r="AI278" s="141">
        <f t="shared" si="161"/>
        <v>68038.755855164374</v>
      </c>
      <c r="AJ278" s="140">
        <f t="shared" si="162"/>
        <v>75599.222405790264</v>
      </c>
      <c r="AK278" s="141">
        <f t="shared" si="163"/>
        <v>70011.879774964138</v>
      </c>
      <c r="AL278" s="140">
        <f t="shared" si="164"/>
        <v>77791.599855558175</v>
      </c>
      <c r="AM278" s="141">
        <f t="shared" si="165"/>
        <v>74422.628200786872</v>
      </c>
      <c r="AN278" s="141">
        <f t="shared" si="166"/>
        <v>82692.470646458343</v>
      </c>
    </row>
    <row r="279" spans="1:40">
      <c r="A279" s="179">
        <v>340601</v>
      </c>
      <c r="B279" s="162">
        <v>340601</v>
      </c>
      <c r="C279" s="86" t="s">
        <v>364</v>
      </c>
      <c r="D279" s="28"/>
      <c r="E279" s="57"/>
      <c r="F279" s="57"/>
      <c r="G279" s="57"/>
      <c r="H279" s="57"/>
      <c r="I279" s="57"/>
      <c r="J279" s="57"/>
      <c r="K279" s="9"/>
      <c r="L279" s="57"/>
      <c r="M279" s="9"/>
      <c r="N279" s="57"/>
      <c r="O279" s="57"/>
      <c r="P279" s="78"/>
      <c r="Q279" s="78"/>
      <c r="R279" s="1"/>
      <c r="S279" s="1"/>
      <c r="T279" s="78"/>
      <c r="U279" s="78">
        <v>21414.42</v>
      </c>
      <c r="V279" s="78"/>
      <c r="W279" s="1">
        <f t="shared" si="149"/>
        <v>21735.636299999995</v>
      </c>
      <c r="X279" s="78">
        <f t="shared" si="149"/>
        <v>0</v>
      </c>
      <c r="Y279" s="78">
        <f t="shared" si="151"/>
        <v>22083.406480799997</v>
      </c>
      <c r="Z279" s="78">
        <f t="shared" si="151"/>
        <v>0</v>
      </c>
      <c r="AA279" s="78">
        <f t="shared" si="153"/>
        <v>22502.991203935195</v>
      </c>
      <c r="AB279" s="78">
        <f t="shared" si="153"/>
        <v>0</v>
      </c>
      <c r="AC279" s="140">
        <f t="shared" si="153"/>
        <v>22930.54803680996</v>
      </c>
      <c r="AD279" s="140">
        <f t="shared" si="153"/>
        <v>0</v>
      </c>
      <c r="AE279" s="78">
        <f t="shared" si="157"/>
        <v>23412.089545582967</v>
      </c>
      <c r="AF279" s="78"/>
      <c r="AG279" s="141">
        <f t="shared" si="159"/>
        <v>23716.446709675543</v>
      </c>
      <c r="AH279" s="140"/>
      <c r="AI279" s="141">
        <f t="shared" si="161"/>
        <v>24190.775643869056</v>
      </c>
      <c r="AJ279" s="140"/>
      <c r="AK279" s="141">
        <f t="shared" si="163"/>
        <v>24892.308137541255</v>
      </c>
      <c r="AL279" s="140"/>
      <c r="AM279" s="141">
        <f t="shared" si="165"/>
        <v>26460.523550206352</v>
      </c>
      <c r="AN279" s="141"/>
    </row>
    <row r="280" spans="1:40">
      <c r="A280" s="179">
        <v>340602</v>
      </c>
      <c r="B280" s="162">
        <v>340602</v>
      </c>
      <c r="C280" s="86" t="s">
        <v>365</v>
      </c>
      <c r="D280" s="28"/>
      <c r="E280" s="57"/>
      <c r="F280" s="57"/>
      <c r="G280" s="57"/>
      <c r="H280" s="57"/>
      <c r="I280" s="57"/>
      <c r="J280" s="57"/>
      <c r="K280" s="9"/>
      <c r="L280" s="57"/>
      <c r="M280" s="9"/>
      <c r="N280" s="57"/>
      <c r="O280" s="57"/>
      <c r="P280" s="78"/>
      <c r="Q280" s="78"/>
      <c r="R280" s="1"/>
      <c r="S280" s="1"/>
      <c r="T280" s="78"/>
      <c r="U280" s="78">
        <v>14561.8</v>
      </c>
      <c r="V280" s="78"/>
      <c r="W280" s="1">
        <f t="shared" si="149"/>
        <v>14780.226999999997</v>
      </c>
      <c r="X280" s="78">
        <f t="shared" si="149"/>
        <v>0</v>
      </c>
      <c r="Y280" s="78">
        <f t="shared" si="151"/>
        <v>15016.710631999997</v>
      </c>
      <c r="Z280" s="78">
        <f t="shared" si="151"/>
        <v>0</v>
      </c>
      <c r="AA280" s="78">
        <f t="shared" si="153"/>
        <v>15302.028134007995</v>
      </c>
      <c r="AB280" s="78">
        <f t="shared" si="153"/>
        <v>0</v>
      </c>
      <c r="AC280" s="140">
        <f t="shared" si="153"/>
        <v>15592.766668554144</v>
      </c>
      <c r="AD280" s="140">
        <f t="shared" si="153"/>
        <v>0</v>
      </c>
      <c r="AE280" s="78">
        <f t="shared" si="157"/>
        <v>15920.21476859378</v>
      </c>
      <c r="AF280" s="78"/>
      <c r="AG280" s="141">
        <f t="shared" si="159"/>
        <v>16127.177560585498</v>
      </c>
      <c r="AH280" s="140"/>
      <c r="AI280" s="141">
        <f t="shared" si="161"/>
        <v>16449.721111797207</v>
      </c>
      <c r="AJ280" s="140"/>
      <c r="AK280" s="141">
        <f t="shared" si="163"/>
        <v>16926.763024039326</v>
      </c>
      <c r="AL280" s="140"/>
      <c r="AM280" s="141">
        <f t="shared" si="165"/>
        <v>17993.149094553803</v>
      </c>
      <c r="AN280" s="141"/>
    </row>
    <row r="281" spans="1:40">
      <c r="A281" s="179"/>
      <c r="B281" s="162">
        <v>340609</v>
      </c>
      <c r="C281" s="86" t="s">
        <v>366</v>
      </c>
      <c r="D281" s="28"/>
      <c r="E281" s="57"/>
      <c r="F281" s="57"/>
      <c r="G281" s="57"/>
      <c r="H281" s="57"/>
      <c r="I281" s="57"/>
      <c r="J281" s="57"/>
      <c r="K281" s="9"/>
      <c r="L281" s="57"/>
      <c r="M281" s="9"/>
      <c r="N281" s="57"/>
      <c r="O281" s="57"/>
      <c r="P281" s="78"/>
      <c r="Q281" s="78"/>
      <c r="R281" s="1"/>
      <c r="S281" s="1"/>
      <c r="T281" s="78"/>
      <c r="U281" s="78">
        <v>28552.560000000001</v>
      </c>
      <c r="V281" s="78"/>
      <c r="W281" s="1">
        <f t="shared" si="149"/>
        <v>28980.848399999999</v>
      </c>
      <c r="X281" s="78">
        <f t="shared" si="149"/>
        <v>0</v>
      </c>
      <c r="Y281" s="78">
        <f t="shared" si="151"/>
        <v>29444.541974399999</v>
      </c>
      <c r="Z281" s="78">
        <f t="shared" si="151"/>
        <v>0</v>
      </c>
      <c r="AA281" s="78">
        <f t="shared" si="153"/>
        <v>30003.988271913597</v>
      </c>
      <c r="AB281" s="78">
        <f t="shared" si="153"/>
        <v>0</v>
      </c>
      <c r="AC281" s="140">
        <f t="shared" si="153"/>
        <v>30574.064049079952</v>
      </c>
      <c r="AD281" s="140">
        <f t="shared" si="153"/>
        <v>0</v>
      </c>
      <c r="AE281" s="78">
        <f t="shared" si="157"/>
        <v>31216.119394110628</v>
      </c>
      <c r="AF281" s="78"/>
      <c r="AG281" s="141">
        <f t="shared" si="159"/>
        <v>31621.928946234064</v>
      </c>
      <c r="AH281" s="140"/>
      <c r="AI281" s="141">
        <f t="shared" si="161"/>
        <v>32254.367525158745</v>
      </c>
      <c r="AJ281" s="140"/>
      <c r="AK281" s="141">
        <f t="shared" si="163"/>
        <v>33189.744183388342</v>
      </c>
      <c r="AL281" s="140"/>
      <c r="AM281" s="141">
        <f t="shared" si="165"/>
        <v>35280.698066941804</v>
      </c>
      <c r="AN281" s="141"/>
    </row>
    <row r="282" spans="1:40">
      <c r="A282" s="179"/>
      <c r="B282" s="162">
        <v>345004</v>
      </c>
      <c r="C282" s="86" t="s">
        <v>367</v>
      </c>
      <c r="D282" s="28"/>
      <c r="E282" s="57"/>
      <c r="F282" s="57"/>
      <c r="G282" s="57"/>
      <c r="H282" s="57"/>
      <c r="I282" s="57"/>
      <c r="J282" s="57"/>
      <c r="K282" s="9"/>
      <c r="L282" s="57"/>
      <c r="M282" s="9"/>
      <c r="N282" s="57"/>
      <c r="O282" s="57"/>
      <c r="P282" s="78"/>
      <c r="Q282" s="78"/>
      <c r="R282" s="1"/>
      <c r="S282" s="1"/>
      <c r="T282" s="78"/>
      <c r="U282" s="78">
        <v>35976.22</v>
      </c>
      <c r="V282" s="78"/>
      <c r="W282" s="1">
        <f t="shared" si="149"/>
        <v>36515.863299999997</v>
      </c>
      <c r="X282" s="78">
        <f t="shared" si="149"/>
        <v>0</v>
      </c>
      <c r="Y282" s="78">
        <f t="shared" si="151"/>
        <v>37100.117112799999</v>
      </c>
      <c r="Z282" s="78">
        <f t="shared" si="151"/>
        <v>0</v>
      </c>
      <c r="AA282" s="78">
        <f t="shared" si="153"/>
        <v>37805.019337943195</v>
      </c>
      <c r="AB282" s="78">
        <f t="shared" si="153"/>
        <v>0</v>
      </c>
      <c r="AC282" s="140">
        <f t="shared" si="153"/>
        <v>38523.314705364115</v>
      </c>
      <c r="AD282" s="140">
        <f t="shared" si="153"/>
        <v>0</v>
      </c>
      <c r="AE282" s="78">
        <f t="shared" si="157"/>
        <v>39332.304314176756</v>
      </c>
      <c r="AF282" s="78"/>
      <c r="AG282" s="141">
        <f t="shared" si="159"/>
        <v>39843.624270261047</v>
      </c>
      <c r="AH282" s="140"/>
      <c r="AI282" s="141">
        <f t="shared" si="161"/>
        <v>40640.496755666267</v>
      </c>
      <c r="AJ282" s="140"/>
      <c r="AK282" s="141">
        <f t="shared" si="163"/>
        <v>41819.071161580585</v>
      </c>
      <c r="AL282" s="140"/>
      <c r="AM282" s="141">
        <f t="shared" si="165"/>
        <v>44453.672644760161</v>
      </c>
      <c r="AN282" s="141"/>
    </row>
    <row r="283" spans="1:40">
      <c r="A283" s="56">
        <v>340703</v>
      </c>
      <c r="B283" s="162">
        <v>34070300</v>
      </c>
      <c r="C283" s="86" t="s">
        <v>368</v>
      </c>
      <c r="D283" s="16">
        <v>287347.56773220788</v>
      </c>
      <c r="E283" s="17">
        <f t="shared" si="167"/>
        <v>301714.9461188183</v>
      </c>
      <c r="F283" s="57">
        <f>E283*1.045</f>
        <v>315292.11869416508</v>
      </c>
      <c r="G283" s="57">
        <f t="shared" si="137"/>
        <v>326264.28442472202</v>
      </c>
      <c r="H283" s="57">
        <f t="shared" si="138"/>
        <v>362518.77170999715</v>
      </c>
      <c r="I283" s="57">
        <f t="shared" si="139"/>
        <v>335073.42010418948</v>
      </c>
      <c r="J283" s="57">
        <f t="shared" si="139"/>
        <v>372306.77854616701</v>
      </c>
      <c r="K283" s="57">
        <f t="shared" si="140"/>
        <v>343115.18218669004</v>
      </c>
      <c r="L283" s="9">
        <f t="shared" si="140"/>
        <v>381242.14123127505</v>
      </c>
      <c r="M283" s="9">
        <f t="shared" si="141"/>
        <v>352379.29210573062</v>
      </c>
      <c r="N283" s="9">
        <f t="shared" si="141"/>
        <v>391535.67904451943</v>
      </c>
      <c r="O283" s="78">
        <f t="shared" si="142"/>
        <v>360131.63653205673</v>
      </c>
      <c r="P283" s="78">
        <f t="shared" si="142"/>
        <v>400149.46398349886</v>
      </c>
      <c r="Q283" s="1">
        <f t="shared" si="143"/>
        <v>368774.79580882611</v>
      </c>
      <c r="R283" s="78">
        <f t="shared" si="144"/>
        <v>409753.05111910286</v>
      </c>
      <c r="S283" s="1">
        <f t="shared" si="145"/>
        <v>382419.46325375262</v>
      </c>
      <c r="T283" s="78">
        <f t="shared" si="146"/>
        <v>424913.91401050962</v>
      </c>
      <c r="U283" s="1">
        <f t="shared" si="147"/>
        <v>393127.20822485769</v>
      </c>
      <c r="V283" s="99">
        <f t="shared" si="148"/>
        <v>436811.50360280392</v>
      </c>
      <c r="W283" s="78">
        <f t="shared" si="149"/>
        <v>399024.11634823051</v>
      </c>
      <c r="X283" s="78">
        <f t="shared" si="150"/>
        <v>443363.67615684593</v>
      </c>
      <c r="Y283" s="78">
        <f t="shared" si="151"/>
        <v>405408.50220980222</v>
      </c>
      <c r="Z283" s="78">
        <f t="shared" si="152"/>
        <v>450457.49497535545</v>
      </c>
      <c r="AA283" s="78">
        <f t="shared" si="153"/>
        <v>413111.26375178841</v>
      </c>
      <c r="AB283" s="78">
        <f t="shared" si="154"/>
        <v>459016.18737988715</v>
      </c>
      <c r="AC283" s="1">
        <f t="shared" si="155"/>
        <v>420960.37776307238</v>
      </c>
      <c r="AD283" s="78">
        <f t="shared" si="156"/>
        <v>467737.49494010495</v>
      </c>
      <c r="AE283" s="1">
        <f t="shared" si="157"/>
        <v>429800.54569609684</v>
      </c>
      <c r="AF283" s="78">
        <f t="shared" si="158"/>
        <v>477559.98233384709</v>
      </c>
      <c r="AG283" s="141">
        <f t="shared" si="159"/>
        <v>435387.95279014605</v>
      </c>
      <c r="AH283" s="140">
        <f t="shared" si="160"/>
        <v>483768.26210418704</v>
      </c>
      <c r="AI283" s="141">
        <f t="shared" si="161"/>
        <v>444095.711845949</v>
      </c>
      <c r="AJ283" s="140">
        <f t="shared" si="162"/>
        <v>493443.62734627078</v>
      </c>
      <c r="AK283" s="141">
        <f t="shared" si="163"/>
        <v>456974.48748948146</v>
      </c>
      <c r="AL283" s="140">
        <f t="shared" si="164"/>
        <v>507753.49253931257</v>
      </c>
      <c r="AM283" s="141">
        <f t="shared" si="165"/>
        <v>485763.88020131877</v>
      </c>
      <c r="AN283" s="141">
        <f t="shared" si="166"/>
        <v>539741.96256928926</v>
      </c>
    </row>
    <row r="284" spans="1:40">
      <c r="A284" s="56">
        <v>370703</v>
      </c>
      <c r="B284" s="162">
        <v>34070301</v>
      </c>
      <c r="C284" s="86" t="s">
        <v>369</v>
      </c>
      <c r="D284" s="16">
        <v>523271.88853909535</v>
      </c>
      <c r="E284" s="17">
        <f t="shared" si="167"/>
        <v>549435.48296605016</v>
      </c>
      <c r="F284" s="57">
        <f>E284*1.045</f>
        <v>574160.07969952235</v>
      </c>
      <c r="G284" s="57">
        <f t="shared" si="137"/>
        <v>594140.85047306574</v>
      </c>
      <c r="H284" s="57">
        <f t="shared" si="138"/>
        <v>660161.78177763289</v>
      </c>
      <c r="I284" s="57">
        <f t="shared" si="139"/>
        <v>610182.65343583853</v>
      </c>
      <c r="J284" s="57">
        <f t="shared" si="139"/>
        <v>677986.14988562895</v>
      </c>
      <c r="K284" s="57">
        <f t="shared" si="140"/>
        <v>624827.0371182987</v>
      </c>
      <c r="L284" s="9">
        <f t="shared" si="140"/>
        <v>694257.81748288404</v>
      </c>
      <c r="M284" s="9">
        <f t="shared" si="141"/>
        <v>641697.36712049274</v>
      </c>
      <c r="N284" s="9">
        <f t="shared" si="141"/>
        <v>713002.77855492185</v>
      </c>
      <c r="O284" s="78">
        <f t="shared" si="142"/>
        <v>655814.70919714356</v>
      </c>
      <c r="P284" s="78">
        <f t="shared" si="142"/>
        <v>728688.83968313015</v>
      </c>
      <c r="Q284" s="1">
        <f t="shared" si="143"/>
        <v>671554.26221787499</v>
      </c>
      <c r="R284" s="78">
        <f t="shared" si="144"/>
        <v>746177.37183552526</v>
      </c>
      <c r="S284" s="1">
        <f t="shared" si="145"/>
        <v>696401.76991993631</v>
      </c>
      <c r="T284" s="78">
        <f t="shared" si="146"/>
        <v>773785.93459343968</v>
      </c>
      <c r="U284" s="1">
        <f t="shared" si="147"/>
        <v>715901.01947769453</v>
      </c>
      <c r="V284" s="99">
        <f t="shared" si="148"/>
        <v>795451.94076205604</v>
      </c>
      <c r="W284" s="78">
        <f t="shared" si="149"/>
        <v>726639.53476985986</v>
      </c>
      <c r="X284" s="78">
        <f t="shared" si="150"/>
        <v>807383.71987348679</v>
      </c>
      <c r="Y284" s="78">
        <f t="shared" si="151"/>
        <v>738265.76732617768</v>
      </c>
      <c r="Z284" s="78">
        <f t="shared" si="152"/>
        <v>820301.85939146264</v>
      </c>
      <c r="AA284" s="78">
        <f t="shared" si="153"/>
        <v>752292.81690537499</v>
      </c>
      <c r="AB284" s="78">
        <f t="shared" si="154"/>
        <v>835887.5947199004</v>
      </c>
      <c r="AC284" s="1">
        <f t="shared" si="155"/>
        <v>766586.38042657706</v>
      </c>
      <c r="AD284" s="78">
        <f t="shared" si="156"/>
        <v>851769.45901957841</v>
      </c>
      <c r="AE284" s="1">
        <f t="shared" si="157"/>
        <v>782684.69441553508</v>
      </c>
      <c r="AF284" s="78">
        <f t="shared" si="158"/>
        <v>869656.6176589895</v>
      </c>
      <c r="AG284" s="141">
        <f t="shared" si="159"/>
        <v>792859.59544293699</v>
      </c>
      <c r="AH284" s="140">
        <f t="shared" si="160"/>
        <v>880962.15368855628</v>
      </c>
      <c r="AI284" s="141">
        <f t="shared" si="161"/>
        <v>808716.78735179571</v>
      </c>
      <c r="AJ284" s="140">
        <f t="shared" si="162"/>
        <v>898581.39676232741</v>
      </c>
      <c r="AK284" s="141">
        <f t="shared" si="163"/>
        <v>832169.57418499771</v>
      </c>
      <c r="AL284" s="140">
        <f t="shared" si="164"/>
        <v>924640.25726843486</v>
      </c>
      <c r="AM284" s="141">
        <f t="shared" si="165"/>
        <v>884596.25735865254</v>
      </c>
      <c r="AN284" s="141">
        <f t="shared" si="166"/>
        <v>982892.59347634623</v>
      </c>
    </row>
    <row r="285" spans="1:40">
      <c r="A285" s="56">
        <v>340704</v>
      </c>
      <c r="B285" s="162">
        <v>34070400</v>
      </c>
      <c r="C285" s="86" t="s">
        <v>370</v>
      </c>
      <c r="D285" s="16">
        <v>197121.39827273204</v>
      </c>
      <c r="E285" s="17">
        <f t="shared" si="167"/>
        <v>206977.46818636864</v>
      </c>
      <c r="F285" s="57">
        <f>E285*1.045</f>
        <v>216291.45425475523</v>
      </c>
      <c r="G285" s="57">
        <f t="shared" si="137"/>
        <v>223818.39686282069</v>
      </c>
      <c r="H285" s="57">
        <f t="shared" si="138"/>
        <v>248689.09712221735</v>
      </c>
      <c r="I285" s="57">
        <f t="shared" si="139"/>
        <v>229861.49357811685</v>
      </c>
      <c r="J285" s="57">
        <f t="shared" si="139"/>
        <v>255403.70274451721</v>
      </c>
      <c r="K285" s="57">
        <f t="shared" si="140"/>
        <v>235378.16942399167</v>
      </c>
      <c r="L285" s="9">
        <f t="shared" si="140"/>
        <v>261533.39161038565</v>
      </c>
      <c r="M285" s="9">
        <f t="shared" si="141"/>
        <v>241733.37999843943</v>
      </c>
      <c r="N285" s="9">
        <f t="shared" si="141"/>
        <v>268594.79318386602</v>
      </c>
      <c r="O285" s="78">
        <f t="shared" si="142"/>
        <v>247051.51435840511</v>
      </c>
      <c r="P285" s="78">
        <f t="shared" si="142"/>
        <v>274503.87863391108</v>
      </c>
      <c r="Q285" s="1">
        <f t="shared" si="143"/>
        <v>252980.75070300684</v>
      </c>
      <c r="R285" s="78">
        <f t="shared" si="144"/>
        <v>281091.97172112495</v>
      </c>
      <c r="S285" s="1">
        <f t="shared" si="145"/>
        <v>262341.03847901808</v>
      </c>
      <c r="T285" s="78">
        <f t="shared" si="146"/>
        <v>291492.37467480655</v>
      </c>
      <c r="U285" s="1">
        <f t="shared" si="147"/>
        <v>269686.5875564306</v>
      </c>
      <c r="V285" s="99">
        <f t="shared" si="148"/>
        <v>299654.16116570111</v>
      </c>
      <c r="W285" s="78">
        <f t="shared" si="149"/>
        <v>273731.88636977703</v>
      </c>
      <c r="X285" s="78">
        <f t="shared" si="150"/>
        <v>304148.97358318657</v>
      </c>
      <c r="Y285" s="78">
        <f t="shared" si="151"/>
        <v>278111.59655169345</v>
      </c>
      <c r="Z285" s="78">
        <f t="shared" si="152"/>
        <v>309015.35716051754</v>
      </c>
      <c r="AA285" s="78">
        <f t="shared" si="153"/>
        <v>283395.71688617562</v>
      </c>
      <c r="AB285" s="78">
        <f t="shared" si="154"/>
        <v>314886.64894656732</v>
      </c>
      <c r="AC285" s="1">
        <f t="shared" si="155"/>
        <v>288780.23550701293</v>
      </c>
      <c r="AD285" s="78">
        <f t="shared" si="156"/>
        <v>320869.49527655204</v>
      </c>
      <c r="AE285" s="1">
        <f t="shared" si="157"/>
        <v>294844.62045266019</v>
      </c>
      <c r="AF285" s="78">
        <f t="shared" si="158"/>
        <v>327607.7546773596</v>
      </c>
      <c r="AG285" s="141">
        <f t="shared" si="159"/>
        <v>298677.60051854473</v>
      </c>
      <c r="AH285" s="140">
        <f t="shared" si="160"/>
        <v>331866.65548816521</v>
      </c>
      <c r="AI285" s="141">
        <f t="shared" si="161"/>
        <v>304651.15252891561</v>
      </c>
      <c r="AJ285" s="140">
        <f t="shared" si="162"/>
        <v>338503.98859792855</v>
      </c>
      <c r="AK285" s="141">
        <f t="shared" si="163"/>
        <v>313486.03595225414</v>
      </c>
      <c r="AL285" s="140">
        <f t="shared" si="164"/>
        <v>348320.60426726844</v>
      </c>
      <c r="AM285" s="141">
        <f t="shared" si="165"/>
        <v>333235.65621724614</v>
      </c>
      <c r="AN285" s="141">
        <f t="shared" si="166"/>
        <v>370264.80233610631</v>
      </c>
    </row>
    <row r="286" spans="1:40">
      <c r="A286" s="56">
        <v>340801</v>
      </c>
      <c r="B286" s="162">
        <v>34080100</v>
      </c>
      <c r="C286" s="86" t="s">
        <v>371</v>
      </c>
      <c r="D286" s="16">
        <v>14273.303253324561</v>
      </c>
      <c r="E286" s="17">
        <f t="shared" si="167"/>
        <v>14986.968415990788</v>
      </c>
      <c r="F286" s="57">
        <f>E286*1.045</f>
        <v>15661.381994710373</v>
      </c>
      <c r="G286" s="57">
        <f t="shared" si="137"/>
        <v>16206.398088126292</v>
      </c>
      <c r="H286" s="57">
        <f t="shared" si="138"/>
        <v>18007.253043678887</v>
      </c>
      <c r="I286" s="57">
        <f t="shared" si="139"/>
        <v>16643.970836505701</v>
      </c>
      <c r="J286" s="57">
        <f t="shared" si="139"/>
        <v>18493.448875858216</v>
      </c>
      <c r="K286" s="57">
        <f t="shared" si="140"/>
        <v>17043.426136581838</v>
      </c>
      <c r="L286" s="9">
        <f t="shared" si="140"/>
        <v>18937.291648878814</v>
      </c>
      <c r="M286" s="9">
        <f t="shared" si="141"/>
        <v>17503.598642269546</v>
      </c>
      <c r="N286" s="9">
        <f t="shared" si="141"/>
        <v>19448.598523398541</v>
      </c>
      <c r="O286" s="78">
        <f t="shared" si="142"/>
        <v>17888.677812399477</v>
      </c>
      <c r="P286" s="78">
        <f t="shared" si="142"/>
        <v>19876.467690913309</v>
      </c>
      <c r="Q286" s="1">
        <f t="shared" si="143"/>
        <v>18318.006079897066</v>
      </c>
      <c r="R286" s="78">
        <f t="shared" si="144"/>
        <v>20353.502915495228</v>
      </c>
      <c r="S286" s="1">
        <f t="shared" si="145"/>
        <v>18995.772304853257</v>
      </c>
      <c r="T286" s="78">
        <f t="shared" si="146"/>
        <v>21106.58252336855</v>
      </c>
      <c r="U286" s="1">
        <f t="shared" si="147"/>
        <v>19527.653929389147</v>
      </c>
      <c r="V286" s="99">
        <f t="shared" si="148"/>
        <v>21697.566834022869</v>
      </c>
      <c r="W286" s="78">
        <f t="shared" si="149"/>
        <v>19820.568738329981</v>
      </c>
      <c r="X286" s="78">
        <f t="shared" si="150"/>
        <v>22023.030336533211</v>
      </c>
      <c r="Y286" s="78">
        <f t="shared" si="151"/>
        <v>20137.69783814326</v>
      </c>
      <c r="Z286" s="78">
        <f t="shared" si="152"/>
        <v>22375.398821917744</v>
      </c>
      <c r="AA286" s="78">
        <f t="shared" si="153"/>
        <v>20520.314097067981</v>
      </c>
      <c r="AB286" s="78">
        <f t="shared" si="154"/>
        <v>22800.531399534178</v>
      </c>
      <c r="AC286" s="1">
        <f t="shared" si="155"/>
        <v>20910.200064912271</v>
      </c>
      <c r="AD286" s="78">
        <f t="shared" si="156"/>
        <v>23233.741496125327</v>
      </c>
      <c r="AE286" s="1">
        <f t="shared" si="157"/>
        <v>21349.314266275425</v>
      </c>
      <c r="AF286" s="78">
        <f t="shared" si="158"/>
        <v>23721.650067543957</v>
      </c>
      <c r="AG286" s="141">
        <f t="shared" si="159"/>
        <v>21626.855351737002</v>
      </c>
      <c r="AH286" s="140">
        <f t="shared" si="160"/>
        <v>24030.031518422027</v>
      </c>
      <c r="AI286" s="141">
        <f t="shared" si="161"/>
        <v>22059.392458771741</v>
      </c>
      <c r="AJ286" s="140">
        <f t="shared" si="162"/>
        <v>24510.632148790468</v>
      </c>
      <c r="AK286" s="141">
        <f t="shared" si="163"/>
        <v>22699.114840076119</v>
      </c>
      <c r="AL286" s="140">
        <f t="shared" si="164"/>
        <v>25221.44048110539</v>
      </c>
      <c r="AM286" s="141">
        <f t="shared" si="165"/>
        <v>24129.159075000913</v>
      </c>
      <c r="AN286" s="141">
        <f t="shared" si="166"/>
        <v>26810.391231415029</v>
      </c>
    </row>
    <row r="287" spans="1:40">
      <c r="A287" s="56">
        <v>340802</v>
      </c>
      <c r="B287" s="162">
        <v>34080200</v>
      </c>
      <c r="C287" s="86" t="s">
        <v>372</v>
      </c>
      <c r="D287" s="16">
        <v>8176.5397602769963</v>
      </c>
      <c r="E287" s="17">
        <f t="shared" si="167"/>
        <v>8585.3667482908459</v>
      </c>
      <c r="F287" s="57">
        <f>E287*1.045</f>
        <v>8971.7082519639334</v>
      </c>
      <c r="G287" s="57">
        <f t="shared" si="137"/>
        <v>9283.9236991322778</v>
      </c>
      <c r="H287" s="57">
        <f t="shared" si="138"/>
        <v>10315.553300579857</v>
      </c>
      <c r="I287" s="57">
        <f t="shared" si="139"/>
        <v>9534.5896390088492</v>
      </c>
      <c r="J287" s="57">
        <f t="shared" si="139"/>
        <v>10594.073239695512</v>
      </c>
      <c r="K287" s="57">
        <f t="shared" si="140"/>
        <v>9763.4197903450622</v>
      </c>
      <c r="L287" s="9">
        <f t="shared" si="140"/>
        <v>10848.330997448204</v>
      </c>
      <c r="M287" s="9">
        <f t="shared" si="141"/>
        <v>10027.032124684378</v>
      </c>
      <c r="N287" s="9">
        <f t="shared" si="141"/>
        <v>11141.235934379303</v>
      </c>
      <c r="O287" s="78">
        <f t="shared" si="142"/>
        <v>10247.626831427435</v>
      </c>
      <c r="P287" s="78">
        <f t="shared" si="142"/>
        <v>11386.343124935647</v>
      </c>
      <c r="Q287" s="1">
        <f t="shared" si="143"/>
        <v>10493.569875381694</v>
      </c>
      <c r="R287" s="78">
        <f t="shared" si="144"/>
        <v>11659.615359934103</v>
      </c>
      <c r="S287" s="1">
        <f t="shared" si="145"/>
        <v>10881.831960770816</v>
      </c>
      <c r="T287" s="78">
        <f t="shared" si="146"/>
        <v>12091.021128251665</v>
      </c>
      <c r="U287" s="1">
        <f t="shared" si="147"/>
        <v>11186.523255672399</v>
      </c>
      <c r="V287" s="99">
        <f t="shared" si="148"/>
        <v>12429.569719842711</v>
      </c>
      <c r="W287" s="78">
        <f t="shared" si="149"/>
        <v>11354.321104507484</v>
      </c>
      <c r="X287" s="78">
        <f t="shared" si="150"/>
        <v>12616.013265640351</v>
      </c>
      <c r="Y287" s="78">
        <f t="shared" si="151"/>
        <v>11535.990242179603</v>
      </c>
      <c r="Z287" s="78">
        <f t="shared" si="152"/>
        <v>12817.869477890597</v>
      </c>
      <c r="AA287" s="78">
        <f t="shared" si="153"/>
        <v>11755.174056781014</v>
      </c>
      <c r="AB287" s="78">
        <f t="shared" si="154"/>
        <v>13061.408997970517</v>
      </c>
      <c r="AC287" s="1">
        <f t="shared" si="155"/>
        <v>11978.522363859853</v>
      </c>
      <c r="AD287" s="78">
        <f t="shared" si="156"/>
        <v>13309.575768931956</v>
      </c>
      <c r="AE287" s="1">
        <f t="shared" si="157"/>
        <v>12230.071333500908</v>
      </c>
      <c r="AF287" s="78">
        <f t="shared" si="158"/>
        <v>13589.076860079525</v>
      </c>
      <c r="AG287" s="141">
        <f t="shared" si="159"/>
        <v>12389.062260836417</v>
      </c>
      <c r="AH287" s="140">
        <f t="shared" si="160"/>
        <v>13765.734859260558</v>
      </c>
      <c r="AI287" s="141">
        <f t="shared" si="161"/>
        <v>12636.843506053146</v>
      </c>
      <c r="AJ287" s="140">
        <f t="shared" si="162"/>
        <v>14041.049556445769</v>
      </c>
      <c r="AK287" s="141">
        <f t="shared" si="163"/>
        <v>13003.311967728687</v>
      </c>
      <c r="AL287" s="140">
        <f t="shared" si="164"/>
        <v>14448.239993582694</v>
      </c>
      <c r="AM287" s="141">
        <f t="shared" si="165"/>
        <v>13822.520621695594</v>
      </c>
      <c r="AN287" s="141">
        <f t="shared" si="166"/>
        <v>15358.479113178404</v>
      </c>
    </row>
    <row r="288" spans="1:40">
      <c r="A288" s="56">
        <v>340807</v>
      </c>
      <c r="B288" s="162">
        <v>34080701</v>
      </c>
      <c r="C288" s="86" t="s">
        <v>373</v>
      </c>
      <c r="D288" s="16">
        <v>38510.753503527354</v>
      </c>
      <c r="E288" s="17">
        <f t="shared" si="167"/>
        <v>40436.291178703723</v>
      </c>
      <c r="F288" s="57">
        <f>E288*1.045</f>
        <v>42255.924281745385</v>
      </c>
      <c r="G288" s="57">
        <f t="shared" si="137"/>
        <v>43726.430446750121</v>
      </c>
      <c r="H288" s="57">
        <f t="shared" si="138"/>
        <v>48585.311397992999</v>
      </c>
      <c r="I288" s="57">
        <f t="shared" si="139"/>
        <v>44907.044068812371</v>
      </c>
      <c r="J288" s="57">
        <f t="shared" si="139"/>
        <v>49897.114805738805</v>
      </c>
      <c r="K288" s="57">
        <f t="shared" si="140"/>
        <v>45984.813126463865</v>
      </c>
      <c r="L288" s="9">
        <f t="shared" si="140"/>
        <v>51094.645561076541</v>
      </c>
      <c r="M288" s="9">
        <f t="shared" si="141"/>
        <v>47226.403080878386</v>
      </c>
      <c r="N288" s="9">
        <f t="shared" si="141"/>
        <v>52474.200991225604</v>
      </c>
      <c r="O288" s="78">
        <f t="shared" si="142"/>
        <v>48265.383948657713</v>
      </c>
      <c r="P288" s="78">
        <f t="shared" si="142"/>
        <v>53628.63341303257</v>
      </c>
      <c r="Q288" s="1">
        <f t="shared" si="143"/>
        <v>49423.753163425499</v>
      </c>
      <c r="R288" s="78">
        <f t="shared" si="144"/>
        <v>54915.720614945356</v>
      </c>
      <c r="S288" s="1">
        <f t="shared" si="145"/>
        <v>51252.432030472242</v>
      </c>
      <c r="T288" s="78">
        <f t="shared" si="146"/>
        <v>56947.60227769833</v>
      </c>
      <c r="U288" s="1">
        <f t="shared" si="147"/>
        <v>52687.500127325467</v>
      </c>
      <c r="V288" s="99">
        <f t="shared" si="148"/>
        <v>58542.135141473882</v>
      </c>
      <c r="W288" s="78">
        <f t="shared" si="149"/>
        <v>53477.812629235341</v>
      </c>
      <c r="X288" s="78">
        <f t="shared" si="150"/>
        <v>59420.267168595987</v>
      </c>
      <c r="Y288" s="78">
        <f t="shared" si="151"/>
        <v>54333.457631303107</v>
      </c>
      <c r="Z288" s="78">
        <f t="shared" si="152"/>
        <v>60370.991443293526</v>
      </c>
      <c r="AA288" s="78">
        <f t="shared" si="153"/>
        <v>55365.793326297862</v>
      </c>
      <c r="AB288" s="78">
        <f t="shared" si="154"/>
        <v>61518.040280716094</v>
      </c>
      <c r="AC288" s="1">
        <f t="shared" si="155"/>
        <v>56417.743399497514</v>
      </c>
      <c r="AD288" s="78">
        <f t="shared" si="156"/>
        <v>62686.88304604969</v>
      </c>
      <c r="AE288" s="1">
        <f t="shared" si="157"/>
        <v>57602.51601088696</v>
      </c>
      <c r="AF288" s="78">
        <f t="shared" si="158"/>
        <v>64003.307590016731</v>
      </c>
      <c r="AG288" s="141">
        <f t="shared" si="159"/>
        <v>58351.348719028487</v>
      </c>
      <c r="AH288" s="140">
        <f t="shared" si="160"/>
        <v>64835.350588686946</v>
      </c>
      <c r="AI288" s="141">
        <f t="shared" si="161"/>
        <v>59518.375693409056</v>
      </c>
      <c r="AJ288" s="140">
        <f t="shared" si="162"/>
        <v>66132.057600460685</v>
      </c>
      <c r="AK288" s="141">
        <f t="shared" si="163"/>
        <v>61244.408588517916</v>
      </c>
      <c r="AL288" s="140">
        <f t="shared" si="164"/>
        <v>68049.887270874038</v>
      </c>
      <c r="AM288" s="141">
        <f t="shared" si="165"/>
        <v>65102.806329594539</v>
      </c>
      <c r="AN288" s="141">
        <f t="shared" si="166"/>
        <v>72337.030168939105</v>
      </c>
    </row>
    <row r="289" spans="1:40">
      <c r="A289" s="56">
        <v>340810</v>
      </c>
      <c r="B289" s="162">
        <v>34081000</v>
      </c>
      <c r="C289" s="86" t="s">
        <v>374</v>
      </c>
      <c r="D289" s="16">
        <v>269284.4532753423</v>
      </c>
      <c r="E289" s="17">
        <f t="shared" si="167"/>
        <v>282748.67593910941</v>
      </c>
      <c r="F289" s="57">
        <f>E289*1.045</f>
        <v>295472.36635636934</v>
      </c>
      <c r="G289" s="57">
        <f t="shared" si="137"/>
        <v>305754.80470557098</v>
      </c>
      <c r="H289" s="57">
        <f t="shared" si="138"/>
        <v>339730.27860445407</v>
      </c>
      <c r="I289" s="57">
        <f t="shared" si="139"/>
        <v>314010.18443262135</v>
      </c>
      <c r="J289" s="57">
        <f t="shared" si="139"/>
        <v>348902.99612677429</v>
      </c>
      <c r="K289" s="57">
        <f t="shared" si="140"/>
        <v>321546.42885900429</v>
      </c>
      <c r="L289" s="9">
        <f t="shared" si="140"/>
        <v>357276.66803381691</v>
      </c>
      <c r="M289" s="9">
        <f t="shared" si="141"/>
        <v>330228.18243819737</v>
      </c>
      <c r="N289" s="9">
        <f t="shared" si="141"/>
        <v>366923.13807072991</v>
      </c>
      <c r="O289" s="78">
        <f t="shared" si="142"/>
        <v>337493.20245183771</v>
      </c>
      <c r="P289" s="78">
        <f t="shared" si="142"/>
        <v>374995.44710828597</v>
      </c>
      <c r="Q289" s="1">
        <f t="shared" si="143"/>
        <v>345593.03931068181</v>
      </c>
      <c r="R289" s="78">
        <f t="shared" si="144"/>
        <v>383995.33783888485</v>
      </c>
      <c r="S289" s="1">
        <f t="shared" si="145"/>
        <v>358379.98176517698</v>
      </c>
      <c r="T289" s="78">
        <f t="shared" si="146"/>
        <v>398203.16533892357</v>
      </c>
      <c r="U289" s="1">
        <f t="shared" si="147"/>
        <v>368414.62125460192</v>
      </c>
      <c r="V289" s="99">
        <f t="shared" si="148"/>
        <v>409352.85396841343</v>
      </c>
      <c r="W289" s="78">
        <f t="shared" si="149"/>
        <v>373940.84057342092</v>
      </c>
      <c r="X289" s="78">
        <f t="shared" si="150"/>
        <v>415493.14677793958</v>
      </c>
      <c r="Y289" s="78">
        <f t="shared" si="151"/>
        <v>379923.89402259566</v>
      </c>
      <c r="Z289" s="78">
        <f t="shared" si="152"/>
        <v>422141.0371263866</v>
      </c>
      <c r="AA289" s="78">
        <f t="shared" si="153"/>
        <v>387142.44800902496</v>
      </c>
      <c r="AB289" s="78">
        <f t="shared" si="154"/>
        <v>430161.7168317879</v>
      </c>
      <c r="AC289" s="1">
        <f t="shared" si="155"/>
        <v>394498.15452119638</v>
      </c>
      <c r="AD289" s="78">
        <f t="shared" si="156"/>
        <v>438334.78945159185</v>
      </c>
      <c r="AE289" s="1">
        <f t="shared" si="157"/>
        <v>402782.61576614145</v>
      </c>
      <c r="AF289" s="78">
        <f t="shared" si="158"/>
        <v>447539.82003007521</v>
      </c>
      <c r="AG289" s="141">
        <f t="shared" si="159"/>
        <v>408018.78977110126</v>
      </c>
      <c r="AH289" s="140">
        <f t="shared" si="160"/>
        <v>453357.83769046614</v>
      </c>
      <c r="AI289" s="141">
        <f t="shared" si="161"/>
        <v>416179.16556652327</v>
      </c>
      <c r="AJ289" s="140">
        <f t="shared" si="162"/>
        <v>462424.99444427545</v>
      </c>
      <c r="AK289" s="141">
        <f t="shared" si="163"/>
        <v>428248.36136795243</v>
      </c>
      <c r="AL289" s="140">
        <f t="shared" si="164"/>
        <v>475835.31928315939</v>
      </c>
      <c r="AM289" s="141">
        <f t="shared" si="165"/>
        <v>455228.00813413342</v>
      </c>
      <c r="AN289" s="141">
        <f t="shared" si="166"/>
        <v>505812.94439799839</v>
      </c>
    </row>
    <row r="290" spans="1:40">
      <c r="A290" s="56">
        <v>380410</v>
      </c>
      <c r="B290" s="162">
        <v>34081001</v>
      </c>
      <c r="C290" s="86" t="s">
        <v>375</v>
      </c>
      <c r="D290" s="16">
        <v>268663.57536607294</v>
      </c>
      <c r="E290" s="17">
        <f t="shared" si="167"/>
        <v>282096.75413437659</v>
      </c>
      <c r="F290" s="57">
        <f>E290*1.045</f>
        <v>294791.10807042354</v>
      </c>
      <c r="G290" s="57">
        <f t="shared" si="137"/>
        <v>305049.83863127424</v>
      </c>
      <c r="H290" s="57">
        <f t="shared" si="138"/>
        <v>338946.97669998149</v>
      </c>
      <c r="I290" s="57">
        <f t="shared" si="139"/>
        <v>313286.18427431863</v>
      </c>
      <c r="J290" s="57">
        <f t="shared" si="139"/>
        <v>348098.54507088097</v>
      </c>
      <c r="K290" s="57">
        <f t="shared" si="140"/>
        <v>320805.0526969023</v>
      </c>
      <c r="L290" s="9">
        <f t="shared" si="140"/>
        <v>356452.9101525821</v>
      </c>
      <c r="M290" s="9">
        <f t="shared" si="141"/>
        <v>329466.78911971865</v>
      </c>
      <c r="N290" s="9">
        <f t="shared" si="141"/>
        <v>366077.13872670179</v>
      </c>
      <c r="O290" s="78">
        <f t="shared" si="142"/>
        <v>336715.05848035245</v>
      </c>
      <c r="P290" s="78">
        <f t="shared" si="142"/>
        <v>374130.83577868924</v>
      </c>
      <c r="Q290" s="1">
        <f t="shared" si="143"/>
        <v>344796.21988388093</v>
      </c>
      <c r="R290" s="78">
        <f t="shared" si="144"/>
        <v>383109.97583737777</v>
      </c>
      <c r="S290" s="1">
        <f t="shared" si="145"/>
        <v>357553.68001958448</v>
      </c>
      <c r="T290" s="78">
        <f t="shared" si="146"/>
        <v>397285.04494336073</v>
      </c>
      <c r="U290" s="1">
        <f t="shared" si="147"/>
        <v>367565.18306013284</v>
      </c>
      <c r="V290" s="99">
        <f t="shared" si="148"/>
        <v>408409.02620177483</v>
      </c>
      <c r="W290" s="78">
        <f t="shared" si="149"/>
        <v>373078.66080603481</v>
      </c>
      <c r="X290" s="78">
        <f t="shared" si="150"/>
        <v>414535.16159480141</v>
      </c>
      <c r="Y290" s="78">
        <f t="shared" si="151"/>
        <v>379047.91937893134</v>
      </c>
      <c r="Z290" s="78">
        <f t="shared" si="152"/>
        <v>421167.72418031824</v>
      </c>
      <c r="AA290" s="78">
        <f t="shared" si="153"/>
        <v>386249.82984713098</v>
      </c>
      <c r="AB290" s="78">
        <f t="shared" si="154"/>
        <v>429169.91093974427</v>
      </c>
      <c r="AC290" s="1">
        <f t="shared" si="155"/>
        <v>393588.57661422645</v>
      </c>
      <c r="AD290" s="78">
        <f t="shared" si="156"/>
        <v>437324.13924759935</v>
      </c>
      <c r="AE290" s="1">
        <f t="shared" si="157"/>
        <v>401853.93672312517</v>
      </c>
      <c r="AF290" s="78">
        <f t="shared" si="158"/>
        <v>446507.94617179892</v>
      </c>
      <c r="AG290" s="141">
        <f t="shared" si="159"/>
        <v>407078.03790052573</v>
      </c>
      <c r="AH290" s="140">
        <f t="shared" si="160"/>
        <v>452312.54947203223</v>
      </c>
      <c r="AI290" s="141">
        <f t="shared" si="161"/>
        <v>415219.59865853627</v>
      </c>
      <c r="AJ290" s="140">
        <f t="shared" si="162"/>
        <v>461358.80046147289</v>
      </c>
      <c r="AK290" s="141">
        <f t="shared" si="163"/>
        <v>427260.9670196338</v>
      </c>
      <c r="AL290" s="140">
        <f t="shared" si="164"/>
        <v>474738.20567485556</v>
      </c>
      <c r="AM290" s="141">
        <f t="shared" si="165"/>
        <v>454178.40794187068</v>
      </c>
      <c r="AN290" s="141">
        <f t="shared" si="166"/>
        <v>504646.71263237146</v>
      </c>
    </row>
    <row r="291" spans="1:40">
      <c r="A291" s="56">
        <v>340811</v>
      </c>
      <c r="B291" s="162">
        <v>34081100</v>
      </c>
      <c r="C291" s="86" t="s">
        <v>376</v>
      </c>
      <c r="D291" s="16">
        <v>30013.292045333263</v>
      </c>
      <c r="E291" s="17">
        <f t="shared" si="167"/>
        <v>31513.956647599927</v>
      </c>
      <c r="F291" s="57">
        <f>E291*1.045</f>
        <v>32932.08469674192</v>
      </c>
      <c r="G291" s="57">
        <f t="shared" si="137"/>
        <v>34078.121244188536</v>
      </c>
      <c r="H291" s="57">
        <f t="shared" si="138"/>
        <v>37864.882076842769</v>
      </c>
      <c r="I291" s="57">
        <f t="shared" si="139"/>
        <v>34998.230517781623</v>
      </c>
      <c r="J291" s="57">
        <f t="shared" si="139"/>
        <v>38887.233892917517</v>
      </c>
      <c r="K291" s="57">
        <f t="shared" si="140"/>
        <v>35838.18805020838</v>
      </c>
      <c r="L291" s="9">
        <f t="shared" si="140"/>
        <v>39820.527506347535</v>
      </c>
      <c r="M291" s="9">
        <f t="shared" si="141"/>
        <v>36805.819127564006</v>
      </c>
      <c r="N291" s="9">
        <f t="shared" si="141"/>
        <v>40895.681749018913</v>
      </c>
      <c r="O291" s="78">
        <f t="shared" si="142"/>
        <v>37615.547148370417</v>
      </c>
      <c r="P291" s="78">
        <f t="shared" si="142"/>
        <v>41795.38674749733</v>
      </c>
      <c r="Q291" s="1">
        <f t="shared" si="143"/>
        <v>38518.320279931308</v>
      </c>
      <c r="R291" s="78">
        <f t="shared" si="144"/>
        <v>42798.476029437268</v>
      </c>
      <c r="S291" s="1">
        <f t="shared" si="145"/>
        <v>39943.498130288761</v>
      </c>
      <c r="T291" s="78">
        <f t="shared" si="146"/>
        <v>44382.019642526444</v>
      </c>
      <c r="U291" s="1">
        <f t="shared" si="147"/>
        <v>41061.916077936847</v>
      </c>
      <c r="V291" s="99">
        <f t="shared" si="148"/>
        <v>45624.716192517182</v>
      </c>
      <c r="W291" s="78">
        <f t="shared" si="149"/>
        <v>41677.844819105892</v>
      </c>
      <c r="X291" s="78">
        <f t="shared" si="150"/>
        <v>46309.086935404936</v>
      </c>
      <c r="Y291" s="78">
        <f t="shared" si="151"/>
        <v>42344.690336211585</v>
      </c>
      <c r="Z291" s="78">
        <f t="shared" si="152"/>
        <v>47050.032326371416</v>
      </c>
      <c r="AA291" s="78">
        <f t="shared" si="153"/>
        <v>43149.239452599599</v>
      </c>
      <c r="AB291" s="78">
        <f t="shared" si="154"/>
        <v>47943.982940572467</v>
      </c>
      <c r="AC291" s="1">
        <f t="shared" si="155"/>
        <v>43969.075002198988</v>
      </c>
      <c r="AD291" s="78">
        <f t="shared" si="156"/>
        <v>48854.918616443341</v>
      </c>
      <c r="AE291" s="1">
        <f t="shared" si="157"/>
        <v>44892.425577245165</v>
      </c>
      <c r="AF291" s="78">
        <f t="shared" si="158"/>
        <v>49880.871907388646</v>
      </c>
      <c r="AG291" s="141">
        <f t="shared" si="159"/>
        <v>45476.027109749346</v>
      </c>
      <c r="AH291" s="140">
        <f t="shared" si="160"/>
        <v>50529.323242184691</v>
      </c>
      <c r="AI291" s="141">
        <f t="shared" si="161"/>
        <v>46385.547651944333</v>
      </c>
      <c r="AJ291" s="140">
        <f t="shared" si="162"/>
        <v>51539.90970702839</v>
      </c>
      <c r="AK291" s="141">
        <f t="shared" si="163"/>
        <v>47730.728533850714</v>
      </c>
      <c r="AL291" s="140">
        <f t="shared" si="164"/>
        <v>53034.567088532211</v>
      </c>
      <c r="AM291" s="141">
        <f t="shared" si="165"/>
        <v>50737.764431483309</v>
      </c>
      <c r="AN291" s="141">
        <f t="shared" si="166"/>
        <v>56375.744815109734</v>
      </c>
    </row>
    <row r="292" spans="1:40">
      <c r="B292" s="162">
        <v>34081150</v>
      </c>
      <c r="C292" s="86" t="s">
        <v>377</v>
      </c>
      <c r="D292" s="16">
        <v>216340.75931364688</v>
      </c>
      <c r="E292" s="17">
        <f t="shared" si="167"/>
        <v>227157.79727932924</v>
      </c>
      <c r="F292" s="57">
        <f>E292*1.045</f>
        <v>237379.89815689906</v>
      </c>
      <c r="G292" s="57">
        <f t="shared" si="137"/>
        <v>245640.71861275914</v>
      </c>
      <c r="H292" s="57">
        <f t="shared" si="138"/>
        <v>272936.31526500895</v>
      </c>
      <c r="I292" s="57">
        <f t="shared" si="139"/>
        <v>252273.01801530362</v>
      </c>
      <c r="J292" s="57">
        <f t="shared" si="139"/>
        <v>280305.59577716416</v>
      </c>
      <c r="K292" s="57">
        <f t="shared" si="140"/>
        <v>258327.57044767091</v>
      </c>
      <c r="L292" s="9">
        <f t="shared" si="140"/>
        <v>287032.93007581611</v>
      </c>
      <c r="M292" s="9">
        <f t="shared" si="141"/>
        <v>265302.41484975797</v>
      </c>
      <c r="N292" s="9">
        <f t="shared" si="141"/>
        <v>294782.81918786315</v>
      </c>
      <c r="O292" s="78">
        <f t="shared" si="142"/>
        <v>271139.06797645264</v>
      </c>
      <c r="P292" s="78">
        <f t="shared" si="142"/>
        <v>301268.04120999615</v>
      </c>
      <c r="Q292" s="1">
        <f t="shared" si="143"/>
        <v>277646.40560788749</v>
      </c>
      <c r="R292" s="78">
        <f t="shared" si="144"/>
        <v>308498.47419903608</v>
      </c>
      <c r="S292" s="1">
        <f t="shared" si="145"/>
        <v>287919.32261537929</v>
      </c>
      <c r="T292" s="78">
        <f t="shared" si="146"/>
        <v>319912.91774440039</v>
      </c>
      <c r="U292" s="1">
        <f t="shared" si="147"/>
        <v>295981.06364860991</v>
      </c>
      <c r="V292" s="99">
        <f t="shared" si="148"/>
        <v>328870.47944124363</v>
      </c>
      <c r="W292" s="78">
        <f t="shared" si="149"/>
        <v>300420.77960333903</v>
      </c>
      <c r="X292" s="78">
        <f t="shared" si="150"/>
        <v>333803.53663286223</v>
      </c>
      <c r="Y292" s="78">
        <f t="shared" si="151"/>
        <v>305227.51207699248</v>
      </c>
      <c r="Z292" s="78">
        <f t="shared" si="152"/>
        <v>339144.39321898803</v>
      </c>
      <c r="AA292" s="78">
        <f t="shared" si="153"/>
        <v>311026.8348064553</v>
      </c>
      <c r="AB292" s="78">
        <f t="shared" si="154"/>
        <v>345588.13669014879</v>
      </c>
      <c r="AC292" s="1">
        <f t="shared" si="155"/>
        <v>316936.34466777794</v>
      </c>
      <c r="AD292" s="78">
        <f t="shared" si="156"/>
        <v>352154.3112872616</v>
      </c>
      <c r="AE292" s="1">
        <f t="shared" si="157"/>
        <v>323592.00790580123</v>
      </c>
      <c r="AF292" s="78">
        <f t="shared" si="158"/>
        <v>359549.55182429409</v>
      </c>
      <c r="AG292" s="141">
        <f t="shared" si="159"/>
        <v>327798.70400857663</v>
      </c>
      <c r="AH292" s="140">
        <f t="shared" si="160"/>
        <v>364223.69599800988</v>
      </c>
      <c r="AI292" s="141">
        <f t="shared" si="161"/>
        <v>334354.67808874819</v>
      </c>
      <c r="AJ292" s="140">
        <f t="shared" si="162"/>
        <v>371508.16991797008</v>
      </c>
      <c r="AK292" s="141">
        <f t="shared" si="163"/>
        <v>344050.96375332185</v>
      </c>
      <c r="AL292" s="140">
        <f t="shared" si="164"/>
        <v>382281.90684559121</v>
      </c>
      <c r="AM292" s="141">
        <f t="shared" si="165"/>
        <v>365726.17446978111</v>
      </c>
      <c r="AN292" s="141">
        <f t="shared" si="166"/>
        <v>406365.6669768634</v>
      </c>
    </row>
    <row r="293" spans="1:40">
      <c r="B293" s="162">
        <v>34081151</v>
      </c>
      <c r="C293" s="86" t="s">
        <v>378</v>
      </c>
      <c r="D293" s="16">
        <v>234543.44400964386</v>
      </c>
      <c r="E293" s="17">
        <f t="shared" si="167"/>
        <v>246270.61621012606</v>
      </c>
      <c r="F293" s="57">
        <f>E293*1.045</f>
        <v>257352.79393958172</v>
      </c>
      <c r="G293" s="57">
        <f t="shared" si="137"/>
        <v>266308.67116867914</v>
      </c>
      <c r="H293" s="57">
        <f t="shared" si="138"/>
        <v>295900.89070894278</v>
      </c>
      <c r="I293" s="57">
        <f t="shared" si="139"/>
        <v>273499.00529023347</v>
      </c>
      <c r="J293" s="57">
        <f t="shared" si="139"/>
        <v>303890.21475808421</v>
      </c>
      <c r="K293" s="57">
        <f t="shared" si="140"/>
        <v>280062.98141719907</v>
      </c>
      <c r="L293" s="9">
        <f t="shared" si="140"/>
        <v>311183.57991227822</v>
      </c>
      <c r="M293" s="9">
        <f t="shared" si="141"/>
        <v>287624.68191546341</v>
      </c>
      <c r="N293" s="9">
        <f t="shared" si="141"/>
        <v>319585.53656990972</v>
      </c>
      <c r="O293" s="78">
        <f t="shared" si="142"/>
        <v>293952.42491760361</v>
      </c>
      <c r="P293" s="78">
        <f t="shared" si="142"/>
        <v>326616.41837444773</v>
      </c>
      <c r="Q293" s="1">
        <f t="shared" si="143"/>
        <v>301007.28311562608</v>
      </c>
      <c r="R293" s="78">
        <f t="shared" si="144"/>
        <v>334455.21241543448</v>
      </c>
      <c r="S293" s="1">
        <f t="shared" si="145"/>
        <v>312144.55259090423</v>
      </c>
      <c r="T293" s="78">
        <f t="shared" si="146"/>
        <v>346830.05527480552</v>
      </c>
      <c r="U293" s="1">
        <f t="shared" si="147"/>
        <v>320884.60006344959</v>
      </c>
      <c r="V293" s="99">
        <f t="shared" si="148"/>
        <v>356541.29682250007</v>
      </c>
      <c r="W293" s="78">
        <f t="shared" si="149"/>
        <v>325697.86906440131</v>
      </c>
      <c r="X293" s="78">
        <f t="shared" si="150"/>
        <v>361889.41627483751</v>
      </c>
      <c r="Y293" s="78">
        <f t="shared" si="151"/>
        <v>330909.03496943176</v>
      </c>
      <c r="Z293" s="78">
        <f t="shared" si="152"/>
        <v>367679.64693523489</v>
      </c>
      <c r="AA293" s="78">
        <f t="shared" si="153"/>
        <v>337196.30663385091</v>
      </c>
      <c r="AB293" s="78">
        <f t="shared" si="154"/>
        <v>374665.56022700435</v>
      </c>
      <c r="AC293" s="1">
        <f t="shared" si="155"/>
        <v>343603.03645989404</v>
      </c>
      <c r="AD293" s="78">
        <f t="shared" si="156"/>
        <v>381784.20587131742</v>
      </c>
      <c r="AE293" s="1">
        <f t="shared" si="157"/>
        <v>350818.70022555179</v>
      </c>
      <c r="AF293" s="78">
        <f t="shared" si="158"/>
        <v>389801.67419461504</v>
      </c>
      <c r="AG293" s="141">
        <f t="shared" si="159"/>
        <v>355379.34332848393</v>
      </c>
      <c r="AH293" s="140">
        <f t="shared" si="160"/>
        <v>394869.09595914499</v>
      </c>
      <c r="AI293" s="141">
        <f t="shared" si="161"/>
        <v>362486.93019505363</v>
      </c>
      <c r="AJ293" s="140">
        <f t="shared" si="162"/>
        <v>402766.47787832789</v>
      </c>
      <c r="AK293" s="141">
        <f t="shared" si="163"/>
        <v>372999.05117071018</v>
      </c>
      <c r="AL293" s="140">
        <f t="shared" si="164"/>
        <v>414446.70573679934</v>
      </c>
      <c r="AM293" s="141">
        <f t="shared" si="165"/>
        <v>396497.99139446492</v>
      </c>
      <c r="AN293" s="141">
        <f t="shared" si="166"/>
        <v>440556.84819821769</v>
      </c>
    </row>
    <row r="294" spans="1:40">
      <c r="A294" s="56">
        <v>340812</v>
      </c>
      <c r="B294" s="162">
        <v>34081200</v>
      </c>
      <c r="C294" s="86" t="s">
        <v>379</v>
      </c>
      <c r="D294" s="16">
        <v>238011.13548746388</v>
      </c>
      <c r="E294" s="17">
        <f t="shared" si="167"/>
        <v>249911.69226183707</v>
      </c>
      <c r="F294" s="57">
        <f>E294*1.045</f>
        <v>261157.71841361973</v>
      </c>
      <c r="G294" s="57">
        <f t="shared" si="137"/>
        <v>270246.00701441366</v>
      </c>
      <c r="H294" s="57">
        <f t="shared" si="138"/>
        <v>300275.74331385532</v>
      </c>
      <c r="I294" s="57">
        <f t="shared" si="139"/>
        <v>277542.64920380281</v>
      </c>
      <c r="J294" s="57">
        <f t="shared" si="139"/>
        <v>308383.18838332937</v>
      </c>
      <c r="K294" s="57">
        <f t="shared" si="140"/>
        <v>284203.67278469406</v>
      </c>
      <c r="L294" s="9">
        <f t="shared" si="140"/>
        <v>315784.38490452926</v>
      </c>
      <c r="M294" s="9">
        <f t="shared" si="141"/>
        <v>291877.17194988078</v>
      </c>
      <c r="N294" s="9">
        <f t="shared" si="141"/>
        <v>324310.56329695153</v>
      </c>
      <c r="O294" s="78">
        <f t="shared" si="142"/>
        <v>298298.46973277815</v>
      </c>
      <c r="P294" s="78">
        <f t="shared" si="142"/>
        <v>331445.39568948449</v>
      </c>
      <c r="Q294" s="1">
        <f t="shared" si="143"/>
        <v>305457.63300636481</v>
      </c>
      <c r="R294" s="78">
        <f t="shared" si="144"/>
        <v>339400.08518603211</v>
      </c>
      <c r="S294" s="1">
        <f t="shared" si="145"/>
        <v>316759.56542760029</v>
      </c>
      <c r="T294" s="78">
        <f t="shared" si="146"/>
        <v>351957.8883379153</v>
      </c>
      <c r="U294" s="1">
        <f t="shared" si="147"/>
        <v>325628.83325957309</v>
      </c>
      <c r="V294" s="99">
        <f t="shared" si="148"/>
        <v>361812.70921137696</v>
      </c>
      <c r="W294" s="78">
        <f t="shared" si="149"/>
        <v>330513.26575846667</v>
      </c>
      <c r="X294" s="78">
        <f t="shared" si="150"/>
        <v>367239.8998495476</v>
      </c>
      <c r="Y294" s="78">
        <f t="shared" si="151"/>
        <v>335801.47801060212</v>
      </c>
      <c r="Z294" s="78">
        <f t="shared" si="152"/>
        <v>373115.73824714037</v>
      </c>
      <c r="AA294" s="78">
        <f t="shared" si="153"/>
        <v>342181.70609280351</v>
      </c>
      <c r="AB294" s="78">
        <f t="shared" si="154"/>
        <v>380204.937273836</v>
      </c>
      <c r="AC294" s="1">
        <f t="shared" si="155"/>
        <v>348683.15850856673</v>
      </c>
      <c r="AD294" s="78">
        <f t="shared" si="156"/>
        <v>387428.83108203887</v>
      </c>
      <c r="AE294" s="1">
        <f t="shared" si="157"/>
        <v>356005.50483724661</v>
      </c>
      <c r="AF294" s="78">
        <f t="shared" si="158"/>
        <v>395564.83653476165</v>
      </c>
      <c r="AG294" s="141">
        <f t="shared" si="159"/>
        <v>360633.57640013075</v>
      </c>
      <c r="AH294" s="140">
        <f t="shared" si="160"/>
        <v>400707.17940971348</v>
      </c>
      <c r="AI294" s="141">
        <f t="shared" si="161"/>
        <v>367846.24792813335</v>
      </c>
      <c r="AJ294" s="140">
        <f t="shared" si="162"/>
        <v>408721.32299790776</v>
      </c>
      <c r="AK294" s="141">
        <f t="shared" si="163"/>
        <v>378513.7891180492</v>
      </c>
      <c r="AL294" s="140">
        <f t="shared" si="164"/>
        <v>420574.24136484705</v>
      </c>
      <c r="AM294" s="141">
        <f t="shared" si="165"/>
        <v>402360.15783248626</v>
      </c>
      <c r="AN294" s="141">
        <f t="shared" si="166"/>
        <v>447070.41857083241</v>
      </c>
    </row>
    <row r="295" spans="1:40">
      <c r="A295" s="56">
        <v>380813</v>
      </c>
      <c r="B295" s="162">
        <v>34081300</v>
      </c>
      <c r="C295" s="86" t="s">
        <v>380</v>
      </c>
      <c r="D295" s="16">
        <v>7418.487667483555</v>
      </c>
      <c r="E295" s="17">
        <f t="shared" si="167"/>
        <v>7789.4120508577334</v>
      </c>
      <c r="F295" s="57">
        <f>E295*1.045</f>
        <v>8139.9355931463306</v>
      </c>
      <c r="G295" s="57">
        <f t="shared" si="137"/>
        <v>8423.205351787823</v>
      </c>
      <c r="H295" s="57">
        <f t="shared" si="138"/>
        <v>9359.191930478486</v>
      </c>
      <c r="I295" s="57">
        <f t="shared" si="139"/>
        <v>8650.6318962860933</v>
      </c>
      <c r="J295" s="57">
        <f t="shared" si="139"/>
        <v>9611.8901126014043</v>
      </c>
      <c r="K295" s="57">
        <f t="shared" si="140"/>
        <v>8858.2470617969593</v>
      </c>
      <c r="L295" s="9">
        <f t="shared" si="140"/>
        <v>9842.5754753038382</v>
      </c>
      <c r="M295" s="9">
        <f t="shared" si="141"/>
        <v>9097.419732465476</v>
      </c>
      <c r="N295" s="9">
        <f t="shared" si="141"/>
        <v>10108.325013137041</v>
      </c>
      <c r="O295" s="78">
        <f t="shared" si="142"/>
        <v>9297.5629665797169</v>
      </c>
      <c r="P295" s="78">
        <f t="shared" si="142"/>
        <v>10330.708163426056</v>
      </c>
      <c r="Q295" s="1">
        <f t="shared" si="143"/>
        <v>9520.70447777763</v>
      </c>
      <c r="R295" s="78">
        <f t="shared" si="144"/>
        <v>10578.645159348282</v>
      </c>
      <c r="S295" s="1">
        <f t="shared" si="145"/>
        <v>9872.9705434554016</v>
      </c>
      <c r="T295" s="78">
        <f t="shared" si="146"/>
        <v>10970.055030244168</v>
      </c>
      <c r="U295" s="1">
        <f t="shared" si="147"/>
        <v>10149.413718672153</v>
      </c>
      <c r="V295" s="99">
        <f t="shared" si="148"/>
        <v>11277.216571091005</v>
      </c>
      <c r="W295" s="78">
        <f t="shared" si="149"/>
        <v>10301.654924452234</v>
      </c>
      <c r="X295" s="78">
        <f t="shared" si="150"/>
        <v>11446.374819657369</v>
      </c>
      <c r="Y295" s="78">
        <f t="shared" si="151"/>
        <v>10466.48140324347</v>
      </c>
      <c r="Z295" s="78">
        <f t="shared" si="152"/>
        <v>11629.516816771888</v>
      </c>
      <c r="AA295" s="78">
        <f t="shared" si="153"/>
        <v>10665.344549905094</v>
      </c>
      <c r="AB295" s="78">
        <f t="shared" si="154"/>
        <v>11850.477636290552</v>
      </c>
      <c r="AC295" s="1">
        <f t="shared" si="155"/>
        <v>10867.98609635329</v>
      </c>
      <c r="AD295" s="78">
        <f t="shared" si="156"/>
        <v>12075.636711380072</v>
      </c>
      <c r="AE295" s="1">
        <f t="shared" si="157"/>
        <v>11096.213804376708</v>
      </c>
      <c r="AF295" s="78">
        <f t="shared" si="158"/>
        <v>12329.225082319052</v>
      </c>
      <c r="AG295" s="141">
        <f t="shared" si="159"/>
        <v>11240.464583833604</v>
      </c>
      <c r="AH295" s="140">
        <f t="shared" si="160"/>
        <v>12489.505008389198</v>
      </c>
      <c r="AI295" s="141">
        <f t="shared" si="161"/>
        <v>11465.273875510276</v>
      </c>
      <c r="AJ295" s="140">
        <f t="shared" si="162"/>
        <v>12739.295108556982</v>
      </c>
      <c r="AK295" s="141">
        <f t="shared" si="163"/>
        <v>11797.766817900074</v>
      </c>
      <c r="AL295" s="140">
        <f t="shared" si="164"/>
        <v>13108.734666705133</v>
      </c>
      <c r="AM295" s="141">
        <f t="shared" si="165"/>
        <v>12541.026127427778</v>
      </c>
      <c r="AN295" s="141">
        <f t="shared" si="166"/>
        <v>13934.584950707556</v>
      </c>
    </row>
    <row r="296" spans="1:40">
      <c r="A296" s="56">
        <v>340817</v>
      </c>
      <c r="B296" s="162">
        <v>34081700</v>
      </c>
      <c r="C296" s="86" t="s">
        <v>380</v>
      </c>
      <c r="D296" s="16">
        <v>8748.2985295945382</v>
      </c>
      <c r="E296" s="17">
        <f t="shared" si="167"/>
        <v>9185.7134560742652</v>
      </c>
      <c r="F296" s="57">
        <f>E296*1.045</f>
        <v>9599.0705615976058</v>
      </c>
      <c r="G296" s="57">
        <f t="shared" si="137"/>
        <v>9933.118217141202</v>
      </c>
      <c r="H296" s="57">
        <f t="shared" si="138"/>
        <v>11036.886313429934</v>
      </c>
      <c r="I296" s="57">
        <f t="shared" si="139"/>
        <v>10201.312409004013</v>
      </c>
      <c r="J296" s="57">
        <f t="shared" si="139"/>
        <v>11334.88224389254</v>
      </c>
      <c r="K296" s="57">
        <f t="shared" si="140"/>
        <v>10446.143906820109</v>
      </c>
      <c r="L296" s="9">
        <f t="shared" si="140"/>
        <v>11606.919417745961</v>
      </c>
      <c r="M296" s="9">
        <f t="shared" si="141"/>
        <v>10728.189792304251</v>
      </c>
      <c r="N296" s="9">
        <f t="shared" si="141"/>
        <v>11920.306242025101</v>
      </c>
      <c r="O296" s="78">
        <f t="shared" si="142"/>
        <v>10964.209967734945</v>
      </c>
      <c r="P296" s="78">
        <f t="shared" si="142"/>
        <v>12182.552979349653</v>
      </c>
      <c r="Q296" s="1">
        <f t="shared" si="143"/>
        <v>11227.351006960584</v>
      </c>
      <c r="R296" s="78">
        <f t="shared" si="144"/>
        <v>12474.934250854045</v>
      </c>
      <c r="S296" s="1">
        <f t="shared" si="145"/>
        <v>11642.762994218125</v>
      </c>
      <c r="T296" s="78">
        <f t="shared" si="146"/>
        <v>12936.506818135644</v>
      </c>
      <c r="U296" s="1">
        <f t="shared" si="147"/>
        <v>11968.760358056232</v>
      </c>
      <c r="V296" s="99">
        <f t="shared" si="148"/>
        <v>13298.729009043442</v>
      </c>
      <c r="W296" s="78">
        <f t="shared" si="149"/>
        <v>12148.291763427074</v>
      </c>
      <c r="X296" s="78">
        <f t="shared" si="150"/>
        <v>13498.209944179092</v>
      </c>
      <c r="Y296" s="78">
        <f t="shared" si="151"/>
        <v>12342.664431641908</v>
      </c>
      <c r="Z296" s="78">
        <f t="shared" si="152"/>
        <v>13714.181303285957</v>
      </c>
      <c r="AA296" s="78">
        <f t="shared" si="153"/>
        <v>12577.175055843103</v>
      </c>
      <c r="AB296" s="78">
        <f t="shared" si="154"/>
        <v>13974.750748048389</v>
      </c>
      <c r="AC296" s="1">
        <f t="shared" si="155"/>
        <v>12816.141381904121</v>
      </c>
      <c r="AD296" s="78">
        <f t="shared" si="156"/>
        <v>14240.271012261308</v>
      </c>
      <c r="AE296" s="1">
        <f t="shared" si="157"/>
        <v>13085.280350924106</v>
      </c>
      <c r="AF296" s="78">
        <f t="shared" si="158"/>
        <v>14539.316703518794</v>
      </c>
      <c r="AG296" s="141">
        <f t="shared" si="159"/>
        <v>13255.388995486117</v>
      </c>
      <c r="AH296" s="140">
        <f t="shared" si="160"/>
        <v>14728.327820664537</v>
      </c>
      <c r="AI296" s="141">
        <f t="shared" si="161"/>
        <v>13520.496775395839</v>
      </c>
      <c r="AJ296" s="140">
        <f t="shared" si="162"/>
        <v>15022.894377077828</v>
      </c>
      <c r="AK296" s="141">
        <f t="shared" si="163"/>
        <v>13912.591181882317</v>
      </c>
      <c r="AL296" s="140">
        <f t="shared" si="164"/>
        <v>15458.558314013084</v>
      </c>
      <c r="AM296" s="141">
        <f t="shared" si="165"/>
        <v>14789.084426340902</v>
      </c>
      <c r="AN296" s="141">
        <f t="shared" si="166"/>
        <v>16432.447487795907</v>
      </c>
    </row>
    <row r="297" spans="1:40">
      <c r="A297" s="56">
        <v>340818</v>
      </c>
      <c r="B297" s="162">
        <v>34081800</v>
      </c>
      <c r="C297" s="86" t="s">
        <v>381</v>
      </c>
      <c r="D297" s="16">
        <v>238740.88417339491</v>
      </c>
      <c r="E297" s="17">
        <f t="shared" si="167"/>
        <v>250677.92838206465</v>
      </c>
      <c r="F297" s="57">
        <f>E297*1.045</f>
        <v>261958.43515925755</v>
      </c>
      <c r="G297" s="57">
        <f t="shared" si="137"/>
        <v>271074.58870279969</v>
      </c>
      <c r="H297" s="57">
        <f t="shared" si="138"/>
        <v>301196.39699945482</v>
      </c>
      <c r="I297" s="57">
        <f t="shared" si="139"/>
        <v>278393.60259777529</v>
      </c>
      <c r="J297" s="57">
        <f t="shared" si="139"/>
        <v>309328.69971844007</v>
      </c>
      <c r="K297" s="57">
        <f t="shared" si="140"/>
        <v>285075.04906012188</v>
      </c>
      <c r="L297" s="9">
        <f t="shared" si="140"/>
        <v>316752.58851168264</v>
      </c>
      <c r="M297" s="9">
        <f t="shared" si="141"/>
        <v>292772.07538474514</v>
      </c>
      <c r="N297" s="9">
        <f t="shared" si="141"/>
        <v>325304.90840149805</v>
      </c>
      <c r="O297" s="78">
        <f t="shared" si="142"/>
        <v>299213.06104320951</v>
      </c>
      <c r="P297" s="78">
        <f t="shared" si="142"/>
        <v>332461.61638633104</v>
      </c>
      <c r="Q297" s="1">
        <f t="shared" si="143"/>
        <v>306394.17450824653</v>
      </c>
      <c r="R297" s="78">
        <f t="shared" si="144"/>
        <v>340440.695179603</v>
      </c>
      <c r="S297" s="1">
        <f t="shared" si="145"/>
        <v>317730.75896505162</v>
      </c>
      <c r="T297" s="78">
        <f t="shared" si="146"/>
        <v>353037.00090124831</v>
      </c>
      <c r="U297" s="1">
        <f t="shared" si="147"/>
        <v>326627.2202160731</v>
      </c>
      <c r="V297" s="99">
        <f t="shared" si="148"/>
        <v>362922.03692648327</v>
      </c>
      <c r="W297" s="78">
        <f t="shared" si="149"/>
        <v>331526.62851931417</v>
      </c>
      <c r="X297" s="78">
        <f t="shared" si="150"/>
        <v>368365.86748038046</v>
      </c>
      <c r="Y297" s="78">
        <f t="shared" si="151"/>
        <v>336831.05457562319</v>
      </c>
      <c r="Z297" s="78">
        <f t="shared" si="152"/>
        <v>374259.72136006656</v>
      </c>
      <c r="AA297" s="78">
        <f t="shared" si="153"/>
        <v>343230.84461256</v>
      </c>
      <c r="AB297" s="78">
        <f t="shared" si="154"/>
        <v>381370.65606590779</v>
      </c>
      <c r="AC297" s="1">
        <f t="shared" si="155"/>
        <v>349752.23066019861</v>
      </c>
      <c r="AD297" s="78">
        <f t="shared" si="156"/>
        <v>388616.69853116001</v>
      </c>
      <c r="AE297" s="1">
        <f t="shared" si="157"/>
        <v>357097.02750406275</v>
      </c>
      <c r="AF297" s="78">
        <f t="shared" si="158"/>
        <v>396777.64920031436</v>
      </c>
      <c r="AG297" s="141">
        <f t="shared" si="159"/>
        <v>361739.28886161553</v>
      </c>
      <c r="AH297" s="140">
        <f t="shared" si="160"/>
        <v>401935.75863991841</v>
      </c>
      <c r="AI297" s="141">
        <f t="shared" si="161"/>
        <v>368974.07463884784</v>
      </c>
      <c r="AJ297" s="140">
        <f t="shared" si="162"/>
        <v>409974.47381271678</v>
      </c>
      <c r="AK297" s="141">
        <f t="shared" si="163"/>
        <v>379674.32280337438</v>
      </c>
      <c r="AL297" s="140">
        <f t="shared" si="164"/>
        <v>421863.73355328554</v>
      </c>
      <c r="AM297" s="141">
        <f t="shared" si="165"/>
        <v>403593.80513998697</v>
      </c>
      <c r="AN297" s="141">
        <f t="shared" si="166"/>
        <v>448441.1487671425</v>
      </c>
    </row>
    <row r="298" spans="1:40">
      <c r="B298" s="162">
        <v>34081801</v>
      </c>
      <c r="C298" s="86" t="s">
        <v>382</v>
      </c>
      <c r="D298" s="16">
        <v>235571.20211174607</v>
      </c>
      <c r="E298" s="17">
        <f t="shared" si="167"/>
        <v>247349.76221733339</v>
      </c>
      <c r="F298" s="57">
        <f>E298*1.045</f>
        <v>258480.50151711339</v>
      </c>
      <c r="G298" s="57">
        <f t="shared" si="137"/>
        <v>267475.62296990893</v>
      </c>
      <c r="H298" s="57">
        <f t="shared" si="138"/>
        <v>297197.51419432525</v>
      </c>
      <c r="I298" s="57">
        <f t="shared" si="139"/>
        <v>274697.46479009645</v>
      </c>
      <c r="J298" s="57">
        <f t="shared" si="139"/>
        <v>305221.84707757202</v>
      </c>
      <c r="K298" s="57">
        <f t="shared" si="140"/>
        <v>281290.20394505875</v>
      </c>
      <c r="L298" s="9">
        <f t="shared" si="140"/>
        <v>312547.17140743375</v>
      </c>
      <c r="M298" s="9">
        <f t="shared" si="141"/>
        <v>288885.03945157531</v>
      </c>
      <c r="N298" s="9">
        <f t="shared" si="141"/>
        <v>320985.94503543444</v>
      </c>
      <c r="O298" s="78">
        <f t="shared" si="142"/>
        <v>295240.51031950995</v>
      </c>
      <c r="P298" s="78">
        <f t="shared" si="142"/>
        <v>328047.63582621398</v>
      </c>
      <c r="Q298" s="1">
        <f t="shared" si="143"/>
        <v>302326.28256717819</v>
      </c>
      <c r="R298" s="78">
        <f t="shared" si="144"/>
        <v>335920.77908604313</v>
      </c>
      <c r="S298" s="1">
        <f t="shared" si="145"/>
        <v>313512.35502216377</v>
      </c>
      <c r="T298" s="78">
        <f t="shared" si="146"/>
        <v>348349.84791222669</v>
      </c>
      <c r="U298" s="1">
        <f t="shared" si="147"/>
        <v>322290.70096278435</v>
      </c>
      <c r="V298" s="99">
        <f t="shared" si="148"/>
        <v>358103.64365376905</v>
      </c>
      <c r="W298" s="78">
        <f t="shared" si="149"/>
        <v>327125.06147722609</v>
      </c>
      <c r="X298" s="78">
        <f t="shared" si="150"/>
        <v>363475.19830857555</v>
      </c>
      <c r="Y298" s="78">
        <f t="shared" si="151"/>
        <v>332359.06246086169</v>
      </c>
      <c r="Z298" s="78">
        <f t="shared" si="152"/>
        <v>369290.80148151278</v>
      </c>
      <c r="AA298" s="78">
        <f t="shared" si="153"/>
        <v>338673.88464761805</v>
      </c>
      <c r="AB298" s="78">
        <f t="shared" si="154"/>
        <v>376307.32670966152</v>
      </c>
      <c r="AC298" s="1">
        <f t="shared" si="155"/>
        <v>345108.68845592276</v>
      </c>
      <c r="AD298" s="78">
        <f t="shared" si="156"/>
        <v>383457.16591714503</v>
      </c>
      <c r="AE298" s="1">
        <f t="shared" si="157"/>
        <v>352355.97091349709</v>
      </c>
      <c r="AF298" s="78">
        <f t="shared" si="158"/>
        <v>391509.76640140504</v>
      </c>
      <c r="AG298" s="141">
        <f t="shared" si="159"/>
        <v>356936.59853537253</v>
      </c>
      <c r="AH298" s="140">
        <f t="shared" si="160"/>
        <v>396599.39336462325</v>
      </c>
      <c r="AI298" s="141">
        <f t="shared" si="161"/>
        <v>364075.33050608</v>
      </c>
      <c r="AJ298" s="140">
        <f t="shared" si="162"/>
        <v>404531.38123191573</v>
      </c>
      <c r="AK298" s="141">
        <f t="shared" si="163"/>
        <v>374633.51509075629</v>
      </c>
      <c r="AL298" s="140">
        <f t="shared" si="164"/>
        <v>416262.79128764127</v>
      </c>
      <c r="AM298" s="141">
        <f t="shared" si="165"/>
        <v>398235.42654147389</v>
      </c>
      <c r="AN298" s="141">
        <f t="shared" si="166"/>
        <v>442487.34713876265</v>
      </c>
    </row>
    <row r="299" spans="1:40">
      <c r="A299" s="56">
        <v>340819</v>
      </c>
      <c r="B299" s="162">
        <v>34081900</v>
      </c>
      <c r="C299" s="86" t="s">
        <v>380</v>
      </c>
      <c r="D299" s="16">
        <v>7418.487667483555</v>
      </c>
      <c r="E299" s="17">
        <f t="shared" si="167"/>
        <v>7789.4120508577334</v>
      </c>
      <c r="F299" s="57">
        <f>E299*1.045</f>
        <v>8139.9355931463306</v>
      </c>
      <c r="G299" s="57">
        <f t="shared" si="137"/>
        <v>8423.205351787823</v>
      </c>
      <c r="H299" s="57">
        <f t="shared" si="138"/>
        <v>9359.191930478486</v>
      </c>
      <c r="I299" s="57">
        <f t="shared" si="139"/>
        <v>8650.6318962860933</v>
      </c>
      <c r="J299" s="57">
        <f t="shared" si="139"/>
        <v>9611.8901126014043</v>
      </c>
      <c r="K299" s="57">
        <f t="shared" si="140"/>
        <v>8858.2470617969593</v>
      </c>
      <c r="L299" s="9">
        <f t="shared" si="140"/>
        <v>9842.5754753038382</v>
      </c>
      <c r="M299" s="9">
        <f t="shared" si="141"/>
        <v>9097.419732465476</v>
      </c>
      <c r="N299" s="9">
        <f t="shared" si="141"/>
        <v>10108.325013137041</v>
      </c>
      <c r="O299" s="78">
        <f t="shared" si="142"/>
        <v>9297.5629665797169</v>
      </c>
      <c r="P299" s="78">
        <f t="shared" si="142"/>
        <v>10330.708163426056</v>
      </c>
      <c r="Q299" s="1">
        <f t="shared" si="143"/>
        <v>9520.70447777763</v>
      </c>
      <c r="R299" s="78">
        <f t="shared" si="144"/>
        <v>10578.645159348282</v>
      </c>
      <c r="S299" s="1">
        <f t="shared" si="145"/>
        <v>9872.9705434554016</v>
      </c>
      <c r="T299" s="78">
        <f t="shared" si="146"/>
        <v>10970.055030244168</v>
      </c>
      <c r="U299" s="1">
        <f t="shared" si="147"/>
        <v>10149.413718672153</v>
      </c>
      <c r="V299" s="99">
        <f t="shared" si="148"/>
        <v>11277.216571091005</v>
      </c>
      <c r="W299" s="78">
        <f t="shared" si="149"/>
        <v>10301.654924452234</v>
      </c>
      <c r="X299" s="78">
        <f t="shared" si="150"/>
        <v>11446.374819657369</v>
      </c>
      <c r="Y299" s="78">
        <f t="shared" si="151"/>
        <v>10466.48140324347</v>
      </c>
      <c r="Z299" s="78">
        <f t="shared" si="152"/>
        <v>11629.516816771888</v>
      </c>
      <c r="AA299" s="78">
        <f t="shared" si="153"/>
        <v>10665.344549905094</v>
      </c>
      <c r="AB299" s="78">
        <f t="shared" si="154"/>
        <v>11850.477636290552</v>
      </c>
      <c r="AC299" s="1">
        <f t="shared" si="155"/>
        <v>10867.98609635329</v>
      </c>
      <c r="AD299" s="78">
        <f t="shared" si="156"/>
        <v>12075.636711380072</v>
      </c>
      <c r="AE299" s="1">
        <f t="shared" si="157"/>
        <v>11096.213804376708</v>
      </c>
      <c r="AF299" s="78">
        <f t="shared" si="158"/>
        <v>12329.225082319052</v>
      </c>
      <c r="AG299" s="141">
        <f t="shared" si="159"/>
        <v>11240.464583833604</v>
      </c>
      <c r="AH299" s="140">
        <f t="shared" si="160"/>
        <v>12489.505008389198</v>
      </c>
      <c r="AI299" s="141">
        <f t="shared" si="161"/>
        <v>11465.273875510276</v>
      </c>
      <c r="AJ299" s="140">
        <f t="shared" si="162"/>
        <v>12739.295108556982</v>
      </c>
      <c r="AK299" s="141">
        <f t="shared" si="163"/>
        <v>11797.766817900074</v>
      </c>
      <c r="AL299" s="140">
        <f t="shared" si="164"/>
        <v>13108.734666705133</v>
      </c>
      <c r="AM299" s="141">
        <f t="shared" si="165"/>
        <v>12541.026127427778</v>
      </c>
      <c r="AN299" s="141">
        <f t="shared" si="166"/>
        <v>13934.584950707556</v>
      </c>
    </row>
    <row r="300" spans="1:40">
      <c r="A300" s="56">
        <v>340820</v>
      </c>
      <c r="B300" s="162">
        <v>34082000</v>
      </c>
      <c r="C300" s="86" t="s">
        <v>383</v>
      </c>
      <c r="D300" s="16">
        <v>188536.78029181864</v>
      </c>
      <c r="E300" s="17">
        <f t="shared" si="167"/>
        <v>197963.61930640959</v>
      </c>
      <c r="F300" s="57">
        <f>E300*1.045</f>
        <v>206871.98217519801</v>
      </c>
      <c r="G300" s="57">
        <f t="shared" si="137"/>
        <v>214071.12715489487</v>
      </c>
      <c r="H300" s="57">
        <f t="shared" si="138"/>
        <v>237858.7108043468</v>
      </c>
      <c r="I300" s="57">
        <f t="shared" si="139"/>
        <v>219851.04758807702</v>
      </c>
      <c r="J300" s="57">
        <f t="shared" si="139"/>
        <v>244280.89599606415</v>
      </c>
      <c r="K300" s="57">
        <f t="shared" si="140"/>
        <v>225127.47273019087</v>
      </c>
      <c r="L300" s="9">
        <f t="shared" si="140"/>
        <v>250143.63749996969</v>
      </c>
      <c r="M300" s="9">
        <f t="shared" si="141"/>
        <v>231205.91449390599</v>
      </c>
      <c r="N300" s="9">
        <f t="shared" si="141"/>
        <v>256897.51571246886</v>
      </c>
      <c r="O300" s="78">
        <f t="shared" si="142"/>
        <v>236292.44461277194</v>
      </c>
      <c r="P300" s="78">
        <f t="shared" si="142"/>
        <v>262549.26105814317</v>
      </c>
      <c r="Q300" s="1">
        <f t="shared" si="143"/>
        <v>241963.46328347849</v>
      </c>
      <c r="R300" s="78">
        <f t="shared" si="144"/>
        <v>268850.44332353858</v>
      </c>
      <c r="S300" s="1">
        <f t="shared" si="145"/>
        <v>250916.11142496718</v>
      </c>
      <c r="T300" s="78">
        <f t="shared" si="146"/>
        <v>278797.90972650948</v>
      </c>
      <c r="U300" s="1">
        <f t="shared" si="147"/>
        <v>257941.76254486627</v>
      </c>
      <c r="V300" s="99">
        <f t="shared" si="148"/>
        <v>286604.25119885174</v>
      </c>
      <c r="W300" s="78">
        <f t="shared" si="149"/>
        <v>261810.88898303924</v>
      </c>
      <c r="X300" s="78">
        <f t="shared" si="150"/>
        <v>290903.3149668345</v>
      </c>
      <c r="Y300" s="78">
        <f t="shared" si="151"/>
        <v>265999.86320676788</v>
      </c>
      <c r="Z300" s="78">
        <f t="shared" si="152"/>
        <v>295557.76800630387</v>
      </c>
      <c r="AA300" s="78">
        <f t="shared" si="153"/>
        <v>271053.86060769646</v>
      </c>
      <c r="AB300" s="78">
        <f t="shared" si="154"/>
        <v>301173.36559842364</v>
      </c>
      <c r="AC300" s="1">
        <f t="shared" si="155"/>
        <v>276203.88395924267</v>
      </c>
      <c r="AD300" s="78">
        <f t="shared" si="156"/>
        <v>306895.65954479366</v>
      </c>
      <c r="AE300" s="1">
        <f t="shared" si="157"/>
        <v>282004.16552238673</v>
      </c>
      <c r="AF300" s="78">
        <f t="shared" si="158"/>
        <v>313340.46839523432</v>
      </c>
      <c r="AG300" s="141">
        <f t="shared" si="159"/>
        <v>285670.2196741777</v>
      </c>
      <c r="AH300" s="140">
        <f t="shared" si="160"/>
        <v>317413.89448437234</v>
      </c>
      <c r="AI300" s="141">
        <f t="shared" si="161"/>
        <v>291383.62406766124</v>
      </c>
      <c r="AJ300" s="140">
        <f t="shared" si="162"/>
        <v>323762.1723740598</v>
      </c>
      <c r="AK300" s="141">
        <f t="shared" si="163"/>
        <v>299833.74916562339</v>
      </c>
      <c r="AL300" s="140">
        <f t="shared" si="164"/>
        <v>333151.27537290752</v>
      </c>
      <c r="AM300" s="141">
        <f t="shared" si="165"/>
        <v>318723.27536305762</v>
      </c>
      <c r="AN300" s="141">
        <f t="shared" si="166"/>
        <v>354139.80572140065</v>
      </c>
    </row>
    <row r="301" spans="1:40">
      <c r="A301" s="56">
        <v>340821</v>
      </c>
      <c r="B301" s="162">
        <v>34082100</v>
      </c>
      <c r="C301" s="86" t="s">
        <v>380</v>
      </c>
      <c r="D301" s="16">
        <v>7418.487667483555</v>
      </c>
      <c r="E301" s="17">
        <f t="shared" si="167"/>
        <v>7789.4120508577334</v>
      </c>
      <c r="F301" s="57">
        <f>E301*1.045</f>
        <v>8139.9355931463306</v>
      </c>
      <c r="G301" s="57">
        <f t="shared" si="137"/>
        <v>8423.205351787823</v>
      </c>
      <c r="H301" s="57">
        <f t="shared" si="138"/>
        <v>9359.191930478486</v>
      </c>
      <c r="I301" s="57">
        <f t="shared" si="139"/>
        <v>8650.6318962860933</v>
      </c>
      <c r="J301" s="57">
        <f t="shared" si="139"/>
        <v>9611.8901126014043</v>
      </c>
      <c r="K301" s="57">
        <f t="shared" si="140"/>
        <v>8858.2470617969593</v>
      </c>
      <c r="L301" s="9">
        <f t="shared" si="140"/>
        <v>9842.5754753038382</v>
      </c>
      <c r="M301" s="9">
        <f t="shared" si="141"/>
        <v>9097.419732465476</v>
      </c>
      <c r="N301" s="9">
        <f t="shared" si="141"/>
        <v>10108.325013137041</v>
      </c>
      <c r="O301" s="78">
        <f t="shared" si="142"/>
        <v>9297.5629665797169</v>
      </c>
      <c r="P301" s="78">
        <f t="shared" si="142"/>
        <v>10330.708163426056</v>
      </c>
      <c r="Q301" s="1">
        <f t="shared" si="143"/>
        <v>9520.70447777763</v>
      </c>
      <c r="R301" s="78">
        <f t="shared" si="144"/>
        <v>10578.645159348282</v>
      </c>
      <c r="S301" s="1">
        <f t="shared" si="145"/>
        <v>9872.9705434554016</v>
      </c>
      <c r="T301" s="78">
        <f t="shared" si="146"/>
        <v>10970.055030244168</v>
      </c>
      <c r="U301" s="1">
        <f t="shared" si="147"/>
        <v>10149.413718672153</v>
      </c>
      <c r="V301" s="99">
        <f t="shared" si="148"/>
        <v>11277.216571091005</v>
      </c>
      <c r="W301" s="78">
        <f t="shared" si="149"/>
        <v>10301.654924452234</v>
      </c>
      <c r="X301" s="78">
        <f t="shared" si="150"/>
        <v>11446.374819657369</v>
      </c>
      <c r="Y301" s="78">
        <f t="shared" si="151"/>
        <v>10466.48140324347</v>
      </c>
      <c r="Z301" s="78">
        <f t="shared" si="152"/>
        <v>11629.516816771888</v>
      </c>
      <c r="AA301" s="78">
        <f t="shared" si="153"/>
        <v>10665.344549905094</v>
      </c>
      <c r="AB301" s="78">
        <f t="shared" si="154"/>
        <v>11850.477636290552</v>
      </c>
      <c r="AC301" s="1">
        <f t="shared" si="155"/>
        <v>10867.98609635329</v>
      </c>
      <c r="AD301" s="78">
        <f t="shared" si="156"/>
        <v>12075.636711380072</v>
      </c>
      <c r="AE301" s="1">
        <f t="shared" si="157"/>
        <v>11096.213804376708</v>
      </c>
      <c r="AF301" s="78">
        <f t="shared" si="158"/>
        <v>12329.225082319052</v>
      </c>
      <c r="AG301" s="141">
        <f t="shared" si="159"/>
        <v>11240.464583833604</v>
      </c>
      <c r="AH301" s="140">
        <f t="shared" si="160"/>
        <v>12489.505008389198</v>
      </c>
      <c r="AI301" s="141">
        <f t="shared" si="161"/>
        <v>11465.273875510276</v>
      </c>
      <c r="AJ301" s="140">
        <f t="shared" si="162"/>
        <v>12739.295108556982</v>
      </c>
      <c r="AK301" s="141">
        <f t="shared" si="163"/>
        <v>11797.766817900074</v>
      </c>
      <c r="AL301" s="140">
        <f t="shared" si="164"/>
        <v>13108.734666705133</v>
      </c>
      <c r="AM301" s="141">
        <f t="shared" si="165"/>
        <v>12541.026127427778</v>
      </c>
      <c r="AN301" s="141">
        <f t="shared" si="166"/>
        <v>13934.584950707556</v>
      </c>
    </row>
    <row r="302" spans="1:40">
      <c r="A302" s="56">
        <v>340905</v>
      </c>
      <c r="B302" s="162">
        <v>34090500</v>
      </c>
      <c r="C302" s="86" t="s">
        <v>384</v>
      </c>
      <c r="D302" s="16">
        <v>14715.076005940266</v>
      </c>
      <c r="E302" s="17">
        <f t="shared" si="167"/>
        <v>15450.82980623728</v>
      </c>
      <c r="F302" s="57">
        <f>E302*1.045</f>
        <v>16146.117147517956</v>
      </c>
      <c r="G302" s="57">
        <f t="shared" si="137"/>
        <v>16708.002024251578</v>
      </c>
      <c r="H302" s="57">
        <f t="shared" si="138"/>
        <v>18564.595209186416</v>
      </c>
      <c r="I302" s="57">
        <f t="shared" si="139"/>
        <v>17159.118078906369</v>
      </c>
      <c r="J302" s="57">
        <f t="shared" si="139"/>
        <v>19065.839279834447</v>
      </c>
      <c r="K302" s="57">
        <f t="shared" si="140"/>
        <v>17570.936912800124</v>
      </c>
      <c r="L302" s="9">
        <f t="shared" si="140"/>
        <v>19523.419422550473</v>
      </c>
      <c r="M302" s="9">
        <f t="shared" si="141"/>
        <v>18045.352209445726</v>
      </c>
      <c r="N302" s="9">
        <f t="shared" si="141"/>
        <v>20050.551746959332</v>
      </c>
      <c r="O302" s="78">
        <f t="shared" si="142"/>
        <v>18442.349958053532</v>
      </c>
      <c r="P302" s="78">
        <f t="shared" si="142"/>
        <v>20491.663885392438</v>
      </c>
      <c r="Q302" s="1">
        <f t="shared" si="143"/>
        <v>18884.966357046818</v>
      </c>
      <c r="R302" s="78">
        <f t="shared" si="144"/>
        <v>20983.463818641856</v>
      </c>
      <c r="S302" s="1">
        <f t="shared" si="145"/>
        <v>19583.710112257548</v>
      </c>
      <c r="T302" s="78">
        <f t="shared" si="146"/>
        <v>21759.851979931602</v>
      </c>
      <c r="U302" s="1">
        <f t="shared" si="147"/>
        <v>20132.053995400758</v>
      </c>
      <c r="V302" s="99">
        <f t="shared" si="148"/>
        <v>22369.127835369687</v>
      </c>
      <c r="W302" s="78">
        <f t="shared" si="149"/>
        <v>20434.034805331768</v>
      </c>
      <c r="X302" s="78">
        <f t="shared" si="150"/>
        <v>22704.664752900229</v>
      </c>
      <c r="Y302" s="78">
        <f t="shared" si="151"/>
        <v>20760.979362217076</v>
      </c>
      <c r="Z302" s="78">
        <f t="shared" si="152"/>
        <v>23067.939388946634</v>
      </c>
      <c r="AA302" s="78">
        <f t="shared" si="153"/>
        <v>21155.437970099199</v>
      </c>
      <c r="AB302" s="78">
        <f t="shared" si="154"/>
        <v>23506.230237336618</v>
      </c>
      <c r="AC302" s="1">
        <f t="shared" si="155"/>
        <v>21557.391291531083</v>
      </c>
      <c r="AD302" s="78">
        <f t="shared" si="156"/>
        <v>23952.848611846013</v>
      </c>
      <c r="AE302" s="1">
        <f t="shared" si="157"/>
        <v>22010.096508653234</v>
      </c>
      <c r="AF302" s="78">
        <f t="shared" si="158"/>
        <v>24455.858432694778</v>
      </c>
      <c r="AG302" s="141">
        <f t="shared" si="159"/>
        <v>22296.227763265724</v>
      </c>
      <c r="AH302" s="140">
        <f t="shared" si="160"/>
        <v>24773.784592319807</v>
      </c>
      <c r="AI302" s="141">
        <f t="shared" si="161"/>
        <v>22742.15231853104</v>
      </c>
      <c r="AJ302" s="140">
        <f t="shared" si="162"/>
        <v>25269.260284166205</v>
      </c>
      <c r="AK302" s="141">
        <f t="shared" si="163"/>
        <v>23401.674735768436</v>
      </c>
      <c r="AL302" s="140">
        <f t="shared" si="164"/>
        <v>26002.068832407022</v>
      </c>
      <c r="AM302" s="141">
        <f t="shared" si="165"/>
        <v>24875.980244121845</v>
      </c>
      <c r="AN302" s="141">
        <f t="shared" si="166"/>
        <v>27640.199168848663</v>
      </c>
    </row>
    <row r="303" spans="1:40">
      <c r="A303" s="56">
        <v>340905</v>
      </c>
      <c r="B303" s="162">
        <v>34090501</v>
      </c>
      <c r="C303" s="86" t="s">
        <v>385</v>
      </c>
      <c r="D303" s="16">
        <v>14715.076005940266</v>
      </c>
      <c r="E303" s="17">
        <f t="shared" si="167"/>
        <v>15450.82980623728</v>
      </c>
      <c r="F303" s="57">
        <f>E303*1.045</f>
        <v>16146.117147517956</v>
      </c>
      <c r="G303" s="57">
        <f t="shared" si="137"/>
        <v>16708.002024251578</v>
      </c>
      <c r="H303" s="57">
        <f t="shared" si="138"/>
        <v>18564.595209186416</v>
      </c>
      <c r="I303" s="57">
        <f t="shared" si="139"/>
        <v>17159.118078906369</v>
      </c>
      <c r="J303" s="57">
        <f t="shared" si="139"/>
        <v>19065.839279834447</v>
      </c>
      <c r="K303" s="57">
        <f t="shared" si="140"/>
        <v>17570.936912800124</v>
      </c>
      <c r="L303" s="9">
        <f t="shared" si="140"/>
        <v>19523.419422550473</v>
      </c>
      <c r="M303" s="9">
        <f t="shared" si="141"/>
        <v>18045.352209445726</v>
      </c>
      <c r="N303" s="9">
        <f t="shared" si="141"/>
        <v>20050.551746959332</v>
      </c>
      <c r="O303" s="78">
        <f t="shared" si="142"/>
        <v>18442.349958053532</v>
      </c>
      <c r="P303" s="78">
        <f t="shared" si="142"/>
        <v>20491.663885392438</v>
      </c>
      <c r="Q303" s="1">
        <f t="shared" si="143"/>
        <v>18884.966357046818</v>
      </c>
      <c r="R303" s="78">
        <f t="shared" si="144"/>
        <v>20983.463818641856</v>
      </c>
      <c r="S303" s="1">
        <f t="shared" si="145"/>
        <v>19583.710112257548</v>
      </c>
      <c r="T303" s="78">
        <f t="shared" si="146"/>
        <v>21759.851979931602</v>
      </c>
      <c r="U303" s="1">
        <f t="shared" si="147"/>
        <v>20132.053995400758</v>
      </c>
      <c r="V303" s="99">
        <f t="shared" si="148"/>
        <v>22369.127835369687</v>
      </c>
      <c r="W303" s="78">
        <f t="shared" si="149"/>
        <v>20434.034805331768</v>
      </c>
      <c r="X303" s="78">
        <f t="shared" si="150"/>
        <v>22704.664752900229</v>
      </c>
      <c r="Y303" s="78">
        <f t="shared" si="151"/>
        <v>20760.979362217076</v>
      </c>
      <c r="Z303" s="78">
        <f t="shared" si="152"/>
        <v>23067.939388946634</v>
      </c>
      <c r="AA303" s="78">
        <f t="shared" si="153"/>
        <v>21155.437970099199</v>
      </c>
      <c r="AB303" s="78">
        <f t="shared" si="154"/>
        <v>23506.230237336618</v>
      </c>
      <c r="AC303" s="1">
        <f t="shared" si="155"/>
        <v>21557.391291531083</v>
      </c>
      <c r="AD303" s="78">
        <f t="shared" si="156"/>
        <v>23952.848611846013</v>
      </c>
      <c r="AE303" s="1">
        <f t="shared" si="157"/>
        <v>22010.096508653234</v>
      </c>
      <c r="AF303" s="78">
        <f t="shared" si="158"/>
        <v>24455.858432694778</v>
      </c>
      <c r="AG303" s="141">
        <f t="shared" si="159"/>
        <v>22296.227763265724</v>
      </c>
      <c r="AH303" s="140">
        <f t="shared" si="160"/>
        <v>24773.784592319807</v>
      </c>
      <c r="AI303" s="141">
        <f t="shared" si="161"/>
        <v>22742.15231853104</v>
      </c>
      <c r="AJ303" s="140">
        <f t="shared" si="162"/>
        <v>25269.260284166205</v>
      </c>
      <c r="AK303" s="141">
        <f t="shared" si="163"/>
        <v>23401.674735768436</v>
      </c>
      <c r="AL303" s="140">
        <f t="shared" si="164"/>
        <v>26002.068832407022</v>
      </c>
      <c r="AM303" s="141">
        <f t="shared" si="165"/>
        <v>24875.980244121845</v>
      </c>
      <c r="AN303" s="141">
        <f t="shared" si="166"/>
        <v>27640.199168848663</v>
      </c>
    </row>
    <row r="304" spans="1:40">
      <c r="B304" s="162">
        <v>34090503</v>
      </c>
      <c r="C304" s="86" t="s">
        <v>386</v>
      </c>
      <c r="D304" s="16">
        <v>20553.514753814245</v>
      </c>
      <c r="E304" s="17">
        <f t="shared" si="167"/>
        <v>21581.190491504956</v>
      </c>
      <c r="F304" s="57">
        <f>E304*1.045</f>
        <v>22552.344063622677</v>
      </c>
      <c r="G304" s="57">
        <f t="shared" si="137"/>
        <v>23337.165637036745</v>
      </c>
      <c r="H304" s="57">
        <f t="shared" si="138"/>
        <v>25930.391482624273</v>
      </c>
      <c r="I304" s="57">
        <f t="shared" si="139"/>
        <v>23967.269109236735</v>
      </c>
      <c r="J304" s="57">
        <f t="shared" si="139"/>
        <v>26630.512052655125</v>
      </c>
      <c r="K304" s="57">
        <f t="shared" si="140"/>
        <v>24542.483567858417</v>
      </c>
      <c r="L304" s="9">
        <f t="shared" si="140"/>
        <v>27269.644341918851</v>
      </c>
      <c r="M304" s="9">
        <f t="shared" si="141"/>
        <v>25205.130624190591</v>
      </c>
      <c r="N304" s="9">
        <f t="shared" si="141"/>
        <v>28005.924739150658</v>
      </c>
      <c r="O304" s="78">
        <f t="shared" si="142"/>
        <v>25759.643497922785</v>
      </c>
      <c r="P304" s="78">
        <f t="shared" si="142"/>
        <v>28622.055083411971</v>
      </c>
      <c r="Q304" s="1">
        <f t="shared" si="143"/>
        <v>26377.874941872931</v>
      </c>
      <c r="R304" s="78">
        <f t="shared" si="144"/>
        <v>29308.984405413859</v>
      </c>
      <c r="S304" s="1">
        <f t="shared" si="145"/>
        <v>27353.856314722227</v>
      </c>
      <c r="T304" s="78">
        <f t="shared" si="146"/>
        <v>30393.416828414171</v>
      </c>
      <c r="U304" s="1">
        <f t="shared" si="147"/>
        <v>28119.764291534451</v>
      </c>
      <c r="V304" s="99">
        <f t="shared" si="148"/>
        <v>31244.432499609768</v>
      </c>
      <c r="W304" s="78">
        <f t="shared" si="149"/>
        <v>28541.560755907467</v>
      </c>
      <c r="X304" s="78">
        <f t="shared" si="150"/>
        <v>31713.098987103913</v>
      </c>
      <c r="Y304" s="78">
        <f t="shared" si="151"/>
        <v>28998.225728001988</v>
      </c>
      <c r="Z304" s="78">
        <f t="shared" si="152"/>
        <v>32220.508570897575</v>
      </c>
      <c r="AA304" s="78">
        <f t="shared" si="153"/>
        <v>29549.192016834022</v>
      </c>
      <c r="AB304" s="78">
        <f t="shared" si="154"/>
        <v>32832.698233744624</v>
      </c>
      <c r="AC304" s="1">
        <f t="shared" si="155"/>
        <v>30110.626665153864</v>
      </c>
      <c r="AD304" s="78">
        <f t="shared" si="156"/>
        <v>33456.519500185772</v>
      </c>
      <c r="AE304" s="1">
        <f t="shared" si="157"/>
        <v>30742.949825122094</v>
      </c>
      <c r="AF304" s="78">
        <f t="shared" si="158"/>
        <v>34159.106409689673</v>
      </c>
      <c r="AG304" s="141">
        <f t="shared" si="159"/>
        <v>31142.608172848679</v>
      </c>
      <c r="AH304" s="140">
        <f t="shared" si="160"/>
        <v>34603.174793015634</v>
      </c>
      <c r="AI304" s="141">
        <f t="shared" si="161"/>
        <v>31765.460336305652</v>
      </c>
      <c r="AJ304" s="140">
        <f t="shared" si="162"/>
        <v>35295.238288875946</v>
      </c>
      <c r="AK304" s="141">
        <f t="shared" si="163"/>
        <v>32686.658686058512</v>
      </c>
      <c r="AL304" s="140">
        <f t="shared" si="164"/>
        <v>36318.800199253346</v>
      </c>
      <c r="AM304" s="141">
        <f t="shared" si="165"/>
        <v>34745.918183280199</v>
      </c>
      <c r="AN304" s="141">
        <f t="shared" si="166"/>
        <v>38606.884611806308</v>
      </c>
    </row>
    <row r="305" spans="1:40">
      <c r="B305" s="162">
        <v>34090504</v>
      </c>
      <c r="C305" s="86" t="s">
        <v>387</v>
      </c>
      <c r="D305" s="16">
        <v>20291.745678705011</v>
      </c>
      <c r="E305" s="17">
        <f t="shared" si="167"/>
        <v>21306.332962640263</v>
      </c>
      <c r="F305" s="57">
        <f>E305*1.045</f>
        <v>22265.117945959075</v>
      </c>
      <c r="G305" s="57">
        <f t="shared" si="137"/>
        <v>23039.944050478451</v>
      </c>
      <c r="H305" s="57">
        <f t="shared" si="138"/>
        <v>25600.142633367617</v>
      </c>
      <c r="I305" s="57">
        <f t="shared" si="139"/>
        <v>23662.022539841368</v>
      </c>
      <c r="J305" s="57">
        <f t="shared" si="139"/>
        <v>26291.34648446854</v>
      </c>
      <c r="K305" s="57">
        <f t="shared" si="140"/>
        <v>24229.911080797559</v>
      </c>
      <c r="L305" s="9">
        <f t="shared" si="140"/>
        <v>26922.338800095786</v>
      </c>
      <c r="M305" s="9">
        <f t="shared" si="141"/>
        <v>24884.118679979092</v>
      </c>
      <c r="N305" s="9">
        <f t="shared" si="141"/>
        <v>27649.24194769837</v>
      </c>
      <c r="O305" s="78">
        <f t="shared" si="142"/>
        <v>25431.569290938634</v>
      </c>
      <c r="P305" s="78">
        <f t="shared" si="142"/>
        <v>28257.525270547736</v>
      </c>
      <c r="Q305" s="1">
        <f t="shared" si="143"/>
        <v>26041.926953921164</v>
      </c>
      <c r="R305" s="78">
        <f t="shared" si="144"/>
        <v>28935.705877040884</v>
      </c>
      <c r="S305" s="1">
        <f t="shared" si="145"/>
        <v>27005.478251216246</v>
      </c>
      <c r="T305" s="78">
        <f t="shared" si="146"/>
        <v>30006.326994491395</v>
      </c>
      <c r="U305" s="1">
        <f t="shared" si="147"/>
        <v>27761.631642250301</v>
      </c>
      <c r="V305" s="99">
        <f t="shared" si="148"/>
        <v>30846.504150337154</v>
      </c>
      <c r="W305" s="78">
        <f t="shared" si="149"/>
        <v>28178.056116884054</v>
      </c>
      <c r="X305" s="78">
        <f t="shared" si="150"/>
        <v>31309.201712592207</v>
      </c>
      <c r="Y305" s="78">
        <f t="shared" si="151"/>
        <v>28628.9050147542</v>
      </c>
      <c r="Z305" s="78">
        <f t="shared" si="152"/>
        <v>31810.148939993684</v>
      </c>
      <c r="AA305" s="78">
        <f t="shared" si="153"/>
        <v>29172.854210034526</v>
      </c>
      <c r="AB305" s="78">
        <f t="shared" si="154"/>
        <v>32414.54176985356</v>
      </c>
      <c r="AC305" s="1">
        <f t="shared" si="155"/>
        <v>29727.138440025177</v>
      </c>
      <c r="AD305" s="78">
        <f t="shared" si="156"/>
        <v>33030.418063480778</v>
      </c>
      <c r="AE305" s="1">
        <f t="shared" si="157"/>
        <v>30351.408347265704</v>
      </c>
      <c r="AF305" s="78">
        <f t="shared" si="158"/>
        <v>33724.056842813872</v>
      </c>
      <c r="AG305" s="141">
        <f t="shared" si="159"/>
        <v>30745.976655780156</v>
      </c>
      <c r="AH305" s="140">
        <f t="shared" si="160"/>
        <v>34162.469581770449</v>
      </c>
      <c r="AI305" s="141">
        <f t="shared" si="161"/>
        <v>31360.89618889576</v>
      </c>
      <c r="AJ305" s="140">
        <f t="shared" si="162"/>
        <v>34845.718973405856</v>
      </c>
      <c r="AK305" s="141">
        <f t="shared" si="163"/>
        <v>32270.362178373736</v>
      </c>
      <c r="AL305" s="140">
        <f t="shared" si="164"/>
        <v>35856.244823634624</v>
      </c>
      <c r="AM305" s="141">
        <f t="shared" si="165"/>
        <v>34303.394995611277</v>
      </c>
      <c r="AN305" s="141">
        <f t="shared" si="166"/>
        <v>38115.188247523605</v>
      </c>
    </row>
    <row r="306" spans="1:40">
      <c r="B306" s="162">
        <v>34090505</v>
      </c>
      <c r="C306" s="86" t="s">
        <v>388</v>
      </c>
      <c r="D306" s="16">
        <v>21600.591054251181</v>
      </c>
      <c r="E306" s="17">
        <f t="shared" si="167"/>
        <v>22680.620606963741</v>
      </c>
      <c r="F306" s="57">
        <f>E306*1.045</f>
        <v>23701.248534277107</v>
      </c>
      <c r="G306" s="57">
        <f t="shared" si="137"/>
        <v>24526.05198326995</v>
      </c>
      <c r="H306" s="57">
        <f t="shared" si="138"/>
        <v>27251.386879650909</v>
      </c>
      <c r="I306" s="57">
        <f t="shared" si="139"/>
        <v>25188.255386818237</v>
      </c>
      <c r="J306" s="57">
        <f t="shared" si="139"/>
        <v>27987.17432540148</v>
      </c>
      <c r="K306" s="57">
        <f t="shared" si="140"/>
        <v>25792.773516101875</v>
      </c>
      <c r="L306" s="9">
        <f t="shared" si="140"/>
        <v>28658.866509211115</v>
      </c>
      <c r="M306" s="9">
        <f t="shared" si="141"/>
        <v>26489.178401036625</v>
      </c>
      <c r="N306" s="9">
        <f t="shared" si="141"/>
        <v>29432.655904959811</v>
      </c>
      <c r="O306" s="78">
        <f t="shared" si="142"/>
        <v>27071.940325859432</v>
      </c>
      <c r="P306" s="78">
        <f t="shared" si="142"/>
        <v>30080.174334868927</v>
      </c>
      <c r="Q306" s="1">
        <f t="shared" si="143"/>
        <v>27721.66689368006</v>
      </c>
      <c r="R306" s="78">
        <f t="shared" si="144"/>
        <v>30802.098518905783</v>
      </c>
      <c r="S306" s="1">
        <f t="shared" si="145"/>
        <v>28747.36856874622</v>
      </c>
      <c r="T306" s="78">
        <f t="shared" si="146"/>
        <v>31941.776164105293</v>
      </c>
      <c r="U306" s="1">
        <f t="shared" si="147"/>
        <v>29552.294888671116</v>
      </c>
      <c r="V306" s="99">
        <f t="shared" si="148"/>
        <v>32836.14589670024</v>
      </c>
      <c r="W306" s="78">
        <f t="shared" si="149"/>
        <v>29995.57931200118</v>
      </c>
      <c r="X306" s="78">
        <f t="shared" si="150"/>
        <v>33328.688085150738</v>
      </c>
      <c r="Y306" s="78">
        <f t="shared" si="151"/>
        <v>30475.508580993199</v>
      </c>
      <c r="Z306" s="78">
        <f t="shared" si="152"/>
        <v>33861.947094513147</v>
      </c>
      <c r="AA306" s="78">
        <f t="shared" si="153"/>
        <v>31054.543244032066</v>
      </c>
      <c r="AB306" s="78">
        <f t="shared" si="154"/>
        <v>34505.324089308895</v>
      </c>
      <c r="AC306" s="1">
        <f t="shared" si="155"/>
        <v>31644.579565668671</v>
      </c>
      <c r="AD306" s="78">
        <f t="shared" si="156"/>
        <v>35160.925247005762</v>
      </c>
      <c r="AE306" s="1">
        <f t="shared" si="157"/>
        <v>32309.115736547712</v>
      </c>
      <c r="AF306" s="78">
        <f t="shared" si="158"/>
        <v>35899.304677192878</v>
      </c>
      <c r="AG306" s="141">
        <f t="shared" si="159"/>
        <v>32729.134241122829</v>
      </c>
      <c r="AH306" s="140">
        <f t="shared" si="160"/>
        <v>36365.995637996384</v>
      </c>
      <c r="AI306" s="141">
        <f t="shared" si="161"/>
        <v>33383.716925945286</v>
      </c>
      <c r="AJ306" s="140">
        <f t="shared" si="162"/>
        <v>37093.315550756313</v>
      </c>
      <c r="AK306" s="141">
        <f t="shared" si="163"/>
        <v>34351.844716797699</v>
      </c>
      <c r="AL306" s="140">
        <f t="shared" si="164"/>
        <v>38169.021701728241</v>
      </c>
      <c r="AM306" s="141">
        <f t="shared" si="165"/>
        <v>36516.010933955949</v>
      </c>
      <c r="AN306" s="141">
        <f t="shared" si="166"/>
        <v>40573.670068937121</v>
      </c>
    </row>
    <row r="307" spans="1:40">
      <c r="B307" s="162">
        <v>34090600</v>
      </c>
      <c r="C307" s="86" t="s">
        <v>389</v>
      </c>
      <c r="D307" s="16">
        <v>8748.2985295945382</v>
      </c>
      <c r="E307" s="17">
        <f t="shared" si="167"/>
        <v>9185.7134560742652</v>
      </c>
      <c r="F307" s="57">
        <f>E307*1.045</f>
        <v>9599.0705615976058</v>
      </c>
      <c r="G307" s="57">
        <f t="shared" si="137"/>
        <v>9933.118217141202</v>
      </c>
      <c r="H307" s="57">
        <f t="shared" si="138"/>
        <v>11036.886313429934</v>
      </c>
      <c r="I307" s="57">
        <f t="shared" si="139"/>
        <v>10201.312409004013</v>
      </c>
      <c r="J307" s="57">
        <f t="shared" si="139"/>
        <v>11334.88224389254</v>
      </c>
      <c r="K307" s="57">
        <f t="shared" si="140"/>
        <v>10446.143906820109</v>
      </c>
      <c r="L307" s="9">
        <f t="shared" si="140"/>
        <v>11606.919417745961</v>
      </c>
      <c r="M307" s="9">
        <f t="shared" si="141"/>
        <v>10728.189792304251</v>
      </c>
      <c r="N307" s="9">
        <f t="shared" si="141"/>
        <v>11920.306242025101</v>
      </c>
      <c r="O307" s="78">
        <f t="shared" si="142"/>
        <v>10964.209967734945</v>
      </c>
      <c r="P307" s="78">
        <f t="shared" si="142"/>
        <v>12182.552979349653</v>
      </c>
      <c r="Q307" s="1">
        <f t="shared" si="143"/>
        <v>11227.351006960584</v>
      </c>
      <c r="R307" s="78">
        <f t="shared" si="144"/>
        <v>12474.934250854045</v>
      </c>
      <c r="S307" s="1">
        <f t="shared" si="145"/>
        <v>11642.762994218125</v>
      </c>
      <c r="T307" s="78">
        <f t="shared" si="146"/>
        <v>12936.506818135644</v>
      </c>
      <c r="U307" s="1">
        <f t="shared" si="147"/>
        <v>11968.760358056232</v>
      </c>
      <c r="V307" s="99">
        <f t="shared" si="148"/>
        <v>13298.729009043442</v>
      </c>
      <c r="W307" s="78">
        <f t="shared" si="149"/>
        <v>12148.291763427074</v>
      </c>
      <c r="X307" s="78">
        <f t="shared" si="150"/>
        <v>13498.209944179092</v>
      </c>
      <c r="Y307" s="78">
        <f t="shared" si="151"/>
        <v>12342.664431641908</v>
      </c>
      <c r="Z307" s="78">
        <f t="shared" si="152"/>
        <v>13714.181303285957</v>
      </c>
      <c r="AA307" s="78">
        <f t="shared" si="153"/>
        <v>12577.175055843103</v>
      </c>
      <c r="AB307" s="78">
        <f t="shared" si="154"/>
        <v>13974.750748048389</v>
      </c>
      <c r="AC307" s="1">
        <f t="shared" si="155"/>
        <v>12816.141381904121</v>
      </c>
      <c r="AD307" s="78">
        <f t="shared" si="156"/>
        <v>14240.271012261308</v>
      </c>
      <c r="AE307" s="1">
        <f t="shared" si="157"/>
        <v>13085.280350924106</v>
      </c>
      <c r="AF307" s="78">
        <f t="shared" si="158"/>
        <v>14539.316703518794</v>
      </c>
      <c r="AG307" s="141">
        <f t="shared" si="159"/>
        <v>13255.388995486117</v>
      </c>
      <c r="AH307" s="140">
        <f t="shared" si="160"/>
        <v>14728.327820664537</v>
      </c>
      <c r="AI307" s="141">
        <f t="shared" si="161"/>
        <v>13520.496775395839</v>
      </c>
      <c r="AJ307" s="140">
        <f t="shared" si="162"/>
        <v>15022.894377077828</v>
      </c>
      <c r="AK307" s="141">
        <f t="shared" si="163"/>
        <v>13912.591181882317</v>
      </c>
      <c r="AL307" s="140">
        <f t="shared" si="164"/>
        <v>15458.558314013084</v>
      </c>
      <c r="AM307" s="141">
        <f t="shared" si="165"/>
        <v>14789.084426340902</v>
      </c>
      <c r="AN307" s="141">
        <f t="shared" si="166"/>
        <v>16432.447487795907</v>
      </c>
    </row>
    <row r="308" spans="1:40">
      <c r="A308" s="56">
        <v>340907</v>
      </c>
      <c r="B308" s="162">
        <v>34090700</v>
      </c>
      <c r="C308" s="86" t="s">
        <v>390</v>
      </c>
      <c r="D308" s="16">
        <v>16902.375268552092</v>
      </c>
      <c r="E308" s="17">
        <f t="shared" si="167"/>
        <v>17747.494031979699</v>
      </c>
      <c r="F308" s="57">
        <f>E308*1.045</f>
        <v>18546.131263418785</v>
      </c>
      <c r="G308" s="57">
        <f t="shared" si="137"/>
        <v>19191.536631385759</v>
      </c>
      <c r="H308" s="57">
        <f t="shared" si="138"/>
        <v>21324.100181865346</v>
      </c>
      <c r="I308" s="57">
        <f t="shared" si="139"/>
        <v>19709.708120433173</v>
      </c>
      <c r="J308" s="57">
        <f t="shared" si="139"/>
        <v>21899.850886775708</v>
      </c>
      <c r="K308" s="57">
        <f t="shared" si="140"/>
        <v>20182.74111532357</v>
      </c>
      <c r="L308" s="9">
        <f t="shared" si="140"/>
        <v>22425.447308058327</v>
      </c>
      <c r="M308" s="9">
        <f t="shared" si="141"/>
        <v>20727.675125437305</v>
      </c>
      <c r="N308" s="9">
        <f t="shared" si="141"/>
        <v>23030.934385375898</v>
      </c>
      <c r="O308" s="78">
        <f t="shared" si="142"/>
        <v>21183.683978196925</v>
      </c>
      <c r="P308" s="78">
        <f t="shared" si="142"/>
        <v>23537.614941854168</v>
      </c>
      <c r="Q308" s="1">
        <f t="shared" si="143"/>
        <v>21692.092393673651</v>
      </c>
      <c r="R308" s="78">
        <f t="shared" si="144"/>
        <v>24102.517700458669</v>
      </c>
      <c r="S308" s="1">
        <f t="shared" si="145"/>
        <v>22494.699812239574</v>
      </c>
      <c r="T308" s="78">
        <f t="shared" si="146"/>
        <v>24994.310855375639</v>
      </c>
      <c r="U308" s="1">
        <f t="shared" si="147"/>
        <v>23124.551406982282</v>
      </c>
      <c r="V308" s="99">
        <f t="shared" si="148"/>
        <v>25694.151559326157</v>
      </c>
      <c r="W308" s="78">
        <f t="shared" si="149"/>
        <v>23471.419678087015</v>
      </c>
      <c r="X308" s="78">
        <f t="shared" si="150"/>
        <v>26079.563832716049</v>
      </c>
      <c r="Y308" s="78">
        <f t="shared" si="151"/>
        <v>23846.962392936406</v>
      </c>
      <c r="Z308" s="78">
        <f t="shared" si="152"/>
        <v>26496.836854039506</v>
      </c>
      <c r="AA308" s="78">
        <f t="shared" si="153"/>
        <v>24300.054678402197</v>
      </c>
      <c r="AB308" s="78">
        <f t="shared" si="154"/>
        <v>27000.276754266255</v>
      </c>
      <c r="AC308" s="1">
        <f t="shared" si="155"/>
        <v>24761.755717291835</v>
      </c>
      <c r="AD308" s="78">
        <f t="shared" si="156"/>
        <v>27513.282012597312</v>
      </c>
      <c r="AE308" s="1">
        <f t="shared" si="157"/>
        <v>25281.75258735496</v>
      </c>
      <c r="AF308" s="78">
        <f t="shared" si="158"/>
        <v>28091.060934861853</v>
      </c>
      <c r="AG308" s="141">
        <f t="shared" si="159"/>
        <v>25610.415370990573</v>
      </c>
      <c r="AH308" s="140">
        <f t="shared" si="160"/>
        <v>28456.244727015055</v>
      </c>
      <c r="AI308" s="141">
        <f t="shared" si="161"/>
        <v>26122.623678410386</v>
      </c>
      <c r="AJ308" s="140">
        <f t="shared" si="162"/>
        <v>29025.369621555357</v>
      </c>
      <c r="AK308" s="141">
        <f t="shared" si="163"/>
        <v>26880.179765084285</v>
      </c>
      <c r="AL308" s="140">
        <f t="shared" si="164"/>
        <v>29867.10534058046</v>
      </c>
      <c r="AM308" s="141">
        <f t="shared" si="165"/>
        <v>28573.631090284594</v>
      </c>
      <c r="AN308" s="141">
        <f t="shared" si="166"/>
        <v>31748.732977037027</v>
      </c>
    </row>
    <row r="309" spans="1:40">
      <c r="A309" s="56">
        <v>341001</v>
      </c>
      <c r="B309" s="162">
        <v>34100100</v>
      </c>
      <c r="C309" s="86" t="s">
        <v>391</v>
      </c>
      <c r="D309" s="45">
        <v>73059.179799780541</v>
      </c>
      <c r="E309" s="46">
        <f t="shared" si="167"/>
        <v>76712.138789769568</v>
      </c>
      <c r="F309" s="73">
        <f>E309*1.045</f>
        <v>80164.185035309187</v>
      </c>
      <c r="G309" s="73">
        <f t="shared" si="137"/>
        <v>82953.898674537937</v>
      </c>
      <c r="H309" s="73">
        <f t="shared" si="138"/>
        <v>92171.735895252597</v>
      </c>
      <c r="I309" s="73">
        <f t="shared" si="139"/>
        <v>85193.65393875046</v>
      </c>
      <c r="J309" s="73">
        <f t="shared" si="139"/>
        <v>94660.372764424406</v>
      </c>
      <c r="K309" s="73">
        <f t="shared" si="140"/>
        <v>87238.301633280469</v>
      </c>
      <c r="L309" s="74">
        <f t="shared" si="140"/>
        <v>96932.221710770595</v>
      </c>
      <c r="M309" s="74">
        <f t="shared" si="141"/>
        <v>89593.735777379028</v>
      </c>
      <c r="N309" s="74">
        <f t="shared" si="141"/>
        <v>99549.391696961393</v>
      </c>
      <c r="O309" s="78">
        <f t="shared" si="142"/>
        <v>91564.797964481375</v>
      </c>
      <c r="P309" s="78">
        <f t="shared" si="142"/>
        <v>101739.47831429455</v>
      </c>
      <c r="Q309" s="1">
        <f t="shared" si="143"/>
        <v>93762.353115628925</v>
      </c>
      <c r="R309" s="78">
        <f t="shared" si="144"/>
        <v>104181.22579383763</v>
      </c>
      <c r="S309" s="1">
        <f t="shared" si="145"/>
        <v>97231.560180907181</v>
      </c>
      <c r="T309" s="78">
        <f t="shared" si="146"/>
        <v>108035.93114820961</v>
      </c>
      <c r="U309" s="1">
        <f t="shared" si="147"/>
        <v>99954.043865972591</v>
      </c>
      <c r="V309" s="99">
        <f t="shared" si="148"/>
        <v>111060.93722035948</v>
      </c>
      <c r="W309" s="78">
        <f t="shared" si="149"/>
        <v>101453.35452396217</v>
      </c>
      <c r="X309" s="78">
        <f t="shared" si="150"/>
        <v>112726.85127866486</v>
      </c>
      <c r="Y309" s="78">
        <f t="shared" si="151"/>
        <v>103076.60819634557</v>
      </c>
      <c r="Z309" s="78">
        <f t="shared" si="152"/>
        <v>114530.4808991235</v>
      </c>
      <c r="AA309" s="78">
        <f t="shared" si="153"/>
        <v>105035.06375207612</v>
      </c>
      <c r="AB309" s="78">
        <f t="shared" si="154"/>
        <v>116706.56003620684</v>
      </c>
      <c r="AC309" s="1">
        <f t="shared" si="155"/>
        <v>107030.72996336556</v>
      </c>
      <c r="AD309" s="78">
        <f t="shared" si="156"/>
        <v>118923.98467689476</v>
      </c>
      <c r="AE309" s="1">
        <f t="shared" si="157"/>
        <v>109278.37529259623</v>
      </c>
      <c r="AF309" s="78">
        <f t="shared" si="158"/>
        <v>121421.38835510954</v>
      </c>
      <c r="AG309" s="141">
        <f t="shared" si="159"/>
        <v>110698.99417139997</v>
      </c>
      <c r="AH309" s="140">
        <f t="shared" si="160"/>
        <v>122999.86640372594</v>
      </c>
      <c r="AI309" s="141">
        <f t="shared" si="161"/>
        <v>112912.97405482798</v>
      </c>
      <c r="AJ309" s="140">
        <f t="shared" si="162"/>
        <v>125459.86373180046</v>
      </c>
      <c r="AK309" s="141">
        <f t="shared" si="163"/>
        <v>116187.45030241799</v>
      </c>
      <c r="AL309" s="140">
        <f t="shared" si="164"/>
        <v>129098.19978002267</v>
      </c>
      <c r="AM309" s="141">
        <f t="shared" si="165"/>
        <v>123507.25967147031</v>
      </c>
      <c r="AN309" s="141">
        <f t="shared" si="166"/>
        <v>137231.38636616408</v>
      </c>
    </row>
    <row r="310" spans="1:40">
      <c r="B310" s="162">
        <v>34100402</v>
      </c>
      <c r="C310" s="86" t="s">
        <v>392</v>
      </c>
      <c r="D310" s="16">
        <v>89672.38110721366</v>
      </c>
      <c r="E310" s="17">
        <f t="shared" si="167"/>
        <v>94156.000162574346</v>
      </c>
      <c r="F310" s="57">
        <f>E310*1.045</f>
        <v>98393.02016989018</v>
      </c>
      <c r="G310" s="57">
        <f t="shared" ref="G310:G328" si="168">F310*1.0348</f>
        <v>101817.09727180235</v>
      </c>
      <c r="H310" s="57">
        <f t="shared" ref="H310:H328" si="169">G310*1.11112</f>
        <v>113131.01312064505</v>
      </c>
      <c r="I310" s="57">
        <f t="shared" ref="I310:J328" si="170">G310*1.027</f>
        <v>104566.15889814102</v>
      </c>
      <c r="J310" s="57">
        <f t="shared" si="170"/>
        <v>116185.55047490245</v>
      </c>
      <c r="K310" s="57">
        <f t="shared" ref="K310:L328" si="171">I310*1.024</f>
        <v>107075.7467116964</v>
      </c>
      <c r="L310" s="9">
        <f t="shared" si="171"/>
        <v>118974.00368630012</v>
      </c>
      <c r="M310" s="9">
        <f t="shared" ref="M310:N328" si="172">K310*1.027</f>
        <v>109966.79187291219</v>
      </c>
      <c r="N310" s="9">
        <f t="shared" si="172"/>
        <v>122186.3017858302</v>
      </c>
      <c r="O310" s="78">
        <f t="shared" ref="O310:P328" si="173">M310*1.022</f>
        <v>112386.06129411625</v>
      </c>
      <c r="P310" s="78">
        <f t="shared" si="173"/>
        <v>124874.40042511847</v>
      </c>
      <c r="Q310" s="1">
        <f t="shared" si="143"/>
        <v>115083.32676517505</v>
      </c>
      <c r="R310" s="78">
        <f t="shared" si="144"/>
        <v>127871.38603532131</v>
      </c>
      <c r="S310" s="1">
        <f t="shared" si="145"/>
        <v>119341.40985548652</v>
      </c>
      <c r="T310" s="78">
        <f t="shared" si="146"/>
        <v>132602.62731862819</v>
      </c>
      <c r="U310" s="1">
        <f t="shared" si="147"/>
        <v>122682.96933144015</v>
      </c>
      <c r="V310" s="99">
        <f t="shared" si="148"/>
        <v>136315.50088354977</v>
      </c>
      <c r="W310" s="78">
        <f t="shared" si="149"/>
        <v>124523.21387141175</v>
      </c>
      <c r="X310" s="78">
        <f t="shared" si="150"/>
        <v>138360.233396803</v>
      </c>
      <c r="Y310" s="78">
        <f t="shared" si="151"/>
        <v>126515.58529335434</v>
      </c>
      <c r="Z310" s="78">
        <f t="shared" si="152"/>
        <v>140573.99713115185</v>
      </c>
      <c r="AA310" s="78">
        <f t="shared" si="153"/>
        <v>128919.38141392806</v>
      </c>
      <c r="AB310" s="78">
        <f t="shared" si="154"/>
        <v>143244.90307664371</v>
      </c>
      <c r="AC310" s="1">
        <f t="shared" si="155"/>
        <v>131368.84966079268</v>
      </c>
      <c r="AD310" s="78">
        <f t="shared" si="156"/>
        <v>145966.55623509991</v>
      </c>
      <c r="AE310" s="1">
        <f t="shared" si="157"/>
        <v>134127.59550366932</v>
      </c>
      <c r="AF310" s="78">
        <f t="shared" si="158"/>
        <v>149031.85391603698</v>
      </c>
      <c r="AG310" s="141">
        <f t="shared" si="159"/>
        <v>135871.25424521702</v>
      </c>
      <c r="AH310" s="140">
        <f t="shared" si="160"/>
        <v>150969.26801694545</v>
      </c>
      <c r="AI310" s="141">
        <f t="shared" si="161"/>
        <v>138588.67933012135</v>
      </c>
      <c r="AJ310" s="140">
        <f t="shared" si="162"/>
        <v>153988.65337728435</v>
      </c>
      <c r="AK310" s="141">
        <f t="shared" si="163"/>
        <v>142607.75103069487</v>
      </c>
      <c r="AL310" s="140">
        <f t="shared" si="164"/>
        <v>158454.32432522558</v>
      </c>
      <c r="AM310" s="141">
        <f t="shared" si="165"/>
        <v>151592.03934562864</v>
      </c>
      <c r="AN310" s="141">
        <f t="shared" si="166"/>
        <v>168436.94675771479</v>
      </c>
    </row>
    <row r="311" spans="1:40">
      <c r="A311" s="56">
        <v>341008</v>
      </c>
      <c r="B311" s="162">
        <v>34100801</v>
      </c>
      <c r="C311" s="86" t="s">
        <v>393</v>
      </c>
      <c r="D311" s="16">
        <v>121173.77343822227</v>
      </c>
      <c r="E311" s="17">
        <f t="shared" si="167"/>
        <v>127232.46211013339</v>
      </c>
      <c r="F311" s="57">
        <f>E311*1.045</f>
        <v>132957.92290508939</v>
      </c>
      <c r="G311" s="57">
        <f t="shared" si="168"/>
        <v>137584.8586221865</v>
      </c>
      <c r="H311" s="57">
        <f t="shared" si="169"/>
        <v>152873.28811228389</v>
      </c>
      <c r="I311" s="57">
        <f t="shared" si="170"/>
        <v>141299.64980498553</v>
      </c>
      <c r="J311" s="57">
        <f t="shared" si="170"/>
        <v>157000.86689131553</v>
      </c>
      <c r="K311" s="57">
        <f t="shared" si="171"/>
        <v>144690.84140030519</v>
      </c>
      <c r="L311" s="9">
        <f t="shared" si="171"/>
        <v>160768.8876967071</v>
      </c>
      <c r="M311" s="9">
        <f t="shared" si="172"/>
        <v>148597.49411811342</v>
      </c>
      <c r="N311" s="9">
        <f t="shared" si="172"/>
        <v>165109.64766451818</v>
      </c>
      <c r="O311" s="78">
        <f t="shared" si="173"/>
        <v>151866.63898871193</v>
      </c>
      <c r="P311" s="78">
        <f t="shared" si="173"/>
        <v>168742.05991313758</v>
      </c>
      <c r="Q311" s="1">
        <f t="shared" si="143"/>
        <v>155511.43832444103</v>
      </c>
      <c r="R311" s="78">
        <f t="shared" si="144"/>
        <v>172791.86935105288</v>
      </c>
      <c r="S311" s="1">
        <f t="shared" si="145"/>
        <v>161265.36154244535</v>
      </c>
      <c r="T311" s="78">
        <f t="shared" si="146"/>
        <v>179185.16851704184</v>
      </c>
      <c r="U311" s="1">
        <f t="shared" si="147"/>
        <v>165780.79166563382</v>
      </c>
      <c r="V311" s="99">
        <f t="shared" si="148"/>
        <v>184202.353235519</v>
      </c>
      <c r="W311" s="78">
        <f t="shared" si="149"/>
        <v>168267.50354061832</v>
      </c>
      <c r="X311" s="78">
        <f t="shared" si="150"/>
        <v>186965.38853405177</v>
      </c>
      <c r="Y311" s="78">
        <f t="shared" si="151"/>
        <v>170959.78359726822</v>
      </c>
      <c r="Z311" s="78">
        <f t="shared" si="152"/>
        <v>189956.83475059661</v>
      </c>
      <c r="AA311" s="78">
        <f t="shared" si="153"/>
        <v>174208.0194856163</v>
      </c>
      <c r="AB311" s="78">
        <f t="shared" si="154"/>
        <v>193566.01461085794</v>
      </c>
      <c r="AC311" s="1">
        <f t="shared" si="155"/>
        <v>177517.971855843</v>
      </c>
      <c r="AD311" s="78">
        <f t="shared" si="156"/>
        <v>197243.76888846423</v>
      </c>
      <c r="AE311" s="1">
        <f t="shared" si="157"/>
        <v>181245.84926481568</v>
      </c>
      <c r="AF311" s="78">
        <f t="shared" si="158"/>
        <v>201385.88803512196</v>
      </c>
      <c r="AG311" s="141">
        <f t="shared" si="159"/>
        <v>183602.04530525827</v>
      </c>
      <c r="AH311" s="140">
        <f t="shared" si="160"/>
        <v>204003.90457957852</v>
      </c>
      <c r="AI311" s="141">
        <f t="shared" si="161"/>
        <v>187274.08621136344</v>
      </c>
      <c r="AJ311" s="140">
        <f t="shared" si="162"/>
        <v>208083.98267117009</v>
      </c>
      <c r="AK311" s="141">
        <f t="shared" si="163"/>
        <v>192705.03471149295</v>
      </c>
      <c r="AL311" s="140">
        <f t="shared" si="164"/>
        <v>214118.418168634</v>
      </c>
      <c r="AM311" s="141">
        <f t="shared" si="165"/>
        <v>204845.451898317</v>
      </c>
      <c r="AN311" s="141">
        <f t="shared" si="166"/>
        <v>227607.87851325792</v>
      </c>
    </row>
    <row r="312" spans="1:40">
      <c r="A312" s="56">
        <v>341009</v>
      </c>
      <c r="B312" s="162">
        <v>34100903</v>
      </c>
      <c r="C312" s="86" t="s">
        <v>394</v>
      </c>
      <c r="D312" s="16">
        <v>91307.838812744536</v>
      </c>
      <c r="E312" s="17">
        <f t="shared" si="167"/>
        <v>95873.230753381766</v>
      </c>
      <c r="F312" s="57">
        <f>E312*1.045</f>
        <v>100187.52613728394</v>
      </c>
      <c r="G312" s="57">
        <f t="shared" si="168"/>
        <v>103674.05204686143</v>
      </c>
      <c r="H312" s="57">
        <f t="shared" si="169"/>
        <v>115194.31271030867</v>
      </c>
      <c r="I312" s="57">
        <f t="shared" si="170"/>
        <v>106473.25145212667</v>
      </c>
      <c r="J312" s="57">
        <f t="shared" si="170"/>
        <v>118304.559153487</v>
      </c>
      <c r="K312" s="57">
        <f t="shared" si="171"/>
        <v>109028.60948697772</v>
      </c>
      <c r="L312" s="9">
        <f t="shared" si="171"/>
        <v>121143.86857317069</v>
      </c>
      <c r="M312" s="9">
        <f t="shared" si="172"/>
        <v>111972.38194312611</v>
      </c>
      <c r="N312" s="9">
        <f t="shared" si="172"/>
        <v>124414.75302464628</v>
      </c>
      <c r="O312" s="78">
        <f t="shared" si="173"/>
        <v>114435.77434587489</v>
      </c>
      <c r="P312" s="78">
        <f t="shared" si="173"/>
        <v>127151.8775911885</v>
      </c>
      <c r="Q312" s="1">
        <f t="shared" si="143"/>
        <v>117182.23293017589</v>
      </c>
      <c r="R312" s="78">
        <f t="shared" si="144"/>
        <v>130203.52265337703</v>
      </c>
      <c r="S312" s="1">
        <f t="shared" si="145"/>
        <v>121517.97554859238</v>
      </c>
      <c r="T312" s="78">
        <f t="shared" si="146"/>
        <v>135021.05299155199</v>
      </c>
      <c r="U312" s="1">
        <f t="shared" si="147"/>
        <v>124920.47886395297</v>
      </c>
      <c r="V312" s="99">
        <f t="shared" si="148"/>
        <v>138801.64247531546</v>
      </c>
      <c r="W312" s="78">
        <f t="shared" si="149"/>
        <v>126794.28604691225</v>
      </c>
      <c r="X312" s="78">
        <f t="shared" si="150"/>
        <v>140883.66711244517</v>
      </c>
      <c r="Y312" s="78">
        <f t="shared" si="151"/>
        <v>128822.99462366285</v>
      </c>
      <c r="Z312" s="78">
        <f t="shared" si="152"/>
        <v>143137.80578624428</v>
      </c>
      <c r="AA312" s="78">
        <f t="shared" si="153"/>
        <v>131270.63152151243</v>
      </c>
      <c r="AB312" s="78">
        <f t="shared" si="154"/>
        <v>145857.42409618292</v>
      </c>
      <c r="AC312" s="1">
        <f t="shared" si="155"/>
        <v>133764.77352042115</v>
      </c>
      <c r="AD312" s="78">
        <f t="shared" si="156"/>
        <v>148628.7151540104</v>
      </c>
      <c r="AE312" s="1">
        <f t="shared" si="157"/>
        <v>136573.83376434998</v>
      </c>
      <c r="AF312" s="78">
        <f t="shared" si="158"/>
        <v>151749.91817224459</v>
      </c>
      <c r="AG312" s="141">
        <f t="shared" si="159"/>
        <v>138349.29360328653</v>
      </c>
      <c r="AH312" s="140">
        <f t="shared" si="160"/>
        <v>153722.66710848376</v>
      </c>
      <c r="AI312" s="141">
        <f t="shared" si="161"/>
        <v>141116.27947535226</v>
      </c>
      <c r="AJ312" s="140">
        <f t="shared" si="162"/>
        <v>156797.12045065343</v>
      </c>
      <c r="AK312" s="141">
        <f t="shared" si="163"/>
        <v>145208.65158013746</v>
      </c>
      <c r="AL312" s="140">
        <f t="shared" si="164"/>
        <v>161344.23694372235</v>
      </c>
      <c r="AM312" s="141">
        <f t="shared" si="165"/>
        <v>154356.79662968611</v>
      </c>
      <c r="AN312" s="141">
        <f t="shared" si="166"/>
        <v>171508.92387117684</v>
      </c>
    </row>
    <row r="313" spans="1:40">
      <c r="A313" s="56">
        <v>341010</v>
      </c>
      <c r="B313" s="162">
        <v>34101001</v>
      </c>
      <c r="C313" s="86" t="s">
        <v>395</v>
      </c>
      <c r="D313" s="16">
        <v>85528.103427252063</v>
      </c>
      <c r="E313" s="17">
        <f t="shared" si="167"/>
        <v>89804.508598614673</v>
      </c>
      <c r="F313" s="57">
        <f>E313*1.045</f>
        <v>93845.711485552325</v>
      </c>
      <c r="G313" s="57">
        <f t="shared" si="168"/>
        <v>97111.54224524954</v>
      </c>
      <c r="H313" s="57">
        <f t="shared" si="169"/>
        <v>107902.57681954167</v>
      </c>
      <c r="I313" s="57">
        <f t="shared" si="170"/>
        <v>99733.553885871268</v>
      </c>
      <c r="J313" s="57">
        <f t="shared" si="170"/>
        <v>110815.94639366929</v>
      </c>
      <c r="K313" s="57">
        <f t="shared" si="171"/>
        <v>102127.15917913218</v>
      </c>
      <c r="L313" s="9">
        <f t="shared" si="171"/>
        <v>113475.52910711736</v>
      </c>
      <c r="M313" s="9">
        <f t="shared" si="172"/>
        <v>104884.59247696874</v>
      </c>
      <c r="N313" s="9">
        <f t="shared" si="172"/>
        <v>116539.36839300951</v>
      </c>
      <c r="O313" s="78">
        <f t="shared" si="173"/>
        <v>107192.05351146206</v>
      </c>
      <c r="P313" s="78">
        <f t="shared" si="173"/>
        <v>119103.23449765572</v>
      </c>
      <c r="Q313" s="1">
        <f t="shared" si="143"/>
        <v>109764.66279573715</v>
      </c>
      <c r="R313" s="78">
        <f t="shared" si="144"/>
        <v>121961.71212559946</v>
      </c>
      <c r="S313" s="1">
        <f t="shared" si="145"/>
        <v>113825.95531917943</v>
      </c>
      <c r="T313" s="78">
        <f t="shared" si="146"/>
        <v>126474.29547424662</v>
      </c>
      <c r="U313" s="1">
        <f t="shared" si="147"/>
        <v>117013.08206811645</v>
      </c>
      <c r="V313" s="99">
        <f t="shared" si="148"/>
        <v>130015.57574752554</v>
      </c>
      <c r="W313" s="78">
        <f t="shared" si="149"/>
        <v>118768.27829913818</v>
      </c>
      <c r="X313" s="78">
        <f t="shared" si="150"/>
        <v>131965.80938373841</v>
      </c>
      <c r="Y313" s="78">
        <f t="shared" si="151"/>
        <v>120668.5707519244</v>
      </c>
      <c r="Z313" s="78">
        <f t="shared" si="152"/>
        <v>134077.26233387823</v>
      </c>
      <c r="AA313" s="78">
        <f t="shared" si="153"/>
        <v>122961.27359621096</v>
      </c>
      <c r="AB313" s="78">
        <f t="shared" si="154"/>
        <v>136624.7303182219</v>
      </c>
      <c r="AC313" s="1">
        <f t="shared" si="155"/>
        <v>125297.53779453895</v>
      </c>
      <c r="AD313" s="78">
        <f t="shared" si="156"/>
        <v>139220.6001942681</v>
      </c>
      <c r="AE313" s="1">
        <f t="shared" si="157"/>
        <v>127928.78608822425</v>
      </c>
      <c r="AF313" s="78">
        <f t="shared" si="158"/>
        <v>142144.23279834772</v>
      </c>
      <c r="AG313" s="141">
        <f t="shared" si="159"/>
        <v>129591.86030737116</v>
      </c>
      <c r="AH313" s="140">
        <f t="shared" si="160"/>
        <v>143992.10782472623</v>
      </c>
      <c r="AI313" s="141">
        <f t="shared" si="161"/>
        <v>132183.69751351859</v>
      </c>
      <c r="AJ313" s="140">
        <f t="shared" si="162"/>
        <v>146871.94998122077</v>
      </c>
      <c r="AK313" s="141">
        <f t="shared" si="163"/>
        <v>136017.02474141063</v>
      </c>
      <c r="AL313" s="140">
        <f t="shared" si="164"/>
        <v>151131.23653067616</v>
      </c>
      <c r="AM313" s="141">
        <f t="shared" si="165"/>
        <v>144586.09730011949</v>
      </c>
      <c r="AN313" s="141">
        <f t="shared" si="166"/>
        <v>160652.50443210875</v>
      </c>
    </row>
    <row r="314" spans="1:40">
      <c r="B314" s="162">
        <v>34101008</v>
      </c>
      <c r="C314" s="86" t="s">
        <v>396</v>
      </c>
      <c r="D314" s="16">
        <v>85528.103427252063</v>
      </c>
      <c r="E314" s="17">
        <f t="shared" si="167"/>
        <v>89804.508598614673</v>
      </c>
      <c r="F314" s="57">
        <f>E314*1.045</f>
        <v>93845.711485552325</v>
      </c>
      <c r="G314" s="57">
        <f t="shared" si="168"/>
        <v>97111.54224524954</v>
      </c>
      <c r="H314" s="57">
        <f t="shared" si="169"/>
        <v>107902.57681954167</v>
      </c>
      <c r="I314" s="57">
        <f t="shared" si="170"/>
        <v>99733.553885871268</v>
      </c>
      <c r="J314" s="57">
        <f t="shared" si="170"/>
        <v>110815.94639366929</v>
      </c>
      <c r="K314" s="57">
        <f t="shared" si="171"/>
        <v>102127.15917913218</v>
      </c>
      <c r="L314" s="9">
        <f t="shared" si="171"/>
        <v>113475.52910711736</v>
      </c>
      <c r="M314" s="9">
        <f t="shared" si="172"/>
        <v>104884.59247696874</v>
      </c>
      <c r="N314" s="9">
        <f t="shared" si="172"/>
        <v>116539.36839300951</v>
      </c>
      <c r="O314" s="78">
        <f t="shared" si="173"/>
        <v>107192.05351146206</v>
      </c>
      <c r="P314" s="78">
        <f t="shared" si="173"/>
        <v>119103.23449765572</v>
      </c>
      <c r="Q314" s="1">
        <f t="shared" si="143"/>
        <v>109764.66279573715</v>
      </c>
      <c r="R314" s="78">
        <f t="shared" si="144"/>
        <v>121961.71212559946</v>
      </c>
      <c r="S314" s="1">
        <f t="shared" si="145"/>
        <v>113825.95531917943</v>
      </c>
      <c r="T314" s="78">
        <f t="shared" si="146"/>
        <v>126474.29547424662</v>
      </c>
      <c r="U314" s="1">
        <f t="shared" si="147"/>
        <v>117013.08206811645</v>
      </c>
      <c r="V314" s="99">
        <f t="shared" si="148"/>
        <v>130015.57574752554</v>
      </c>
      <c r="W314" s="78">
        <f t="shared" si="149"/>
        <v>118768.27829913818</v>
      </c>
      <c r="X314" s="78">
        <f t="shared" si="150"/>
        <v>131965.80938373841</v>
      </c>
      <c r="Y314" s="78">
        <f t="shared" si="151"/>
        <v>120668.5707519244</v>
      </c>
      <c r="Z314" s="78">
        <f t="shared" si="152"/>
        <v>134077.26233387823</v>
      </c>
      <c r="AA314" s="78">
        <f t="shared" si="153"/>
        <v>122961.27359621096</v>
      </c>
      <c r="AB314" s="78">
        <f t="shared" si="154"/>
        <v>136624.7303182219</v>
      </c>
      <c r="AC314" s="1">
        <f t="shared" si="155"/>
        <v>125297.53779453895</v>
      </c>
      <c r="AD314" s="78">
        <f t="shared" si="156"/>
        <v>139220.6001942681</v>
      </c>
      <c r="AE314" s="1">
        <f t="shared" si="157"/>
        <v>127928.78608822425</v>
      </c>
      <c r="AF314" s="78">
        <f t="shared" si="158"/>
        <v>142144.23279834772</v>
      </c>
      <c r="AG314" s="141">
        <f t="shared" si="159"/>
        <v>129591.86030737116</v>
      </c>
      <c r="AH314" s="140">
        <f t="shared" si="160"/>
        <v>143992.10782472623</v>
      </c>
      <c r="AI314" s="141">
        <f t="shared" si="161"/>
        <v>132183.69751351859</v>
      </c>
      <c r="AJ314" s="140">
        <f t="shared" si="162"/>
        <v>146871.94998122077</v>
      </c>
      <c r="AK314" s="141">
        <f t="shared" si="163"/>
        <v>136017.02474141063</v>
      </c>
      <c r="AL314" s="140">
        <f t="shared" si="164"/>
        <v>151131.23653067616</v>
      </c>
      <c r="AM314" s="141">
        <f t="shared" si="165"/>
        <v>144586.09730011949</v>
      </c>
      <c r="AN314" s="141">
        <f t="shared" si="166"/>
        <v>160652.50443210875</v>
      </c>
    </row>
    <row r="315" spans="1:40">
      <c r="A315" s="56">
        <v>341012</v>
      </c>
      <c r="B315" s="162">
        <v>34101201</v>
      </c>
      <c r="C315" s="86" t="s">
        <v>397</v>
      </c>
      <c r="D315" s="16">
        <v>60604.332999002552</v>
      </c>
      <c r="E315" s="17">
        <f t="shared" ref="E315:E331" si="174">D315*1.05</f>
        <v>63634.549648952685</v>
      </c>
      <c r="F315" s="57">
        <f>E315*1.045</f>
        <v>66498.104383155558</v>
      </c>
      <c r="G315" s="57">
        <f t="shared" si="168"/>
        <v>68812.238415689368</v>
      </c>
      <c r="H315" s="57">
        <f t="shared" si="169"/>
        <v>76458.654348440774</v>
      </c>
      <c r="I315" s="57">
        <f t="shared" si="170"/>
        <v>70670.168852912975</v>
      </c>
      <c r="J315" s="57">
        <f t="shared" si="170"/>
        <v>78523.038015848666</v>
      </c>
      <c r="K315" s="57">
        <f t="shared" si="171"/>
        <v>72366.252905382891</v>
      </c>
      <c r="L315" s="9">
        <f t="shared" si="171"/>
        <v>80407.590928229038</v>
      </c>
      <c r="M315" s="9">
        <f t="shared" si="172"/>
        <v>74320.141733828219</v>
      </c>
      <c r="N315" s="9">
        <f t="shared" si="172"/>
        <v>82578.595883291215</v>
      </c>
      <c r="O315" s="78">
        <f t="shared" si="173"/>
        <v>75955.184851972444</v>
      </c>
      <c r="P315" s="78">
        <f t="shared" si="173"/>
        <v>84395.324992723617</v>
      </c>
      <c r="Q315" s="1">
        <f t="shared" si="143"/>
        <v>77778.109288419786</v>
      </c>
      <c r="R315" s="78">
        <f t="shared" si="144"/>
        <v>86420.812792548983</v>
      </c>
      <c r="S315" s="1">
        <f t="shared" si="145"/>
        <v>80655.899332091314</v>
      </c>
      <c r="T315" s="78">
        <f t="shared" si="146"/>
        <v>89618.382865873282</v>
      </c>
      <c r="U315" s="1">
        <f t="shared" si="147"/>
        <v>82914.264513389877</v>
      </c>
      <c r="V315" s="99">
        <f t="shared" si="148"/>
        <v>92127.697586117734</v>
      </c>
      <c r="W315" s="78">
        <f t="shared" si="149"/>
        <v>84157.978481090715</v>
      </c>
      <c r="X315" s="78">
        <f t="shared" si="150"/>
        <v>93509.613049909487</v>
      </c>
      <c r="Y315" s="78">
        <f t="shared" si="151"/>
        <v>85504.506136788172</v>
      </c>
      <c r="Z315" s="78">
        <f t="shared" si="152"/>
        <v>95005.766858708041</v>
      </c>
      <c r="AA315" s="78">
        <f t="shared" si="153"/>
        <v>87129.09175338714</v>
      </c>
      <c r="AB315" s="78">
        <f t="shared" si="154"/>
        <v>96810.876429023483</v>
      </c>
      <c r="AC315" s="1">
        <f t="shared" si="155"/>
        <v>88784.544496701492</v>
      </c>
      <c r="AD315" s="78">
        <f t="shared" si="156"/>
        <v>98650.283081174915</v>
      </c>
      <c r="AE315" s="1">
        <f t="shared" si="157"/>
        <v>90649.019931132221</v>
      </c>
      <c r="AF315" s="78">
        <f t="shared" si="158"/>
        <v>100721.93902587958</v>
      </c>
      <c r="AG315" s="141">
        <f t="shared" si="159"/>
        <v>91827.457190236935</v>
      </c>
      <c r="AH315" s="140">
        <f t="shared" si="160"/>
        <v>102031.324233216</v>
      </c>
      <c r="AI315" s="141">
        <f t="shared" si="161"/>
        <v>93664.006334041682</v>
      </c>
      <c r="AJ315" s="140">
        <f t="shared" si="162"/>
        <v>104071.95071788032</v>
      </c>
      <c r="AK315" s="141">
        <f t="shared" si="163"/>
        <v>96380.262517728886</v>
      </c>
      <c r="AL315" s="140">
        <f t="shared" si="164"/>
        <v>107090.03728869883</v>
      </c>
      <c r="AM315" s="141">
        <f t="shared" si="165"/>
        <v>102452.2190563458</v>
      </c>
      <c r="AN315" s="141">
        <f t="shared" si="166"/>
        <v>113836.70963788686</v>
      </c>
    </row>
    <row r="316" spans="1:40">
      <c r="A316" s="56">
        <v>341013</v>
      </c>
      <c r="B316" s="162">
        <v>34101301</v>
      </c>
      <c r="C316" s="86" t="s">
        <v>398</v>
      </c>
      <c r="D316" s="16">
        <v>84887.158552270674</v>
      </c>
      <c r="E316" s="17">
        <f t="shared" si="174"/>
        <v>89131.516479884216</v>
      </c>
      <c r="F316" s="57">
        <f>E316*1.045</f>
        <v>93142.434721479003</v>
      </c>
      <c r="G316" s="57">
        <f t="shared" si="168"/>
        <v>96383.791449786469</v>
      </c>
      <c r="H316" s="57">
        <f t="shared" si="169"/>
        <v>107093.95835568676</v>
      </c>
      <c r="I316" s="57">
        <f t="shared" si="170"/>
        <v>98986.153818930703</v>
      </c>
      <c r="J316" s="57">
        <f t="shared" si="170"/>
        <v>109985.49523129029</v>
      </c>
      <c r="K316" s="57">
        <f t="shared" si="171"/>
        <v>101361.82151058504</v>
      </c>
      <c r="L316" s="9">
        <f t="shared" si="171"/>
        <v>112625.14711684125</v>
      </c>
      <c r="M316" s="9">
        <f t="shared" si="172"/>
        <v>104098.59069137083</v>
      </c>
      <c r="N316" s="9">
        <f t="shared" si="172"/>
        <v>115666.02608899596</v>
      </c>
      <c r="O316" s="78">
        <f t="shared" si="173"/>
        <v>106388.75968658099</v>
      </c>
      <c r="P316" s="78">
        <f t="shared" si="173"/>
        <v>118210.67866295387</v>
      </c>
      <c r="Q316" s="1">
        <f t="shared" si="143"/>
        <v>108942.08991905894</v>
      </c>
      <c r="R316" s="78">
        <f t="shared" si="144"/>
        <v>121047.73495086476</v>
      </c>
      <c r="S316" s="1">
        <f t="shared" si="145"/>
        <v>112972.94724606411</v>
      </c>
      <c r="T316" s="78">
        <f t="shared" si="146"/>
        <v>125526.50114404675</v>
      </c>
      <c r="U316" s="1">
        <f t="shared" si="147"/>
        <v>116136.1897689539</v>
      </c>
      <c r="V316" s="99">
        <f t="shared" si="148"/>
        <v>129041.24317608007</v>
      </c>
      <c r="W316" s="78">
        <f t="shared" si="149"/>
        <v>117878.2326154882</v>
      </c>
      <c r="X316" s="78">
        <f t="shared" si="150"/>
        <v>130976.86182372125</v>
      </c>
      <c r="Y316" s="78">
        <f t="shared" si="151"/>
        <v>119764.28433733602</v>
      </c>
      <c r="Z316" s="78">
        <f t="shared" si="152"/>
        <v>133072.49161290081</v>
      </c>
      <c r="AA316" s="78">
        <f t="shared" si="153"/>
        <v>122039.8057397454</v>
      </c>
      <c r="AB316" s="78">
        <f t="shared" si="154"/>
        <v>135600.8689535459</v>
      </c>
      <c r="AC316" s="1">
        <f t="shared" si="155"/>
        <v>124358.56204880055</v>
      </c>
      <c r="AD316" s="78">
        <f t="shared" si="156"/>
        <v>138177.28546366325</v>
      </c>
      <c r="AE316" s="1">
        <f t="shared" si="157"/>
        <v>126970.09185182535</v>
      </c>
      <c r="AF316" s="78">
        <f t="shared" si="158"/>
        <v>141079.00845840017</v>
      </c>
      <c r="AG316" s="141">
        <f t="shared" si="159"/>
        <v>128620.70304589906</v>
      </c>
      <c r="AH316" s="140">
        <f t="shared" si="160"/>
        <v>142913.03556835937</v>
      </c>
      <c r="AI316" s="141">
        <f t="shared" si="161"/>
        <v>131193.11710681705</v>
      </c>
      <c r="AJ316" s="140">
        <f t="shared" si="162"/>
        <v>145771.29627972655</v>
      </c>
      <c r="AK316" s="141">
        <f t="shared" si="163"/>
        <v>134997.71750291475</v>
      </c>
      <c r="AL316" s="140">
        <f t="shared" si="164"/>
        <v>149998.66387183859</v>
      </c>
      <c r="AM316" s="141">
        <f t="shared" si="165"/>
        <v>143502.57370559836</v>
      </c>
      <c r="AN316" s="141">
        <f t="shared" si="166"/>
        <v>159448.57969576441</v>
      </c>
    </row>
    <row r="317" spans="1:40">
      <c r="B317" s="19">
        <v>84100100</v>
      </c>
      <c r="C317" s="18" t="s">
        <v>399</v>
      </c>
      <c r="D317" s="16">
        <v>180018.65285401055</v>
      </c>
      <c r="E317" s="17">
        <f t="shared" si="174"/>
        <v>189019.58549671108</v>
      </c>
      <c r="F317" s="57">
        <f>E317*1.045</f>
        <v>197525.46684406308</v>
      </c>
      <c r="G317" s="57">
        <f t="shared" si="168"/>
        <v>204399.35309023646</v>
      </c>
      <c r="H317" s="57">
        <f t="shared" si="169"/>
        <v>227112.20920562354</v>
      </c>
      <c r="I317" s="57">
        <f t="shared" si="170"/>
        <v>209918.13562367283</v>
      </c>
      <c r="J317" s="57">
        <f t="shared" si="170"/>
        <v>233244.23885417535</v>
      </c>
      <c r="K317" s="57">
        <f t="shared" si="171"/>
        <v>214956.17087864099</v>
      </c>
      <c r="L317" s="9">
        <f t="shared" si="171"/>
        <v>238842.10058667557</v>
      </c>
      <c r="M317" s="9">
        <f t="shared" si="172"/>
        <v>220759.98749236428</v>
      </c>
      <c r="N317" s="9">
        <f t="shared" si="172"/>
        <v>245290.83730251581</v>
      </c>
      <c r="O317" s="78">
        <f t="shared" si="173"/>
        <v>225616.70721719629</v>
      </c>
      <c r="P317" s="78">
        <f t="shared" si="173"/>
        <v>250687.23572317115</v>
      </c>
      <c r="Q317" s="1">
        <f t="shared" si="143"/>
        <v>231031.50819040902</v>
      </c>
      <c r="R317" s="78">
        <f t="shared" si="144"/>
        <v>256703.72938052725</v>
      </c>
      <c r="S317" s="1">
        <f t="shared" si="145"/>
        <v>239579.67399345414</v>
      </c>
      <c r="T317" s="78">
        <f t="shared" si="146"/>
        <v>266201.76736760675</v>
      </c>
      <c r="U317" s="1">
        <f t="shared" si="147"/>
        <v>246287.90486527086</v>
      </c>
      <c r="V317" s="99">
        <f t="shared" si="148"/>
        <v>273655.41685389972</v>
      </c>
      <c r="W317" s="78">
        <f t="shared" si="149"/>
        <v>249982.2234382499</v>
      </c>
      <c r="X317" s="78">
        <f t="shared" si="150"/>
        <v>277760.24810670817</v>
      </c>
      <c r="Y317" s="78">
        <f t="shared" si="151"/>
        <v>253981.9390132619</v>
      </c>
      <c r="Z317" s="78">
        <f t="shared" si="152"/>
        <v>282204.41207641549</v>
      </c>
      <c r="AA317" s="78">
        <f t="shared" si="153"/>
        <v>258807.59585451384</v>
      </c>
      <c r="AB317" s="78">
        <f t="shared" si="154"/>
        <v>287566.29590586736</v>
      </c>
      <c r="AC317" s="1">
        <f t="shared" si="155"/>
        <v>263724.94017574959</v>
      </c>
      <c r="AD317" s="78">
        <f t="shared" si="156"/>
        <v>293030.05552807881</v>
      </c>
      <c r="AE317" s="1">
        <f t="shared" si="157"/>
        <v>269263.1639194403</v>
      </c>
      <c r="AF317" s="78">
        <f t="shared" si="158"/>
        <v>299183.68669416843</v>
      </c>
      <c r="AG317" s="141">
        <f t="shared" si="159"/>
        <v>272763.58505039301</v>
      </c>
      <c r="AH317" s="140">
        <f t="shared" si="160"/>
        <v>303073.07462119259</v>
      </c>
      <c r="AI317" s="141">
        <f t="shared" si="161"/>
        <v>278218.85675140086</v>
      </c>
      <c r="AJ317" s="140">
        <f t="shared" si="162"/>
        <v>309134.53611361643</v>
      </c>
      <c r="AK317" s="141">
        <f t="shared" si="163"/>
        <v>286287.20359719149</v>
      </c>
      <c r="AL317" s="140">
        <f t="shared" si="164"/>
        <v>318099.4376609113</v>
      </c>
      <c r="AM317" s="141">
        <f t="shared" si="165"/>
        <v>304323.29742381454</v>
      </c>
      <c r="AN317" s="141">
        <f t="shared" si="166"/>
        <v>338139.70223354868</v>
      </c>
    </row>
    <row r="318" spans="1:40">
      <c r="B318" s="19">
        <v>84100101</v>
      </c>
      <c r="C318" s="18" t="s">
        <v>400</v>
      </c>
      <c r="D318" s="16">
        <v>249947.35957562985</v>
      </c>
      <c r="E318" s="17">
        <f t="shared" si="174"/>
        <v>262444.72755441134</v>
      </c>
      <c r="F318" s="57">
        <f>E318*1.045</f>
        <v>274254.7402943598</v>
      </c>
      <c r="G318" s="57">
        <f t="shared" si="168"/>
        <v>283798.80525660352</v>
      </c>
      <c r="H318" s="57">
        <f t="shared" si="169"/>
        <v>315334.52849671734</v>
      </c>
      <c r="I318" s="57">
        <f t="shared" si="170"/>
        <v>291461.37299853179</v>
      </c>
      <c r="J318" s="57">
        <f t="shared" si="170"/>
        <v>323848.56076612865</v>
      </c>
      <c r="K318" s="57">
        <f t="shared" si="171"/>
        <v>298456.44595049653</v>
      </c>
      <c r="L318" s="9">
        <f t="shared" si="171"/>
        <v>331620.92622451572</v>
      </c>
      <c r="M318" s="9">
        <f t="shared" si="172"/>
        <v>306514.7699911599</v>
      </c>
      <c r="N318" s="9">
        <f t="shared" si="172"/>
        <v>340574.69123257761</v>
      </c>
      <c r="O318" s="78">
        <f t="shared" si="173"/>
        <v>313258.09493096545</v>
      </c>
      <c r="P318" s="78">
        <f t="shared" si="173"/>
        <v>348067.3344396943</v>
      </c>
      <c r="Q318" s="1">
        <f t="shared" si="143"/>
        <v>320776.28920930863</v>
      </c>
      <c r="R318" s="78">
        <f t="shared" si="144"/>
        <v>356420.95046624698</v>
      </c>
      <c r="S318" s="1">
        <f t="shared" si="145"/>
        <v>332645.01191005303</v>
      </c>
      <c r="T318" s="78">
        <f t="shared" si="146"/>
        <v>369608.52563349809</v>
      </c>
      <c r="U318" s="1">
        <f t="shared" si="147"/>
        <v>341959.07224353449</v>
      </c>
      <c r="V318" s="99">
        <f t="shared" si="148"/>
        <v>379957.56435123604</v>
      </c>
      <c r="W318" s="78">
        <f t="shared" si="149"/>
        <v>347088.45832718746</v>
      </c>
      <c r="X318" s="78">
        <f t="shared" si="150"/>
        <v>385656.92781650455</v>
      </c>
      <c r="Y318" s="78">
        <f t="shared" si="151"/>
        <v>352641.87366042245</v>
      </c>
      <c r="Z318" s="78">
        <f t="shared" si="152"/>
        <v>391827.43866156862</v>
      </c>
      <c r="AA318" s="78">
        <f t="shared" si="153"/>
        <v>359342.06925997045</v>
      </c>
      <c r="AB318" s="78">
        <f t="shared" si="154"/>
        <v>399272.15999613836</v>
      </c>
      <c r="AC318" s="1">
        <f t="shared" si="155"/>
        <v>366169.56857590983</v>
      </c>
      <c r="AD318" s="78">
        <f t="shared" si="156"/>
        <v>406858.33103606495</v>
      </c>
      <c r="AE318" s="1">
        <f t="shared" si="157"/>
        <v>373859.12951600389</v>
      </c>
      <c r="AF318" s="78">
        <f t="shared" si="158"/>
        <v>415402.35598782229</v>
      </c>
      <c r="AG318" s="141">
        <f t="shared" si="159"/>
        <v>378719.29819971189</v>
      </c>
      <c r="AH318" s="140">
        <f t="shared" si="160"/>
        <v>420802.58661566395</v>
      </c>
      <c r="AI318" s="141">
        <f t="shared" si="161"/>
        <v>386293.68416370614</v>
      </c>
      <c r="AJ318" s="140">
        <f t="shared" si="162"/>
        <v>429218.63834797725</v>
      </c>
      <c r="AK318" s="141">
        <f t="shared" si="163"/>
        <v>397496.20100445359</v>
      </c>
      <c r="AL318" s="140">
        <f t="shared" si="164"/>
        <v>441665.97886006854</v>
      </c>
      <c r="AM318" s="141">
        <f t="shared" si="165"/>
        <v>422538.46166773414</v>
      </c>
      <c r="AN318" s="141">
        <f t="shared" si="166"/>
        <v>469490.93552825286</v>
      </c>
    </row>
    <row r="319" spans="1:40">
      <c r="B319" s="19">
        <v>84100306</v>
      </c>
      <c r="C319" s="18" t="s">
        <v>401</v>
      </c>
      <c r="D319" s="16">
        <v>36546.137658928928</v>
      </c>
      <c r="E319" s="17">
        <f t="shared" si="174"/>
        <v>38373.444541875375</v>
      </c>
      <c r="F319" s="57">
        <f>E319*1.045</f>
        <v>40100.249546259765</v>
      </c>
      <c r="G319" s="57">
        <f t="shared" si="168"/>
        <v>41495.7382304696</v>
      </c>
      <c r="H319" s="57">
        <f t="shared" si="169"/>
        <v>46106.744662639387</v>
      </c>
      <c r="I319" s="57">
        <f t="shared" si="170"/>
        <v>42616.123162692274</v>
      </c>
      <c r="J319" s="57">
        <f t="shared" si="170"/>
        <v>47351.626768530645</v>
      </c>
      <c r="K319" s="57">
        <f t="shared" si="171"/>
        <v>43638.91011859689</v>
      </c>
      <c r="L319" s="9">
        <f t="shared" si="171"/>
        <v>48488.065810975379</v>
      </c>
      <c r="M319" s="9">
        <f t="shared" si="172"/>
        <v>44817.160691798999</v>
      </c>
      <c r="N319" s="9">
        <f t="shared" si="172"/>
        <v>49797.243587871708</v>
      </c>
      <c r="O319" s="78">
        <f t="shared" si="173"/>
        <v>45803.138227018579</v>
      </c>
      <c r="P319" s="78">
        <f t="shared" si="173"/>
        <v>50892.782946804888</v>
      </c>
      <c r="Q319" s="1">
        <f t="shared" si="143"/>
        <v>46902.413544467025</v>
      </c>
      <c r="R319" s="78">
        <f t="shared" si="144"/>
        <v>52114.209737528203</v>
      </c>
      <c r="S319" s="1">
        <f t="shared" si="145"/>
        <v>48637.802845612299</v>
      </c>
      <c r="T319" s="78">
        <f t="shared" si="146"/>
        <v>54042.435497816739</v>
      </c>
      <c r="U319" s="1">
        <f t="shared" si="147"/>
        <v>49999.661325289446</v>
      </c>
      <c r="V319" s="99">
        <f t="shared" si="148"/>
        <v>55555.623691755609</v>
      </c>
      <c r="W319" s="78">
        <f t="shared" si="149"/>
        <v>50749.656245168786</v>
      </c>
      <c r="X319" s="78">
        <f t="shared" si="150"/>
        <v>56388.958047131935</v>
      </c>
      <c r="Y319" s="78">
        <f t="shared" si="151"/>
        <v>51561.650745091487</v>
      </c>
      <c r="Z319" s="78">
        <f t="shared" si="152"/>
        <v>57291.181375886044</v>
      </c>
      <c r="AA319" s="78">
        <f t="shared" si="153"/>
        <v>52541.32210924822</v>
      </c>
      <c r="AB319" s="78">
        <f t="shared" si="154"/>
        <v>58379.713822027872</v>
      </c>
      <c r="AC319" s="1">
        <f t="shared" si="155"/>
        <v>53539.607229323934</v>
      </c>
      <c r="AD319" s="78">
        <f t="shared" si="156"/>
        <v>59488.928384646395</v>
      </c>
      <c r="AE319" s="1">
        <f t="shared" si="157"/>
        <v>54663.938981139734</v>
      </c>
      <c r="AF319" s="78">
        <f t="shared" si="158"/>
        <v>60738.195880723964</v>
      </c>
      <c r="AG319" s="141">
        <f t="shared" si="159"/>
        <v>55374.570187894547</v>
      </c>
      <c r="AH319" s="140">
        <f t="shared" si="160"/>
        <v>61527.792427173372</v>
      </c>
      <c r="AI319" s="141">
        <f t="shared" si="161"/>
        <v>56482.06159165244</v>
      </c>
      <c r="AJ319" s="140">
        <f t="shared" si="162"/>
        <v>62758.348275716839</v>
      </c>
      <c r="AK319" s="141">
        <f t="shared" si="163"/>
        <v>58120.041377810354</v>
      </c>
      <c r="AL319" s="140">
        <f t="shared" si="164"/>
        <v>64578.340375712622</v>
      </c>
      <c r="AM319" s="141">
        <f t="shared" si="165"/>
        <v>61781.603984612404</v>
      </c>
      <c r="AN319" s="141">
        <f t="shared" si="166"/>
        <v>68646.775819382514</v>
      </c>
    </row>
    <row r="320" spans="1:40">
      <c r="B320" s="19">
        <v>84100308</v>
      </c>
      <c r="C320" s="18" t="s">
        <v>402</v>
      </c>
      <c r="D320" s="16">
        <v>36546.137658928928</v>
      </c>
      <c r="E320" s="17">
        <f t="shared" si="174"/>
        <v>38373.444541875375</v>
      </c>
      <c r="F320" s="57">
        <f>E320*1.045</f>
        <v>40100.249546259765</v>
      </c>
      <c r="G320" s="57">
        <f t="shared" si="168"/>
        <v>41495.7382304696</v>
      </c>
      <c r="H320" s="57">
        <f t="shared" si="169"/>
        <v>46106.744662639387</v>
      </c>
      <c r="I320" s="57">
        <f t="shared" si="170"/>
        <v>42616.123162692274</v>
      </c>
      <c r="J320" s="57">
        <f t="shared" si="170"/>
        <v>47351.626768530645</v>
      </c>
      <c r="K320" s="57">
        <f t="shared" si="171"/>
        <v>43638.91011859689</v>
      </c>
      <c r="L320" s="9">
        <f t="shared" si="171"/>
        <v>48488.065810975379</v>
      </c>
      <c r="M320" s="9">
        <f t="shared" si="172"/>
        <v>44817.160691798999</v>
      </c>
      <c r="N320" s="9">
        <f t="shared" si="172"/>
        <v>49797.243587871708</v>
      </c>
      <c r="O320" s="78">
        <f t="shared" si="173"/>
        <v>45803.138227018579</v>
      </c>
      <c r="P320" s="78">
        <f t="shared" si="173"/>
        <v>50892.782946804888</v>
      </c>
      <c r="Q320" s="1">
        <f t="shared" si="143"/>
        <v>46902.413544467025</v>
      </c>
      <c r="R320" s="78">
        <f t="shared" si="144"/>
        <v>52114.209737528203</v>
      </c>
      <c r="S320" s="1">
        <f t="shared" si="145"/>
        <v>48637.802845612299</v>
      </c>
      <c r="T320" s="78">
        <f t="shared" si="146"/>
        <v>54042.435497816739</v>
      </c>
      <c r="U320" s="1">
        <f t="shared" si="147"/>
        <v>49999.661325289446</v>
      </c>
      <c r="V320" s="99">
        <f t="shared" si="148"/>
        <v>55555.623691755609</v>
      </c>
      <c r="W320" s="78">
        <f t="shared" si="149"/>
        <v>50749.656245168786</v>
      </c>
      <c r="X320" s="78">
        <f t="shared" si="150"/>
        <v>56388.958047131935</v>
      </c>
      <c r="Y320" s="78">
        <f t="shared" si="151"/>
        <v>51561.650745091487</v>
      </c>
      <c r="Z320" s="78">
        <f t="shared" si="152"/>
        <v>57291.181375886044</v>
      </c>
      <c r="AA320" s="78">
        <f t="shared" si="153"/>
        <v>52541.32210924822</v>
      </c>
      <c r="AB320" s="78">
        <f t="shared" si="154"/>
        <v>58379.713822027872</v>
      </c>
      <c r="AC320" s="1">
        <f t="shared" si="155"/>
        <v>53539.607229323934</v>
      </c>
      <c r="AD320" s="78">
        <f t="shared" si="156"/>
        <v>59488.928384646395</v>
      </c>
      <c r="AE320" s="1">
        <f t="shared" si="157"/>
        <v>54663.938981139734</v>
      </c>
      <c r="AF320" s="78">
        <f t="shared" si="158"/>
        <v>60738.195880723964</v>
      </c>
      <c r="AG320" s="141">
        <f t="shared" si="159"/>
        <v>55374.570187894547</v>
      </c>
      <c r="AH320" s="140">
        <f t="shared" si="160"/>
        <v>61527.792427173372</v>
      </c>
      <c r="AI320" s="141">
        <f t="shared" si="161"/>
        <v>56482.06159165244</v>
      </c>
      <c r="AJ320" s="140">
        <f t="shared" si="162"/>
        <v>62758.348275716839</v>
      </c>
      <c r="AK320" s="141">
        <f t="shared" si="163"/>
        <v>58120.041377810354</v>
      </c>
      <c r="AL320" s="140">
        <f t="shared" si="164"/>
        <v>64578.340375712622</v>
      </c>
      <c r="AM320" s="141">
        <f t="shared" si="165"/>
        <v>61781.603984612404</v>
      </c>
      <c r="AN320" s="141">
        <f t="shared" si="166"/>
        <v>68646.775819382514</v>
      </c>
    </row>
    <row r="321" spans="2:40">
      <c r="B321" s="19">
        <v>84100310</v>
      </c>
      <c r="C321" s="18" t="s">
        <v>403</v>
      </c>
      <c r="D321" s="16">
        <v>36546.137658928928</v>
      </c>
      <c r="E321" s="17">
        <f t="shared" si="174"/>
        <v>38373.444541875375</v>
      </c>
      <c r="F321" s="57">
        <f>E321*1.045</f>
        <v>40100.249546259765</v>
      </c>
      <c r="G321" s="57">
        <f t="shared" si="168"/>
        <v>41495.7382304696</v>
      </c>
      <c r="H321" s="57">
        <f t="shared" si="169"/>
        <v>46106.744662639387</v>
      </c>
      <c r="I321" s="57">
        <f t="shared" si="170"/>
        <v>42616.123162692274</v>
      </c>
      <c r="J321" s="57">
        <f t="shared" si="170"/>
        <v>47351.626768530645</v>
      </c>
      <c r="K321" s="57">
        <f t="shared" si="171"/>
        <v>43638.91011859689</v>
      </c>
      <c r="L321" s="9">
        <f t="shared" si="171"/>
        <v>48488.065810975379</v>
      </c>
      <c r="M321" s="9">
        <f t="shared" si="172"/>
        <v>44817.160691798999</v>
      </c>
      <c r="N321" s="9">
        <f t="shared" si="172"/>
        <v>49797.243587871708</v>
      </c>
      <c r="O321" s="78">
        <f t="shared" si="173"/>
        <v>45803.138227018579</v>
      </c>
      <c r="P321" s="78">
        <f t="shared" si="173"/>
        <v>50892.782946804888</v>
      </c>
      <c r="Q321" s="1">
        <f t="shared" si="143"/>
        <v>46902.413544467025</v>
      </c>
      <c r="R321" s="78">
        <f t="shared" si="144"/>
        <v>52114.209737528203</v>
      </c>
      <c r="S321" s="1">
        <f t="shared" si="145"/>
        <v>48637.802845612299</v>
      </c>
      <c r="T321" s="78">
        <f t="shared" si="146"/>
        <v>54042.435497816739</v>
      </c>
      <c r="U321" s="1">
        <f t="shared" si="147"/>
        <v>49999.661325289446</v>
      </c>
      <c r="V321" s="99">
        <f t="shared" si="148"/>
        <v>55555.623691755609</v>
      </c>
      <c r="W321" s="78">
        <f t="shared" si="149"/>
        <v>50749.656245168786</v>
      </c>
      <c r="X321" s="78">
        <f t="shared" si="150"/>
        <v>56388.958047131935</v>
      </c>
      <c r="Y321" s="78">
        <f t="shared" si="151"/>
        <v>51561.650745091487</v>
      </c>
      <c r="Z321" s="78">
        <f t="shared" si="152"/>
        <v>57291.181375886044</v>
      </c>
      <c r="AA321" s="78">
        <f t="shared" si="153"/>
        <v>52541.32210924822</v>
      </c>
      <c r="AB321" s="78">
        <f t="shared" si="154"/>
        <v>58379.713822027872</v>
      </c>
      <c r="AC321" s="1">
        <f t="shared" si="155"/>
        <v>53539.607229323934</v>
      </c>
      <c r="AD321" s="78">
        <f t="shared" si="156"/>
        <v>59488.928384646395</v>
      </c>
      <c r="AE321" s="1">
        <f t="shared" si="157"/>
        <v>54663.938981139734</v>
      </c>
      <c r="AF321" s="78">
        <f t="shared" si="158"/>
        <v>60738.195880723964</v>
      </c>
      <c r="AG321" s="141">
        <f t="shared" si="159"/>
        <v>55374.570187894547</v>
      </c>
      <c r="AH321" s="140">
        <f t="shared" si="160"/>
        <v>61527.792427173372</v>
      </c>
      <c r="AI321" s="141">
        <f t="shared" si="161"/>
        <v>56482.06159165244</v>
      </c>
      <c r="AJ321" s="140">
        <f t="shared" si="162"/>
        <v>62758.348275716839</v>
      </c>
      <c r="AK321" s="141">
        <f t="shared" si="163"/>
        <v>58120.041377810354</v>
      </c>
      <c r="AL321" s="140">
        <f t="shared" si="164"/>
        <v>64578.340375712622</v>
      </c>
      <c r="AM321" s="141">
        <f t="shared" si="165"/>
        <v>61781.603984612404</v>
      </c>
      <c r="AN321" s="141">
        <f t="shared" si="166"/>
        <v>68646.775819382514</v>
      </c>
    </row>
    <row r="322" spans="2:40">
      <c r="B322" s="19">
        <v>84100400</v>
      </c>
      <c r="C322" s="18" t="s">
        <v>404</v>
      </c>
      <c r="D322" s="16">
        <v>36546.137658928928</v>
      </c>
      <c r="E322" s="17">
        <f t="shared" si="174"/>
        <v>38373.444541875375</v>
      </c>
      <c r="F322" s="57">
        <f>E322*1.045</f>
        <v>40100.249546259765</v>
      </c>
      <c r="G322" s="57">
        <f t="shared" si="168"/>
        <v>41495.7382304696</v>
      </c>
      <c r="H322" s="57">
        <f t="shared" si="169"/>
        <v>46106.744662639387</v>
      </c>
      <c r="I322" s="57">
        <f t="shared" si="170"/>
        <v>42616.123162692274</v>
      </c>
      <c r="J322" s="57">
        <f t="shared" si="170"/>
        <v>47351.626768530645</v>
      </c>
      <c r="K322" s="57">
        <f t="shared" si="171"/>
        <v>43638.91011859689</v>
      </c>
      <c r="L322" s="9">
        <f t="shared" si="171"/>
        <v>48488.065810975379</v>
      </c>
      <c r="M322" s="9">
        <f t="shared" si="172"/>
        <v>44817.160691798999</v>
      </c>
      <c r="N322" s="9">
        <f t="shared" si="172"/>
        <v>49797.243587871708</v>
      </c>
      <c r="O322" s="78">
        <f t="shared" si="173"/>
        <v>45803.138227018579</v>
      </c>
      <c r="P322" s="78">
        <f t="shared" si="173"/>
        <v>50892.782946804888</v>
      </c>
      <c r="Q322" s="1">
        <f t="shared" si="143"/>
        <v>46902.413544467025</v>
      </c>
      <c r="R322" s="78">
        <f t="shared" si="144"/>
        <v>52114.209737528203</v>
      </c>
      <c r="S322" s="1">
        <f t="shared" si="145"/>
        <v>48637.802845612299</v>
      </c>
      <c r="T322" s="78">
        <f t="shared" si="146"/>
        <v>54042.435497816739</v>
      </c>
      <c r="U322" s="1">
        <f t="shared" si="147"/>
        <v>49999.661325289446</v>
      </c>
      <c r="V322" s="99">
        <f t="shared" si="148"/>
        <v>55555.623691755609</v>
      </c>
      <c r="W322" s="78">
        <f t="shared" si="149"/>
        <v>50749.656245168786</v>
      </c>
      <c r="X322" s="78">
        <f t="shared" si="150"/>
        <v>56388.958047131935</v>
      </c>
      <c r="Y322" s="78">
        <f t="shared" si="151"/>
        <v>51561.650745091487</v>
      </c>
      <c r="Z322" s="78">
        <f t="shared" si="152"/>
        <v>57291.181375886044</v>
      </c>
      <c r="AA322" s="78">
        <f t="shared" si="153"/>
        <v>52541.32210924822</v>
      </c>
      <c r="AB322" s="78">
        <f t="shared" si="154"/>
        <v>58379.713822027872</v>
      </c>
      <c r="AC322" s="1">
        <f t="shared" si="155"/>
        <v>53539.607229323934</v>
      </c>
      <c r="AD322" s="78">
        <f t="shared" si="156"/>
        <v>59488.928384646395</v>
      </c>
      <c r="AE322" s="1">
        <f t="shared" si="157"/>
        <v>54663.938981139734</v>
      </c>
      <c r="AF322" s="78">
        <f t="shared" si="158"/>
        <v>60738.195880723964</v>
      </c>
      <c r="AG322" s="141">
        <f t="shared" si="159"/>
        <v>55374.570187894547</v>
      </c>
      <c r="AH322" s="140">
        <f t="shared" si="160"/>
        <v>61527.792427173372</v>
      </c>
      <c r="AI322" s="141">
        <f t="shared" si="161"/>
        <v>56482.06159165244</v>
      </c>
      <c r="AJ322" s="140">
        <f t="shared" si="162"/>
        <v>62758.348275716839</v>
      </c>
      <c r="AK322" s="141">
        <f t="shared" si="163"/>
        <v>58120.041377810354</v>
      </c>
      <c r="AL322" s="140">
        <f t="shared" si="164"/>
        <v>64578.340375712622</v>
      </c>
      <c r="AM322" s="141">
        <f t="shared" si="165"/>
        <v>61781.603984612404</v>
      </c>
      <c r="AN322" s="141">
        <f t="shared" si="166"/>
        <v>68646.775819382514</v>
      </c>
    </row>
    <row r="323" spans="2:40">
      <c r="B323" s="19">
        <v>84101202</v>
      </c>
      <c r="C323" s="18" t="s">
        <v>405</v>
      </c>
      <c r="D323" s="16">
        <v>60583.367512437755</v>
      </c>
      <c r="E323" s="17">
        <f t="shared" si="174"/>
        <v>63612.535888059647</v>
      </c>
      <c r="F323" s="57">
        <f>E323*1.045</f>
        <v>66475.100003022322</v>
      </c>
      <c r="G323" s="57">
        <f t="shared" si="168"/>
        <v>68788.43348312749</v>
      </c>
      <c r="H323" s="57">
        <f t="shared" si="169"/>
        <v>76432.204211772623</v>
      </c>
      <c r="I323" s="57">
        <f t="shared" si="170"/>
        <v>70645.721187171919</v>
      </c>
      <c r="J323" s="57">
        <f t="shared" si="170"/>
        <v>78495.873725490485</v>
      </c>
      <c r="K323" s="57">
        <f t="shared" si="171"/>
        <v>72341.218495664041</v>
      </c>
      <c r="L323" s="9">
        <f t="shared" si="171"/>
        <v>80379.774694902255</v>
      </c>
      <c r="M323" s="9">
        <f t="shared" si="172"/>
        <v>74294.431395046966</v>
      </c>
      <c r="N323" s="9">
        <f t="shared" si="172"/>
        <v>82550.028611664602</v>
      </c>
      <c r="O323" s="78">
        <f t="shared" si="173"/>
        <v>75928.908885737997</v>
      </c>
      <c r="P323" s="78">
        <f t="shared" si="173"/>
        <v>84366.12924112122</v>
      </c>
      <c r="Q323" s="1">
        <f t="shared" si="143"/>
        <v>77751.202698995708</v>
      </c>
      <c r="R323" s="78">
        <f t="shared" si="144"/>
        <v>86390.916342908124</v>
      </c>
      <c r="S323" s="1">
        <f t="shared" si="145"/>
        <v>80627.997198858546</v>
      </c>
      <c r="T323" s="78">
        <f t="shared" si="146"/>
        <v>89587.38024759572</v>
      </c>
      <c r="U323" s="1">
        <f t="shared" si="147"/>
        <v>82885.581120426592</v>
      </c>
      <c r="V323" s="99">
        <f t="shared" si="148"/>
        <v>92095.826894528407</v>
      </c>
      <c r="W323" s="78">
        <f t="shared" si="149"/>
        <v>84128.864837232977</v>
      </c>
      <c r="X323" s="78">
        <f t="shared" si="150"/>
        <v>93477.264297946327</v>
      </c>
      <c r="Y323" s="78">
        <f t="shared" si="151"/>
        <v>85474.926674628703</v>
      </c>
      <c r="Z323" s="78">
        <f t="shared" si="152"/>
        <v>94972.900526713463</v>
      </c>
      <c r="AA323" s="78">
        <f t="shared" si="153"/>
        <v>87098.95028144664</v>
      </c>
      <c r="AB323" s="78">
        <f t="shared" si="154"/>
        <v>96777.38563672101</v>
      </c>
      <c r="AC323" s="1">
        <f t="shared" si="155"/>
        <v>88753.830336794112</v>
      </c>
      <c r="AD323" s="78">
        <f t="shared" si="156"/>
        <v>98616.155963818703</v>
      </c>
      <c r="AE323" s="1">
        <f t="shared" si="157"/>
        <v>90617.660773866781</v>
      </c>
      <c r="AF323" s="78">
        <f t="shared" si="158"/>
        <v>100687.09523905889</v>
      </c>
      <c r="AG323" s="141">
        <f t="shared" si="159"/>
        <v>91795.690363927046</v>
      </c>
      <c r="AH323" s="140">
        <f t="shared" si="160"/>
        <v>101996.02747716664</v>
      </c>
      <c r="AI323" s="141">
        <f t="shared" si="161"/>
        <v>93631.604171205589</v>
      </c>
      <c r="AJ323" s="140">
        <f t="shared" si="162"/>
        <v>104035.94802670999</v>
      </c>
      <c r="AK323" s="141">
        <f t="shared" si="163"/>
        <v>96346.920692170548</v>
      </c>
      <c r="AL323" s="140">
        <f t="shared" si="164"/>
        <v>107052.99051948456</v>
      </c>
      <c r="AM323" s="141">
        <f t="shared" si="165"/>
        <v>102416.77669577728</v>
      </c>
      <c r="AN323" s="141">
        <f t="shared" si="166"/>
        <v>113797.32892221208</v>
      </c>
    </row>
    <row r="324" spans="2:40">
      <c r="B324" s="19">
        <v>84101204</v>
      </c>
      <c r="C324" s="18" t="s">
        <v>406</v>
      </c>
      <c r="D324" s="16">
        <v>60583.367512437755</v>
      </c>
      <c r="E324" s="17">
        <f t="shared" si="174"/>
        <v>63612.535888059647</v>
      </c>
      <c r="F324" s="57">
        <f>E324*1.045</f>
        <v>66475.100003022322</v>
      </c>
      <c r="G324" s="57">
        <f t="shared" si="168"/>
        <v>68788.43348312749</v>
      </c>
      <c r="H324" s="57">
        <f t="shared" si="169"/>
        <v>76432.204211772623</v>
      </c>
      <c r="I324" s="57">
        <f t="shared" si="170"/>
        <v>70645.721187171919</v>
      </c>
      <c r="J324" s="57">
        <f t="shared" si="170"/>
        <v>78495.873725490485</v>
      </c>
      <c r="K324" s="57">
        <f t="shared" si="171"/>
        <v>72341.218495664041</v>
      </c>
      <c r="L324" s="9">
        <f t="shared" si="171"/>
        <v>80379.774694902255</v>
      </c>
      <c r="M324" s="9">
        <f t="shared" si="172"/>
        <v>74294.431395046966</v>
      </c>
      <c r="N324" s="9">
        <f t="shared" si="172"/>
        <v>82550.028611664602</v>
      </c>
      <c r="O324" s="78">
        <f t="shared" si="173"/>
        <v>75928.908885737997</v>
      </c>
      <c r="P324" s="78">
        <f t="shared" si="173"/>
        <v>84366.12924112122</v>
      </c>
      <c r="Q324" s="1">
        <f t="shared" si="143"/>
        <v>77751.202698995708</v>
      </c>
      <c r="R324" s="78">
        <f t="shared" si="144"/>
        <v>86390.916342908124</v>
      </c>
      <c r="S324" s="1">
        <f t="shared" si="145"/>
        <v>80627.997198858546</v>
      </c>
      <c r="T324" s="78">
        <f t="shared" si="146"/>
        <v>89587.38024759572</v>
      </c>
      <c r="U324" s="1">
        <f t="shared" si="147"/>
        <v>82885.581120426592</v>
      </c>
      <c r="V324" s="99">
        <f t="shared" si="148"/>
        <v>92095.826894528407</v>
      </c>
      <c r="W324" s="78">
        <f t="shared" si="149"/>
        <v>84128.864837232977</v>
      </c>
      <c r="X324" s="78">
        <f t="shared" si="150"/>
        <v>93477.264297946327</v>
      </c>
      <c r="Y324" s="78">
        <f t="shared" si="151"/>
        <v>85474.926674628703</v>
      </c>
      <c r="Z324" s="78">
        <f t="shared" si="152"/>
        <v>94972.900526713463</v>
      </c>
      <c r="AA324" s="78">
        <f t="shared" si="153"/>
        <v>87098.95028144664</v>
      </c>
      <c r="AB324" s="78">
        <f t="shared" si="154"/>
        <v>96777.38563672101</v>
      </c>
      <c r="AC324" s="1">
        <f t="shared" si="155"/>
        <v>88753.830336794112</v>
      </c>
      <c r="AD324" s="78">
        <f t="shared" si="156"/>
        <v>98616.155963818703</v>
      </c>
      <c r="AE324" s="1">
        <f t="shared" si="157"/>
        <v>90617.660773866781</v>
      </c>
      <c r="AF324" s="78">
        <f t="shared" si="158"/>
        <v>100687.09523905889</v>
      </c>
      <c r="AG324" s="141">
        <f t="shared" si="159"/>
        <v>91795.690363927046</v>
      </c>
      <c r="AH324" s="140">
        <f t="shared" si="160"/>
        <v>101996.02747716664</v>
      </c>
      <c r="AI324" s="141">
        <f t="shared" si="161"/>
        <v>93631.604171205589</v>
      </c>
      <c r="AJ324" s="140">
        <f t="shared" si="162"/>
        <v>104035.94802670999</v>
      </c>
      <c r="AK324" s="141">
        <f t="shared" si="163"/>
        <v>96346.920692170548</v>
      </c>
      <c r="AL324" s="140">
        <f t="shared" si="164"/>
        <v>107052.99051948456</v>
      </c>
      <c r="AM324" s="141">
        <f t="shared" si="165"/>
        <v>102416.77669577728</v>
      </c>
      <c r="AN324" s="141">
        <f t="shared" si="166"/>
        <v>113797.32892221208</v>
      </c>
    </row>
    <row r="325" spans="2:40">
      <c r="B325" s="19">
        <v>84101206</v>
      </c>
      <c r="C325" s="18" t="s">
        <v>407</v>
      </c>
      <c r="D325" s="16">
        <v>60583.367512437755</v>
      </c>
      <c r="E325" s="17">
        <f t="shared" si="174"/>
        <v>63612.535888059647</v>
      </c>
      <c r="F325" s="57">
        <f>E325*1.045</f>
        <v>66475.100003022322</v>
      </c>
      <c r="G325" s="57">
        <f t="shared" si="168"/>
        <v>68788.43348312749</v>
      </c>
      <c r="H325" s="57">
        <f t="shared" si="169"/>
        <v>76432.204211772623</v>
      </c>
      <c r="I325" s="57">
        <f t="shared" si="170"/>
        <v>70645.721187171919</v>
      </c>
      <c r="J325" s="57">
        <f t="shared" si="170"/>
        <v>78495.873725490485</v>
      </c>
      <c r="K325" s="57">
        <f t="shared" si="171"/>
        <v>72341.218495664041</v>
      </c>
      <c r="L325" s="9">
        <f t="shared" si="171"/>
        <v>80379.774694902255</v>
      </c>
      <c r="M325" s="9">
        <f t="shared" si="172"/>
        <v>74294.431395046966</v>
      </c>
      <c r="N325" s="9">
        <f t="shared" si="172"/>
        <v>82550.028611664602</v>
      </c>
      <c r="O325" s="78">
        <f t="shared" si="173"/>
        <v>75928.908885737997</v>
      </c>
      <c r="P325" s="78">
        <f t="shared" si="173"/>
        <v>84366.12924112122</v>
      </c>
      <c r="Q325" s="1">
        <f t="shared" si="143"/>
        <v>77751.202698995708</v>
      </c>
      <c r="R325" s="78">
        <f t="shared" si="144"/>
        <v>86390.916342908124</v>
      </c>
      <c r="S325" s="1">
        <f t="shared" si="145"/>
        <v>80627.997198858546</v>
      </c>
      <c r="T325" s="78">
        <f t="shared" si="146"/>
        <v>89587.38024759572</v>
      </c>
      <c r="U325" s="1">
        <f t="shared" si="147"/>
        <v>82885.581120426592</v>
      </c>
      <c r="V325" s="99">
        <f t="shared" si="148"/>
        <v>92095.826894528407</v>
      </c>
      <c r="W325" s="78">
        <f t="shared" si="149"/>
        <v>84128.864837232977</v>
      </c>
      <c r="X325" s="78">
        <f t="shared" si="150"/>
        <v>93477.264297946327</v>
      </c>
      <c r="Y325" s="78">
        <f t="shared" si="151"/>
        <v>85474.926674628703</v>
      </c>
      <c r="Z325" s="78">
        <f t="shared" si="152"/>
        <v>94972.900526713463</v>
      </c>
      <c r="AA325" s="78">
        <f t="shared" si="153"/>
        <v>87098.95028144664</v>
      </c>
      <c r="AB325" s="78">
        <f t="shared" si="154"/>
        <v>96777.38563672101</v>
      </c>
      <c r="AC325" s="1">
        <f t="shared" si="155"/>
        <v>88753.830336794112</v>
      </c>
      <c r="AD325" s="78">
        <f t="shared" si="156"/>
        <v>98616.155963818703</v>
      </c>
      <c r="AE325" s="1">
        <f t="shared" si="157"/>
        <v>90617.660773866781</v>
      </c>
      <c r="AF325" s="78">
        <f t="shared" si="158"/>
        <v>100687.09523905889</v>
      </c>
      <c r="AG325" s="141">
        <f t="shared" si="159"/>
        <v>91795.690363927046</v>
      </c>
      <c r="AH325" s="140">
        <f t="shared" si="160"/>
        <v>101996.02747716664</v>
      </c>
      <c r="AI325" s="141">
        <f t="shared" si="161"/>
        <v>93631.604171205589</v>
      </c>
      <c r="AJ325" s="140">
        <f t="shared" si="162"/>
        <v>104035.94802670999</v>
      </c>
      <c r="AK325" s="141">
        <f t="shared" si="163"/>
        <v>96346.920692170548</v>
      </c>
      <c r="AL325" s="140">
        <f t="shared" si="164"/>
        <v>107052.99051948456</v>
      </c>
      <c r="AM325" s="141">
        <f t="shared" si="165"/>
        <v>102416.77669577728</v>
      </c>
      <c r="AN325" s="141">
        <f t="shared" si="166"/>
        <v>113797.32892221208</v>
      </c>
    </row>
    <row r="326" spans="2:40">
      <c r="B326" s="19">
        <v>84101208</v>
      </c>
      <c r="C326" s="18" t="s">
        <v>408</v>
      </c>
      <c r="D326" s="16">
        <v>60583.367512437755</v>
      </c>
      <c r="E326" s="17">
        <f t="shared" si="174"/>
        <v>63612.535888059647</v>
      </c>
      <c r="F326" s="57">
        <f>E326*1.045</f>
        <v>66475.100003022322</v>
      </c>
      <c r="G326" s="57">
        <f t="shared" si="168"/>
        <v>68788.43348312749</v>
      </c>
      <c r="H326" s="57">
        <f t="shared" si="169"/>
        <v>76432.204211772623</v>
      </c>
      <c r="I326" s="57">
        <f t="shared" si="170"/>
        <v>70645.721187171919</v>
      </c>
      <c r="J326" s="57">
        <f t="shared" si="170"/>
        <v>78495.873725490485</v>
      </c>
      <c r="K326" s="57">
        <f t="shared" si="171"/>
        <v>72341.218495664041</v>
      </c>
      <c r="L326" s="9">
        <f t="shared" si="171"/>
        <v>80379.774694902255</v>
      </c>
      <c r="M326" s="9">
        <f t="shared" si="172"/>
        <v>74294.431395046966</v>
      </c>
      <c r="N326" s="9">
        <f t="shared" si="172"/>
        <v>82550.028611664602</v>
      </c>
      <c r="O326" s="78">
        <f t="shared" si="173"/>
        <v>75928.908885737997</v>
      </c>
      <c r="P326" s="78">
        <f t="shared" si="173"/>
        <v>84366.12924112122</v>
      </c>
      <c r="Q326" s="1">
        <f t="shared" si="143"/>
        <v>77751.202698995708</v>
      </c>
      <c r="R326" s="78">
        <f t="shared" si="144"/>
        <v>86390.916342908124</v>
      </c>
      <c r="S326" s="1">
        <f t="shared" si="145"/>
        <v>80627.997198858546</v>
      </c>
      <c r="T326" s="78">
        <f t="shared" si="146"/>
        <v>89587.38024759572</v>
      </c>
      <c r="U326" s="1">
        <f t="shared" si="147"/>
        <v>82885.581120426592</v>
      </c>
      <c r="V326" s="99">
        <f t="shared" si="148"/>
        <v>92095.826894528407</v>
      </c>
      <c r="W326" s="78">
        <f t="shared" si="149"/>
        <v>84128.864837232977</v>
      </c>
      <c r="X326" s="78">
        <f t="shared" si="150"/>
        <v>93477.264297946327</v>
      </c>
      <c r="Y326" s="78">
        <f t="shared" si="151"/>
        <v>85474.926674628703</v>
      </c>
      <c r="Z326" s="78">
        <f t="shared" si="152"/>
        <v>94972.900526713463</v>
      </c>
      <c r="AA326" s="78">
        <f t="shared" si="153"/>
        <v>87098.95028144664</v>
      </c>
      <c r="AB326" s="78">
        <f t="shared" si="154"/>
        <v>96777.38563672101</v>
      </c>
      <c r="AC326" s="1">
        <f t="shared" si="155"/>
        <v>88753.830336794112</v>
      </c>
      <c r="AD326" s="78">
        <f t="shared" si="156"/>
        <v>98616.155963818703</v>
      </c>
      <c r="AE326" s="1">
        <f t="shared" si="157"/>
        <v>90617.660773866781</v>
      </c>
      <c r="AF326" s="78">
        <f t="shared" si="158"/>
        <v>100687.09523905889</v>
      </c>
      <c r="AG326" s="141">
        <f t="shared" si="159"/>
        <v>91795.690363927046</v>
      </c>
      <c r="AH326" s="140">
        <f t="shared" si="160"/>
        <v>101996.02747716664</v>
      </c>
      <c r="AI326" s="141">
        <f t="shared" si="161"/>
        <v>93631.604171205589</v>
      </c>
      <c r="AJ326" s="140">
        <f t="shared" si="162"/>
        <v>104035.94802670999</v>
      </c>
      <c r="AK326" s="141">
        <f t="shared" si="163"/>
        <v>96346.920692170548</v>
      </c>
      <c r="AL326" s="140">
        <f t="shared" si="164"/>
        <v>107052.99051948456</v>
      </c>
      <c r="AM326" s="141">
        <f t="shared" si="165"/>
        <v>102416.77669577728</v>
      </c>
      <c r="AN326" s="141">
        <f t="shared" si="166"/>
        <v>113797.32892221208</v>
      </c>
    </row>
    <row r="327" spans="2:40">
      <c r="B327" s="19">
        <v>84101210</v>
      </c>
      <c r="C327" s="18" t="s">
        <v>409</v>
      </c>
      <c r="D327" s="16">
        <v>60583.367512437755</v>
      </c>
      <c r="E327" s="17">
        <f t="shared" si="174"/>
        <v>63612.535888059647</v>
      </c>
      <c r="F327" s="57">
        <f>E327*1.045</f>
        <v>66475.100003022322</v>
      </c>
      <c r="G327" s="57">
        <f t="shared" si="168"/>
        <v>68788.43348312749</v>
      </c>
      <c r="H327" s="57">
        <f t="shared" si="169"/>
        <v>76432.204211772623</v>
      </c>
      <c r="I327" s="57">
        <f t="shared" si="170"/>
        <v>70645.721187171919</v>
      </c>
      <c r="J327" s="57">
        <f t="shared" si="170"/>
        <v>78495.873725490485</v>
      </c>
      <c r="K327" s="57">
        <f t="shared" si="171"/>
        <v>72341.218495664041</v>
      </c>
      <c r="L327" s="9">
        <f t="shared" si="171"/>
        <v>80379.774694902255</v>
      </c>
      <c r="M327" s="9">
        <f t="shared" si="172"/>
        <v>74294.431395046966</v>
      </c>
      <c r="N327" s="9">
        <f t="shared" si="172"/>
        <v>82550.028611664602</v>
      </c>
      <c r="O327" s="78">
        <f t="shared" si="173"/>
        <v>75928.908885737997</v>
      </c>
      <c r="P327" s="78">
        <f t="shared" si="173"/>
        <v>84366.12924112122</v>
      </c>
      <c r="Q327" s="1">
        <f t="shared" si="143"/>
        <v>77751.202698995708</v>
      </c>
      <c r="R327" s="78">
        <f t="shared" si="144"/>
        <v>86390.916342908124</v>
      </c>
      <c r="S327" s="1">
        <f t="shared" si="145"/>
        <v>80627.997198858546</v>
      </c>
      <c r="T327" s="78">
        <f t="shared" si="146"/>
        <v>89587.38024759572</v>
      </c>
      <c r="U327" s="1">
        <f t="shared" si="147"/>
        <v>82885.581120426592</v>
      </c>
      <c r="V327" s="99">
        <f t="shared" si="148"/>
        <v>92095.826894528407</v>
      </c>
      <c r="W327" s="78">
        <f t="shared" si="149"/>
        <v>84128.864837232977</v>
      </c>
      <c r="X327" s="78">
        <f t="shared" si="150"/>
        <v>93477.264297946327</v>
      </c>
      <c r="Y327" s="78">
        <f t="shared" si="151"/>
        <v>85474.926674628703</v>
      </c>
      <c r="Z327" s="78">
        <f t="shared" si="152"/>
        <v>94972.900526713463</v>
      </c>
      <c r="AA327" s="78">
        <f t="shared" si="153"/>
        <v>87098.95028144664</v>
      </c>
      <c r="AB327" s="78">
        <f t="shared" si="154"/>
        <v>96777.38563672101</v>
      </c>
      <c r="AC327" s="1">
        <f t="shared" si="155"/>
        <v>88753.830336794112</v>
      </c>
      <c r="AD327" s="78">
        <f t="shared" si="156"/>
        <v>98616.155963818703</v>
      </c>
      <c r="AE327" s="1">
        <f t="shared" si="157"/>
        <v>90617.660773866781</v>
      </c>
      <c r="AF327" s="78">
        <f t="shared" si="158"/>
        <v>100687.09523905889</v>
      </c>
      <c r="AG327" s="141">
        <f t="shared" si="159"/>
        <v>91795.690363927046</v>
      </c>
      <c r="AH327" s="140">
        <f t="shared" si="160"/>
        <v>101996.02747716664</v>
      </c>
      <c r="AI327" s="141">
        <f t="shared" si="161"/>
        <v>93631.604171205589</v>
      </c>
      <c r="AJ327" s="140">
        <f t="shared" si="162"/>
        <v>104035.94802670999</v>
      </c>
      <c r="AK327" s="141">
        <f t="shared" si="163"/>
        <v>96346.920692170548</v>
      </c>
      <c r="AL327" s="140">
        <f t="shared" si="164"/>
        <v>107052.99051948456</v>
      </c>
      <c r="AM327" s="141">
        <f t="shared" si="165"/>
        <v>102416.77669577728</v>
      </c>
      <c r="AN327" s="141">
        <f t="shared" si="166"/>
        <v>113797.32892221208</v>
      </c>
    </row>
    <row r="328" spans="2:40">
      <c r="B328" s="19">
        <v>84101212</v>
      </c>
      <c r="C328" s="18" t="s">
        <v>410</v>
      </c>
      <c r="D328" s="16">
        <v>60583.367512437755</v>
      </c>
      <c r="E328" s="17">
        <f t="shared" si="174"/>
        <v>63612.535888059647</v>
      </c>
      <c r="F328" s="57">
        <f>E328*1.045</f>
        <v>66475.100003022322</v>
      </c>
      <c r="G328" s="57">
        <f t="shared" si="168"/>
        <v>68788.43348312749</v>
      </c>
      <c r="H328" s="57">
        <f t="shared" si="169"/>
        <v>76432.204211772623</v>
      </c>
      <c r="I328" s="57">
        <f t="shared" si="170"/>
        <v>70645.721187171919</v>
      </c>
      <c r="J328" s="57">
        <f t="shared" si="170"/>
        <v>78495.873725490485</v>
      </c>
      <c r="K328" s="57">
        <f t="shared" si="171"/>
        <v>72341.218495664041</v>
      </c>
      <c r="L328" s="9">
        <f t="shared" si="171"/>
        <v>80379.774694902255</v>
      </c>
      <c r="M328" s="9">
        <f t="shared" si="172"/>
        <v>74294.431395046966</v>
      </c>
      <c r="N328" s="9">
        <f t="shared" si="172"/>
        <v>82550.028611664602</v>
      </c>
      <c r="O328" s="78">
        <f t="shared" si="173"/>
        <v>75928.908885737997</v>
      </c>
      <c r="P328" s="78">
        <f t="shared" si="173"/>
        <v>84366.12924112122</v>
      </c>
      <c r="Q328" s="1">
        <f t="shared" si="143"/>
        <v>77751.202698995708</v>
      </c>
      <c r="R328" s="78">
        <f t="shared" si="144"/>
        <v>86390.916342908124</v>
      </c>
      <c r="S328" s="1">
        <f t="shared" si="145"/>
        <v>80627.997198858546</v>
      </c>
      <c r="T328" s="78">
        <f t="shared" si="146"/>
        <v>89587.38024759572</v>
      </c>
      <c r="U328" s="1">
        <f t="shared" si="147"/>
        <v>82885.581120426592</v>
      </c>
      <c r="V328" s="99">
        <f t="shared" si="148"/>
        <v>92095.826894528407</v>
      </c>
      <c r="W328" s="78">
        <f t="shared" si="149"/>
        <v>84128.864837232977</v>
      </c>
      <c r="X328" s="78">
        <f t="shared" si="150"/>
        <v>93477.264297946327</v>
      </c>
      <c r="Y328" s="78">
        <f t="shared" si="151"/>
        <v>85474.926674628703</v>
      </c>
      <c r="Z328" s="78">
        <f t="shared" si="152"/>
        <v>94972.900526713463</v>
      </c>
      <c r="AA328" s="78">
        <f t="shared" si="153"/>
        <v>87098.95028144664</v>
      </c>
      <c r="AB328" s="78">
        <f t="shared" si="154"/>
        <v>96777.38563672101</v>
      </c>
      <c r="AC328" s="1">
        <f t="shared" si="155"/>
        <v>88753.830336794112</v>
      </c>
      <c r="AD328" s="78">
        <f t="shared" si="156"/>
        <v>98616.155963818703</v>
      </c>
      <c r="AE328" s="1">
        <f t="shared" si="157"/>
        <v>90617.660773866781</v>
      </c>
      <c r="AF328" s="78">
        <f t="shared" si="158"/>
        <v>100687.09523905889</v>
      </c>
      <c r="AG328" s="141">
        <f t="shared" si="159"/>
        <v>91795.690363927046</v>
      </c>
      <c r="AH328" s="140">
        <f t="shared" si="160"/>
        <v>101996.02747716664</v>
      </c>
      <c r="AI328" s="141">
        <f t="shared" si="161"/>
        <v>93631.604171205589</v>
      </c>
      <c r="AJ328" s="140">
        <f t="shared" si="162"/>
        <v>104035.94802670999</v>
      </c>
      <c r="AK328" s="141">
        <f t="shared" si="163"/>
        <v>96346.920692170548</v>
      </c>
      <c r="AL328" s="140">
        <f t="shared" si="164"/>
        <v>107052.99051948456</v>
      </c>
      <c r="AM328" s="141">
        <f t="shared" si="165"/>
        <v>102416.77669577728</v>
      </c>
      <c r="AN328" s="141">
        <f t="shared" si="166"/>
        <v>113797.32892221208</v>
      </c>
    </row>
    <row r="329" spans="2:40">
      <c r="B329" s="19">
        <v>84101214</v>
      </c>
      <c r="C329" s="18" t="s">
        <v>411</v>
      </c>
      <c r="D329" s="16">
        <v>60583.367512437755</v>
      </c>
      <c r="E329" s="17">
        <f t="shared" si="174"/>
        <v>63612.535888059647</v>
      </c>
      <c r="F329" s="57">
        <f>E329*1.045</f>
        <v>66475.100003022322</v>
      </c>
      <c r="G329" s="57">
        <f t="shared" ref="G329:G351" si="175">F329*1.0348</f>
        <v>68788.43348312749</v>
      </c>
      <c r="H329" s="57">
        <f t="shared" ref="H329:H351" si="176">G329*1.11112</f>
        <v>76432.204211772623</v>
      </c>
      <c r="I329" s="57">
        <f t="shared" ref="I329:J351" si="177">G329*1.027</f>
        <v>70645.721187171919</v>
      </c>
      <c r="J329" s="57">
        <f t="shared" si="177"/>
        <v>78495.873725490485</v>
      </c>
      <c r="K329" s="57">
        <f t="shared" ref="K329:L351" si="178">I329*1.024</f>
        <v>72341.218495664041</v>
      </c>
      <c r="L329" s="9">
        <f t="shared" si="178"/>
        <v>80379.774694902255</v>
      </c>
      <c r="M329" s="9">
        <f t="shared" ref="M329:N351" si="179">K329*1.027</f>
        <v>74294.431395046966</v>
      </c>
      <c r="N329" s="9">
        <f t="shared" si="179"/>
        <v>82550.028611664602</v>
      </c>
      <c r="O329" s="78">
        <f t="shared" ref="O329:P351" si="180">M329*1.022</f>
        <v>75928.908885737997</v>
      </c>
      <c r="P329" s="78">
        <f t="shared" si="180"/>
        <v>84366.12924112122</v>
      </c>
      <c r="Q329" s="1">
        <f t="shared" si="143"/>
        <v>77751.202698995708</v>
      </c>
      <c r="R329" s="78">
        <f t="shared" si="144"/>
        <v>86390.916342908124</v>
      </c>
      <c r="S329" s="1">
        <f t="shared" si="145"/>
        <v>80627.997198858546</v>
      </c>
      <c r="T329" s="78">
        <f t="shared" si="146"/>
        <v>89587.38024759572</v>
      </c>
      <c r="U329" s="1">
        <f t="shared" si="147"/>
        <v>82885.581120426592</v>
      </c>
      <c r="V329" s="99">
        <f t="shared" si="148"/>
        <v>92095.826894528407</v>
      </c>
      <c r="W329" s="78">
        <f t="shared" si="149"/>
        <v>84128.864837232977</v>
      </c>
      <c r="X329" s="78">
        <f t="shared" si="150"/>
        <v>93477.264297946327</v>
      </c>
      <c r="Y329" s="78">
        <f t="shared" si="151"/>
        <v>85474.926674628703</v>
      </c>
      <c r="Z329" s="78">
        <f t="shared" si="152"/>
        <v>94972.900526713463</v>
      </c>
      <c r="AA329" s="78">
        <f t="shared" si="153"/>
        <v>87098.95028144664</v>
      </c>
      <c r="AB329" s="78">
        <f t="shared" si="154"/>
        <v>96777.38563672101</v>
      </c>
      <c r="AC329" s="1">
        <f t="shared" si="155"/>
        <v>88753.830336794112</v>
      </c>
      <c r="AD329" s="78">
        <f t="shared" si="156"/>
        <v>98616.155963818703</v>
      </c>
      <c r="AE329" s="1">
        <f t="shared" si="157"/>
        <v>90617.660773866781</v>
      </c>
      <c r="AF329" s="78">
        <f t="shared" si="158"/>
        <v>100687.09523905889</v>
      </c>
      <c r="AG329" s="141">
        <f t="shared" ref="AG329:AG392" si="181">AE329*1.013</f>
        <v>91795.690363927046</v>
      </c>
      <c r="AH329" s="140">
        <f t="shared" ref="AH329:AH392" si="182">AF329*1.013</f>
        <v>101996.02747716664</v>
      </c>
      <c r="AI329" s="141">
        <f t="shared" ref="AI329:AI392" si="183">AG329*1.02</f>
        <v>93631.604171205589</v>
      </c>
      <c r="AJ329" s="140">
        <f t="shared" ref="AJ329:AJ392" si="184">AH329*1.02</f>
        <v>104035.94802670999</v>
      </c>
      <c r="AK329" s="141">
        <f t="shared" ref="AK329:AK392" si="185">AI329*1.029</f>
        <v>96346.920692170548</v>
      </c>
      <c r="AL329" s="140">
        <f t="shared" ref="AL329:AL392" si="186">AJ329*1.029</f>
        <v>107052.99051948456</v>
      </c>
      <c r="AM329" s="141">
        <f t="shared" ref="AM329:AM392" si="187">AK329*1.063</f>
        <v>102416.77669577728</v>
      </c>
      <c r="AN329" s="141">
        <f t="shared" ref="AN329:AN392" si="188">AL329*1.063</f>
        <v>113797.32892221208</v>
      </c>
    </row>
    <row r="330" spans="2:40">
      <c r="B330" s="19">
        <v>84101216</v>
      </c>
      <c r="C330" s="18" t="s">
        <v>412</v>
      </c>
      <c r="D330" s="16">
        <v>60583.367512437755</v>
      </c>
      <c r="E330" s="17">
        <f t="shared" si="174"/>
        <v>63612.535888059647</v>
      </c>
      <c r="F330" s="57">
        <f>E330*1.045</f>
        <v>66475.100003022322</v>
      </c>
      <c r="G330" s="57">
        <f t="shared" si="175"/>
        <v>68788.43348312749</v>
      </c>
      <c r="H330" s="57">
        <f t="shared" si="176"/>
        <v>76432.204211772623</v>
      </c>
      <c r="I330" s="57">
        <f t="shared" si="177"/>
        <v>70645.721187171919</v>
      </c>
      <c r="J330" s="57">
        <f t="shared" si="177"/>
        <v>78495.873725490485</v>
      </c>
      <c r="K330" s="57">
        <f t="shared" si="178"/>
        <v>72341.218495664041</v>
      </c>
      <c r="L330" s="9">
        <f t="shared" si="178"/>
        <v>80379.774694902255</v>
      </c>
      <c r="M330" s="9">
        <f t="shared" si="179"/>
        <v>74294.431395046966</v>
      </c>
      <c r="N330" s="9">
        <f t="shared" si="179"/>
        <v>82550.028611664602</v>
      </c>
      <c r="O330" s="78">
        <f t="shared" si="180"/>
        <v>75928.908885737997</v>
      </c>
      <c r="P330" s="78">
        <f t="shared" si="180"/>
        <v>84366.12924112122</v>
      </c>
      <c r="Q330" s="1">
        <f t="shared" si="143"/>
        <v>77751.202698995708</v>
      </c>
      <c r="R330" s="78">
        <f t="shared" si="144"/>
        <v>86390.916342908124</v>
      </c>
      <c r="S330" s="1">
        <f t="shared" si="145"/>
        <v>80627.997198858546</v>
      </c>
      <c r="T330" s="78">
        <f t="shared" si="146"/>
        <v>89587.38024759572</v>
      </c>
      <c r="U330" s="1">
        <f t="shared" si="147"/>
        <v>82885.581120426592</v>
      </c>
      <c r="V330" s="99">
        <f t="shared" si="148"/>
        <v>92095.826894528407</v>
      </c>
      <c r="W330" s="78">
        <f t="shared" si="149"/>
        <v>84128.864837232977</v>
      </c>
      <c r="X330" s="78">
        <f t="shared" si="150"/>
        <v>93477.264297946327</v>
      </c>
      <c r="Y330" s="78">
        <f t="shared" si="151"/>
        <v>85474.926674628703</v>
      </c>
      <c r="Z330" s="78">
        <f t="shared" si="152"/>
        <v>94972.900526713463</v>
      </c>
      <c r="AA330" s="78">
        <f t="shared" si="153"/>
        <v>87098.95028144664</v>
      </c>
      <c r="AB330" s="78">
        <f t="shared" si="154"/>
        <v>96777.38563672101</v>
      </c>
      <c r="AC330" s="1">
        <f t="shared" si="155"/>
        <v>88753.830336794112</v>
      </c>
      <c r="AD330" s="78">
        <f t="shared" si="156"/>
        <v>98616.155963818703</v>
      </c>
      <c r="AE330" s="1">
        <f t="shared" si="157"/>
        <v>90617.660773866781</v>
      </c>
      <c r="AF330" s="78">
        <f t="shared" si="158"/>
        <v>100687.09523905889</v>
      </c>
      <c r="AG330" s="141">
        <f t="shared" si="181"/>
        <v>91795.690363927046</v>
      </c>
      <c r="AH330" s="140">
        <f t="shared" si="182"/>
        <v>101996.02747716664</v>
      </c>
      <c r="AI330" s="141">
        <f t="shared" si="183"/>
        <v>93631.604171205589</v>
      </c>
      <c r="AJ330" s="140">
        <f t="shared" si="184"/>
        <v>104035.94802670999</v>
      </c>
      <c r="AK330" s="141">
        <f t="shared" si="185"/>
        <v>96346.920692170548</v>
      </c>
      <c r="AL330" s="140">
        <f t="shared" si="186"/>
        <v>107052.99051948456</v>
      </c>
      <c r="AM330" s="141">
        <f t="shared" si="187"/>
        <v>102416.77669577728</v>
      </c>
      <c r="AN330" s="141">
        <f t="shared" si="188"/>
        <v>113797.32892221208</v>
      </c>
    </row>
    <row r="331" spans="2:40">
      <c r="B331" s="19">
        <v>84101218</v>
      </c>
      <c r="C331" s="18" t="s">
        <v>413</v>
      </c>
      <c r="D331" s="16">
        <v>60583.367512437755</v>
      </c>
      <c r="E331" s="17">
        <f t="shared" si="174"/>
        <v>63612.535888059647</v>
      </c>
      <c r="F331" s="57">
        <f>E331*1.045</f>
        <v>66475.100003022322</v>
      </c>
      <c r="G331" s="57">
        <f t="shared" si="175"/>
        <v>68788.43348312749</v>
      </c>
      <c r="H331" s="57">
        <f t="shared" si="176"/>
        <v>76432.204211772623</v>
      </c>
      <c r="I331" s="57">
        <f t="shared" si="177"/>
        <v>70645.721187171919</v>
      </c>
      <c r="J331" s="57">
        <f t="shared" si="177"/>
        <v>78495.873725490485</v>
      </c>
      <c r="K331" s="57">
        <f t="shared" si="178"/>
        <v>72341.218495664041</v>
      </c>
      <c r="L331" s="9">
        <f t="shared" si="178"/>
        <v>80379.774694902255</v>
      </c>
      <c r="M331" s="9">
        <f t="shared" si="179"/>
        <v>74294.431395046966</v>
      </c>
      <c r="N331" s="9">
        <f t="shared" si="179"/>
        <v>82550.028611664602</v>
      </c>
      <c r="O331" s="78">
        <f t="shared" si="180"/>
        <v>75928.908885737997</v>
      </c>
      <c r="P331" s="78">
        <f t="shared" si="180"/>
        <v>84366.12924112122</v>
      </c>
      <c r="Q331" s="1">
        <f t="shared" si="143"/>
        <v>77751.202698995708</v>
      </c>
      <c r="R331" s="78">
        <f t="shared" si="144"/>
        <v>86390.916342908124</v>
      </c>
      <c r="S331" s="1">
        <f t="shared" si="145"/>
        <v>80627.997198858546</v>
      </c>
      <c r="T331" s="78">
        <f t="shared" si="146"/>
        <v>89587.38024759572</v>
      </c>
      <c r="U331" s="1">
        <f t="shared" si="147"/>
        <v>82885.581120426592</v>
      </c>
      <c r="V331" s="99">
        <f t="shared" si="148"/>
        <v>92095.826894528407</v>
      </c>
      <c r="W331" s="78">
        <f t="shared" si="149"/>
        <v>84128.864837232977</v>
      </c>
      <c r="X331" s="78">
        <f t="shared" si="150"/>
        <v>93477.264297946327</v>
      </c>
      <c r="Y331" s="78">
        <f t="shared" si="151"/>
        <v>85474.926674628703</v>
      </c>
      <c r="Z331" s="78">
        <f t="shared" si="152"/>
        <v>94972.900526713463</v>
      </c>
      <c r="AA331" s="78">
        <f t="shared" si="153"/>
        <v>87098.95028144664</v>
      </c>
      <c r="AB331" s="78">
        <f t="shared" si="154"/>
        <v>96777.38563672101</v>
      </c>
      <c r="AC331" s="1">
        <f t="shared" si="155"/>
        <v>88753.830336794112</v>
      </c>
      <c r="AD331" s="78">
        <f t="shared" si="156"/>
        <v>98616.155963818703</v>
      </c>
      <c r="AE331" s="1">
        <f t="shared" si="157"/>
        <v>90617.660773866781</v>
      </c>
      <c r="AF331" s="78">
        <f t="shared" si="158"/>
        <v>100687.09523905889</v>
      </c>
      <c r="AG331" s="141">
        <f t="shared" si="181"/>
        <v>91795.690363927046</v>
      </c>
      <c r="AH331" s="140">
        <f t="shared" si="182"/>
        <v>101996.02747716664</v>
      </c>
      <c r="AI331" s="141">
        <f t="shared" si="183"/>
        <v>93631.604171205589</v>
      </c>
      <c r="AJ331" s="140">
        <f t="shared" si="184"/>
        <v>104035.94802670999</v>
      </c>
      <c r="AK331" s="141">
        <f t="shared" si="185"/>
        <v>96346.920692170548</v>
      </c>
      <c r="AL331" s="140">
        <f t="shared" si="186"/>
        <v>107052.99051948456</v>
      </c>
      <c r="AM331" s="141">
        <f t="shared" si="187"/>
        <v>102416.77669577728</v>
      </c>
      <c r="AN331" s="141">
        <f t="shared" si="188"/>
        <v>113797.32892221208</v>
      </c>
    </row>
    <row r="332" spans="2:40">
      <c r="B332" s="19">
        <v>84101241</v>
      </c>
      <c r="C332" s="18" t="s">
        <v>414</v>
      </c>
      <c r="D332" s="16">
        <v>60583.367512437755</v>
      </c>
      <c r="E332" s="17">
        <f t="shared" ref="E332:E356" si="189">D332*1.05</f>
        <v>63612.535888059647</v>
      </c>
      <c r="F332" s="57">
        <f>E332*1.045</f>
        <v>66475.100003022322</v>
      </c>
      <c r="G332" s="57">
        <f t="shared" si="175"/>
        <v>68788.43348312749</v>
      </c>
      <c r="H332" s="57">
        <f t="shared" si="176"/>
        <v>76432.204211772623</v>
      </c>
      <c r="I332" s="57">
        <f t="shared" si="177"/>
        <v>70645.721187171919</v>
      </c>
      <c r="J332" s="57">
        <f t="shared" si="177"/>
        <v>78495.873725490485</v>
      </c>
      <c r="K332" s="57">
        <f t="shared" si="178"/>
        <v>72341.218495664041</v>
      </c>
      <c r="L332" s="9">
        <f t="shared" si="178"/>
        <v>80379.774694902255</v>
      </c>
      <c r="M332" s="9">
        <f t="shared" si="179"/>
        <v>74294.431395046966</v>
      </c>
      <c r="N332" s="9">
        <f t="shared" si="179"/>
        <v>82550.028611664602</v>
      </c>
      <c r="O332" s="78">
        <f t="shared" si="180"/>
        <v>75928.908885737997</v>
      </c>
      <c r="P332" s="78">
        <f t="shared" si="180"/>
        <v>84366.12924112122</v>
      </c>
      <c r="Q332" s="1">
        <f t="shared" si="143"/>
        <v>77751.202698995708</v>
      </c>
      <c r="R332" s="78">
        <f t="shared" si="144"/>
        <v>86390.916342908124</v>
      </c>
      <c r="S332" s="1">
        <f t="shared" si="145"/>
        <v>80627.997198858546</v>
      </c>
      <c r="T332" s="78">
        <f t="shared" si="146"/>
        <v>89587.38024759572</v>
      </c>
      <c r="U332" s="1">
        <f t="shared" si="147"/>
        <v>82885.581120426592</v>
      </c>
      <c r="V332" s="99">
        <f t="shared" si="148"/>
        <v>92095.826894528407</v>
      </c>
      <c r="W332" s="78">
        <f t="shared" si="149"/>
        <v>84128.864837232977</v>
      </c>
      <c r="X332" s="78">
        <f t="shared" si="150"/>
        <v>93477.264297946327</v>
      </c>
      <c r="Y332" s="78">
        <f t="shared" si="151"/>
        <v>85474.926674628703</v>
      </c>
      <c r="Z332" s="78">
        <f t="shared" si="152"/>
        <v>94972.900526713463</v>
      </c>
      <c r="AA332" s="78">
        <f t="shared" si="153"/>
        <v>87098.95028144664</v>
      </c>
      <c r="AB332" s="78">
        <f t="shared" si="154"/>
        <v>96777.38563672101</v>
      </c>
      <c r="AC332" s="1">
        <f t="shared" si="155"/>
        <v>88753.830336794112</v>
      </c>
      <c r="AD332" s="78">
        <f t="shared" si="156"/>
        <v>98616.155963818703</v>
      </c>
      <c r="AE332" s="1">
        <f t="shared" si="157"/>
        <v>90617.660773866781</v>
      </c>
      <c r="AF332" s="78">
        <f t="shared" si="158"/>
        <v>100687.09523905889</v>
      </c>
      <c r="AG332" s="141">
        <f t="shared" si="181"/>
        <v>91795.690363927046</v>
      </c>
      <c r="AH332" s="140">
        <f t="shared" si="182"/>
        <v>101996.02747716664</v>
      </c>
      <c r="AI332" s="141">
        <f t="shared" si="183"/>
        <v>93631.604171205589</v>
      </c>
      <c r="AJ332" s="140">
        <f t="shared" si="184"/>
        <v>104035.94802670999</v>
      </c>
      <c r="AK332" s="141">
        <f t="shared" si="185"/>
        <v>96346.920692170548</v>
      </c>
      <c r="AL332" s="140">
        <f t="shared" si="186"/>
        <v>107052.99051948456</v>
      </c>
      <c r="AM332" s="141">
        <f t="shared" si="187"/>
        <v>102416.77669577728</v>
      </c>
      <c r="AN332" s="141">
        <f t="shared" si="188"/>
        <v>113797.32892221208</v>
      </c>
    </row>
    <row r="333" spans="2:40">
      <c r="B333" s="19">
        <v>84101306</v>
      </c>
      <c r="C333" s="18" t="s">
        <v>415</v>
      </c>
      <c r="D333" s="16">
        <v>84887.158552270674</v>
      </c>
      <c r="E333" s="17">
        <f t="shared" si="189"/>
        <v>89131.516479884216</v>
      </c>
      <c r="F333" s="57">
        <f>E333*1.045</f>
        <v>93142.434721479003</v>
      </c>
      <c r="G333" s="57">
        <f t="shared" si="175"/>
        <v>96383.791449786469</v>
      </c>
      <c r="H333" s="57">
        <f t="shared" si="176"/>
        <v>107093.95835568676</v>
      </c>
      <c r="I333" s="57">
        <f t="shared" si="177"/>
        <v>98986.153818930703</v>
      </c>
      <c r="J333" s="57">
        <f t="shared" si="177"/>
        <v>109985.49523129029</v>
      </c>
      <c r="K333" s="57">
        <f t="shared" si="178"/>
        <v>101361.82151058504</v>
      </c>
      <c r="L333" s="9">
        <f t="shared" si="178"/>
        <v>112625.14711684125</v>
      </c>
      <c r="M333" s="9">
        <f t="shared" si="179"/>
        <v>104098.59069137083</v>
      </c>
      <c r="N333" s="9">
        <f t="shared" si="179"/>
        <v>115666.02608899596</v>
      </c>
      <c r="O333" s="78">
        <f t="shared" si="180"/>
        <v>106388.75968658099</v>
      </c>
      <c r="P333" s="78">
        <f t="shared" si="180"/>
        <v>118210.67866295387</v>
      </c>
      <c r="Q333" s="1">
        <f t="shared" ref="Q333:Q396" si="190">O333*1.024</f>
        <v>108942.08991905894</v>
      </c>
      <c r="R333" s="78">
        <f t="shared" ref="R333:R396" si="191">P333*1.024</f>
        <v>121047.73495086476</v>
      </c>
      <c r="S333" s="1">
        <f t="shared" ref="S333:S396" si="192">Q333*1.037</f>
        <v>112972.94724606411</v>
      </c>
      <c r="T333" s="78">
        <f t="shared" ref="T333:T396" si="193">R333*1.037</f>
        <v>125526.50114404675</v>
      </c>
      <c r="U333" s="1">
        <f t="shared" ref="U333:U396" si="194">S333*1.028</f>
        <v>116136.1897689539</v>
      </c>
      <c r="V333" s="99">
        <f t="shared" ref="V333:V396" si="195">T333*1.028</f>
        <v>129041.24317608007</v>
      </c>
      <c r="W333" s="78">
        <f t="shared" ref="W333:W396" si="196">U333*1.015</f>
        <v>117878.2326154882</v>
      </c>
      <c r="X333" s="78">
        <f t="shared" ref="X333:X396" si="197">V333*1.015</f>
        <v>130976.86182372125</v>
      </c>
      <c r="Y333" s="78">
        <f t="shared" ref="Y333:Y396" si="198">W333*1.016</f>
        <v>119764.28433733602</v>
      </c>
      <c r="Z333" s="78">
        <f t="shared" ref="Z333:Z396" si="199">X333*1.016</f>
        <v>133072.49161290081</v>
      </c>
      <c r="AA333" s="78">
        <f t="shared" ref="AA333:AA396" si="200">Y333*1.019</f>
        <v>122039.8057397454</v>
      </c>
      <c r="AB333" s="78">
        <f t="shared" ref="AB333:AB396" si="201">Z333*1.019</f>
        <v>135600.8689535459</v>
      </c>
      <c r="AC333" s="1">
        <f t="shared" ref="AC333:AC396" si="202">AA333*1.019</f>
        <v>124358.56204880055</v>
      </c>
      <c r="AD333" s="78">
        <f t="shared" ref="AD333:AD396" si="203">AB333*1.019</f>
        <v>138177.28546366325</v>
      </c>
      <c r="AE333" s="1">
        <f t="shared" ref="AE333:AE396" si="204">AC333*1.021</f>
        <v>126970.09185182535</v>
      </c>
      <c r="AF333" s="78">
        <f t="shared" ref="AF333:AF396" si="205">AD333*1.021</f>
        <v>141079.00845840017</v>
      </c>
      <c r="AG333" s="141">
        <f t="shared" si="181"/>
        <v>128620.70304589906</v>
      </c>
      <c r="AH333" s="140">
        <f t="shared" si="182"/>
        <v>142913.03556835937</v>
      </c>
      <c r="AI333" s="141">
        <f t="shared" si="183"/>
        <v>131193.11710681705</v>
      </c>
      <c r="AJ333" s="140">
        <f t="shared" si="184"/>
        <v>145771.29627972655</v>
      </c>
      <c r="AK333" s="141">
        <f t="shared" si="185"/>
        <v>134997.71750291475</v>
      </c>
      <c r="AL333" s="140">
        <f t="shared" si="186"/>
        <v>149998.66387183859</v>
      </c>
      <c r="AM333" s="141">
        <f t="shared" si="187"/>
        <v>143502.57370559836</v>
      </c>
      <c r="AN333" s="141">
        <f t="shared" si="188"/>
        <v>159448.57969576441</v>
      </c>
    </row>
    <row r="334" spans="2:40">
      <c r="B334" s="19">
        <v>84101312</v>
      </c>
      <c r="C334" s="18" t="s">
        <v>416</v>
      </c>
      <c r="D334" s="16">
        <v>84887.158552270674</v>
      </c>
      <c r="E334" s="17">
        <f t="shared" si="189"/>
        <v>89131.516479884216</v>
      </c>
      <c r="F334" s="57">
        <f>E334*1.045</f>
        <v>93142.434721479003</v>
      </c>
      <c r="G334" s="57">
        <f t="shared" si="175"/>
        <v>96383.791449786469</v>
      </c>
      <c r="H334" s="57">
        <f t="shared" si="176"/>
        <v>107093.95835568676</v>
      </c>
      <c r="I334" s="57">
        <f t="shared" si="177"/>
        <v>98986.153818930703</v>
      </c>
      <c r="J334" s="57">
        <f t="shared" si="177"/>
        <v>109985.49523129029</v>
      </c>
      <c r="K334" s="57">
        <f t="shared" si="178"/>
        <v>101361.82151058504</v>
      </c>
      <c r="L334" s="9">
        <f t="shared" si="178"/>
        <v>112625.14711684125</v>
      </c>
      <c r="M334" s="9">
        <f t="shared" si="179"/>
        <v>104098.59069137083</v>
      </c>
      <c r="N334" s="9">
        <f t="shared" si="179"/>
        <v>115666.02608899596</v>
      </c>
      <c r="O334" s="78">
        <f t="shared" si="180"/>
        <v>106388.75968658099</v>
      </c>
      <c r="P334" s="78">
        <f t="shared" si="180"/>
        <v>118210.67866295387</v>
      </c>
      <c r="Q334" s="1">
        <f t="shared" si="190"/>
        <v>108942.08991905894</v>
      </c>
      <c r="R334" s="78">
        <f t="shared" si="191"/>
        <v>121047.73495086476</v>
      </c>
      <c r="S334" s="1">
        <f t="shared" si="192"/>
        <v>112972.94724606411</v>
      </c>
      <c r="T334" s="78">
        <f t="shared" si="193"/>
        <v>125526.50114404675</v>
      </c>
      <c r="U334" s="1">
        <f t="shared" si="194"/>
        <v>116136.1897689539</v>
      </c>
      <c r="V334" s="99">
        <f t="shared" si="195"/>
        <v>129041.24317608007</v>
      </c>
      <c r="W334" s="78">
        <f t="shared" si="196"/>
        <v>117878.2326154882</v>
      </c>
      <c r="X334" s="78">
        <f t="shared" si="197"/>
        <v>130976.86182372125</v>
      </c>
      <c r="Y334" s="78">
        <f t="shared" si="198"/>
        <v>119764.28433733602</v>
      </c>
      <c r="Z334" s="78">
        <f t="shared" si="199"/>
        <v>133072.49161290081</v>
      </c>
      <c r="AA334" s="78">
        <f t="shared" si="200"/>
        <v>122039.8057397454</v>
      </c>
      <c r="AB334" s="78">
        <f t="shared" si="201"/>
        <v>135600.8689535459</v>
      </c>
      <c r="AC334" s="1">
        <f t="shared" si="202"/>
        <v>124358.56204880055</v>
      </c>
      <c r="AD334" s="78">
        <f t="shared" si="203"/>
        <v>138177.28546366325</v>
      </c>
      <c r="AE334" s="1">
        <f t="shared" si="204"/>
        <v>126970.09185182535</v>
      </c>
      <c r="AF334" s="78">
        <f t="shared" si="205"/>
        <v>141079.00845840017</v>
      </c>
      <c r="AG334" s="141">
        <f t="shared" si="181"/>
        <v>128620.70304589906</v>
      </c>
      <c r="AH334" s="140">
        <f t="shared" si="182"/>
        <v>142913.03556835937</v>
      </c>
      <c r="AI334" s="141">
        <f t="shared" si="183"/>
        <v>131193.11710681705</v>
      </c>
      <c r="AJ334" s="140">
        <f t="shared" si="184"/>
        <v>145771.29627972655</v>
      </c>
      <c r="AK334" s="141">
        <f t="shared" si="185"/>
        <v>134997.71750291475</v>
      </c>
      <c r="AL334" s="140">
        <f t="shared" si="186"/>
        <v>149998.66387183859</v>
      </c>
      <c r="AM334" s="141">
        <f t="shared" si="187"/>
        <v>143502.57370559836</v>
      </c>
      <c r="AN334" s="141">
        <f t="shared" si="188"/>
        <v>159448.57969576441</v>
      </c>
    </row>
    <row r="335" spans="2:40">
      <c r="B335" s="19">
        <v>84101314</v>
      </c>
      <c r="C335" s="18" t="s">
        <v>417</v>
      </c>
      <c r="D335" s="16">
        <v>84887.158552270674</v>
      </c>
      <c r="E335" s="17">
        <f t="shared" si="189"/>
        <v>89131.516479884216</v>
      </c>
      <c r="F335" s="57">
        <f>E335*1.045</f>
        <v>93142.434721479003</v>
      </c>
      <c r="G335" s="57">
        <f t="shared" si="175"/>
        <v>96383.791449786469</v>
      </c>
      <c r="H335" s="57">
        <f t="shared" si="176"/>
        <v>107093.95835568676</v>
      </c>
      <c r="I335" s="57">
        <f t="shared" si="177"/>
        <v>98986.153818930703</v>
      </c>
      <c r="J335" s="57">
        <f t="shared" si="177"/>
        <v>109985.49523129029</v>
      </c>
      <c r="K335" s="57">
        <f t="shared" si="178"/>
        <v>101361.82151058504</v>
      </c>
      <c r="L335" s="9">
        <f t="shared" si="178"/>
        <v>112625.14711684125</v>
      </c>
      <c r="M335" s="9">
        <f t="shared" si="179"/>
        <v>104098.59069137083</v>
      </c>
      <c r="N335" s="9">
        <f t="shared" si="179"/>
        <v>115666.02608899596</v>
      </c>
      <c r="O335" s="78">
        <f t="shared" si="180"/>
        <v>106388.75968658099</v>
      </c>
      <c r="P335" s="78">
        <f t="shared" si="180"/>
        <v>118210.67866295387</v>
      </c>
      <c r="Q335" s="1">
        <f t="shared" si="190"/>
        <v>108942.08991905894</v>
      </c>
      <c r="R335" s="78">
        <f t="shared" si="191"/>
        <v>121047.73495086476</v>
      </c>
      <c r="S335" s="1">
        <f t="shared" si="192"/>
        <v>112972.94724606411</v>
      </c>
      <c r="T335" s="78">
        <f t="shared" si="193"/>
        <v>125526.50114404675</v>
      </c>
      <c r="U335" s="1">
        <f t="shared" si="194"/>
        <v>116136.1897689539</v>
      </c>
      <c r="V335" s="99">
        <f t="shared" si="195"/>
        <v>129041.24317608007</v>
      </c>
      <c r="W335" s="78">
        <f t="shared" si="196"/>
        <v>117878.2326154882</v>
      </c>
      <c r="X335" s="78">
        <f t="shared" si="197"/>
        <v>130976.86182372125</v>
      </c>
      <c r="Y335" s="78">
        <f t="shared" si="198"/>
        <v>119764.28433733602</v>
      </c>
      <c r="Z335" s="78">
        <f t="shared" si="199"/>
        <v>133072.49161290081</v>
      </c>
      <c r="AA335" s="78">
        <f t="shared" si="200"/>
        <v>122039.8057397454</v>
      </c>
      <c r="AB335" s="78">
        <f t="shared" si="201"/>
        <v>135600.8689535459</v>
      </c>
      <c r="AC335" s="1">
        <f t="shared" si="202"/>
        <v>124358.56204880055</v>
      </c>
      <c r="AD335" s="78">
        <f t="shared" si="203"/>
        <v>138177.28546366325</v>
      </c>
      <c r="AE335" s="1">
        <f t="shared" si="204"/>
        <v>126970.09185182535</v>
      </c>
      <c r="AF335" s="78">
        <f t="shared" si="205"/>
        <v>141079.00845840017</v>
      </c>
      <c r="AG335" s="141">
        <f t="shared" si="181"/>
        <v>128620.70304589906</v>
      </c>
      <c r="AH335" s="140">
        <f t="shared" si="182"/>
        <v>142913.03556835937</v>
      </c>
      <c r="AI335" s="141">
        <f t="shared" si="183"/>
        <v>131193.11710681705</v>
      </c>
      <c r="AJ335" s="140">
        <f t="shared" si="184"/>
        <v>145771.29627972655</v>
      </c>
      <c r="AK335" s="141">
        <f t="shared" si="185"/>
        <v>134997.71750291475</v>
      </c>
      <c r="AL335" s="140">
        <f t="shared" si="186"/>
        <v>149998.66387183859</v>
      </c>
      <c r="AM335" s="141">
        <f t="shared" si="187"/>
        <v>143502.57370559836</v>
      </c>
      <c r="AN335" s="141">
        <f t="shared" si="188"/>
        <v>159448.57969576441</v>
      </c>
    </row>
    <row r="336" spans="2:40">
      <c r="B336" s="19">
        <v>84101316</v>
      </c>
      <c r="C336" s="18" t="s">
        <v>418</v>
      </c>
      <c r="D336" s="16">
        <v>84887.158552270674</v>
      </c>
      <c r="E336" s="17">
        <f t="shared" si="189"/>
        <v>89131.516479884216</v>
      </c>
      <c r="F336" s="57">
        <f>E336*1.045</f>
        <v>93142.434721479003</v>
      </c>
      <c r="G336" s="57">
        <f t="shared" si="175"/>
        <v>96383.791449786469</v>
      </c>
      <c r="H336" s="57">
        <f t="shared" si="176"/>
        <v>107093.95835568676</v>
      </c>
      <c r="I336" s="57">
        <f t="shared" si="177"/>
        <v>98986.153818930703</v>
      </c>
      <c r="J336" s="57">
        <f t="shared" si="177"/>
        <v>109985.49523129029</v>
      </c>
      <c r="K336" s="57">
        <f t="shared" si="178"/>
        <v>101361.82151058504</v>
      </c>
      <c r="L336" s="9">
        <f t="shared" si="178"/>
        <v>112625.14711684125</v>
      </c>
      <c r="M336" s="9">
        <f t="shared" si="179"/>
        <v>104098.59069137083</v>
      </c>
      <c r="N336" s="9">
        <f t="shared" si="179"/>
        <v>115666.02608899596</v>
      </c>
      <c r="O336" s="78">
        <f t="shared" si="180"/>
        <v>106388.75968658099</v>
      </c>
      <c r="P336" s="78">
        <f t="shared" si="180"/>
        <v>118210.67866295387</v>
      </c>
      <c r="Q336" s="1">
        <f t="shared" si="190"/>
        <v>108942.08991905894</v>
      </c>
      <c r="R336" s="78">
        <f t="shared" si="191"/>
        <v>121047.73495086476</v>
      </c>
      <c r="S336" s="1">
        <f t="shared" si="192"/>
        <v>112972.94724606411</v>
      </c>
      <c r="T336" s="78">
        <f t="shared" si="193"/>
        <v>125526.50114404675</v>
      </c>
      <c r="U336" s="1">
        <f t="shared" si="194"/>
        <v>116136.1897689539</v>
      </c>
      <c r="V336" s="99">
        <f t="shared" si="195"/>
        <v>129041.24317608007</v>
      </c>
      <c r="W336" s="78">
        <f t="shared" si="196"/>
        <v>117878.2326154882</v>
      </c>
      <c r="X336" s="78">
        <f t="shared" si="197"/>
        <v>130976.86182372125</v>
      </c>
      <c r="Y336" s="78">
        <f t="shared" si="198"/>
        <v>119764.28433733602</v>
      </c>
      <c r="Z336" s="78">
        <f t="shared" si="199"/>
        <v>133072.49161290081</v>
      </c>
      <c r="AA336" s="78">
        <f t="shared" si="200"/>
        <v>122039.8057397454</v>
      </c>
      <c r="AB336" s="78">
        <f t="shared" si="201"/>
        <v>135600.8689535459</v>
      </c>
      <c r="AC336" s="1">
        <f t="shared" si="202"/>
        <v>124358.56204880055</v>
      </c>
      <c r="AD336" s="78">
        <f t="shared" si="203"/>
        <v>138177.28546366325</v>
      </c>
      <c r="AE336" s="1">
        <f t="shared" si="204"/>
        <v>126970.09185182535</v>
      </c>
      <c r="AF336" s="78">
        <f t="shared" si="205"/>
        <v>141079.00845840017</v>
      </c>
      <c r="AG336" s="141">
        <f t="shared" si="181"/>
        <v>128620.70304589906</v>
      </c>
      <c r="AH336" s="140">
        <f t="shared" si="182"/>
        <v>142913.03556835937</v>
      </c>
      <c r="AI336" s="141">
        <f t="shared" si="183"/>
        <v>131193.11710681705</v>
      </c>
      <c r="AJ336" s="140">
        <f t="shared" si="184"/>
        <v>145771.29627972655</v>
      </c>
      <c r="AK336" s="141">
        <f t="shared" si="185"/>
        <v>134997.71750291475</v>
      </c>
      <c r="AL336" s="140">
        <f t="shared" si="186"/>
        <v>149998.66387183859</v>
      </c>
      <c r="AM336" s="141">
        <f t="shared" si="187"/>
        <v>143502.57370559836</v>
      </c>
      <c r="AN336" s="141">
        <f t="shared" si="188"/>
        <v>159448.57969576441</v>
      </c>
    </row>
    <row r="337" spans="2:40">
      <c r="B337" s="19">
        <v>84101331</v>
      </c>
      <c r="C337" s="18" t="s">
        <v>419</v>
      </c>
      <c r="D337" s="16">
        <v>158873.46211864223</v>
      </c>
      <c r="E337" s="17">
        <f t="shared" si="189"/>
        <v>166817.13522457436</v>
      </c>
      <c r="F337" s="57">
        <f>E337*1.045</f>
        <v>174323.9063096802</v>
      </c>
      <c r="G337" s="57">
        <f t="shared" si="175"/>
        <v>180390.37824925705</v>
      </c>
      <c r="H337" s="57">
        <f t="shared" si="176"/>
        <v>200435.35708031451</v>
      </c>
      <c r="I337" s="57">
        <f t="shared" si="177"/>
        <v>185260.91846198696</v>
      </c>
      <c r="J337" s="57">
        <f t="shared" si="177"/>
        <v>205847.111721483</v>
      </c>
      <c r="K337" s="57">
        <f t="shared" si="178"/>
        <v>189707.18050507465</v>
      </c>
      <c r="L337" s="9">
        <f t="shared" si="178"/>
        <v>210787.4424027986</v>
      </c>
      <c r="M337" s="9">
        <f t="shared" si="179"/>
        <v>194829.27437871165</v>
      </c>
      <c r="N337" s="9">
        <f t="shared" si="179"/>
        <v>216478.70334767413</v>
      </c>
      <c r="O337" s="78">
        <f t="shared" si="180"/>
        <v>199115.51841504331</v>
      </c>
      <c r="P337" s="78">
        <f t="shared" si="180"/>
        <v>221241.23482132296</v>
      </c>
      <c r="Q337" s="1">
        <f t="shared" si="190"/>
        <v>203894.29085700435</v>
      </c>
      <c r="R337" s="78">
        <f t="shared" si="191"/>
        <v>226551.02445703471</v>
      </c>
      <c r="S337" s="1">
        <f t="shared" si="192"/>
        <v>211438.37961871349</v>
      </c>
      <c r="T337" s="78">
        <f t="shared" si="193"/>
        <v>234933.41236194497</v>
      </c>
      <c r="U337" s="1">
        <f t="shared" si="194"/>
        <v>217358.65424803746</v>
      </c>
      <c r="V337" s="99">
        <f t="shared" si="195"/>
        <v>241511.54790807943</v>
      </c>
      <c r="W337" s="78">
        <f t="shared" si="196"/>
        <v>220619.03406175799</v>
      </c>
      <c r="X337" s="78">
        <f t="shared" si="197"/>
        <v>245134.22112670061</v>
      </c>
      <c r="Y337" s="78">
        <f t="shared" si="198"/>
        <v>224148.93860674612</v>
      </c>
      <c r="Z337" s="78">
        <f t="shared" si="199"/>
        <v>249056.36866472781</v>
      </c>
      <c r="AA337" s="78">
        <f t="shared" si="200"/>
        <v>228407.76844027426</v>
      </c>
      <c r="AB337" s="78">
        <f t="shared" si="201"/>
        <v>253788.43966935761</v>
      </c>
      <c r="AC337" s="1">
        <f t="shared" si="202"/>
        <v>232747.51604063946</v>
      </c>
      <c r="AD337" s="78">
        <f t="shared" si="203"/>
        <v>258610.42002307539</v>
      </c>
      <c r="AE337" s="1">
        <f t="shared" si="204"/>
        <v>237635.21387749288</v>
      </c>
      <c r="AF337" s="78">
        <f t="shared" si="205"/>
        <v>264041.23884355993</v>
      </c>
      <c r="AG337" s="141">
        <f t="shared" si="181"/>
        <v>240724.47165790026</v>
      </c>
      <c r="AH337" s="140">
        <f t="shared" si="182"/>
        <v>267473.77494852617</v>
      </c>
      <c r="AI337" s="141">
        <f t="shared" si="183"/>
        <v>245538.96109105827</v>
      </c>
      <c r="AJ337" s="140">
        <f t="shared" si="184"/>
        <v>272823.25044749671</v>
      </c>
      <c r="AK337" s="141">
        <f t="shared" si="185"/>
        <v>252659.59096269895</v>
      </c>
      <c r="AL337" s="140">
        <f t="shared" si="186"/>
        <v>280735.12471047411</v>
      </c>
      <c r="AM337" s="141">
        <f t="shared" si="187"/>
        <v>268577.14519334899</v>
      </c>
      <c r="AN337" s="141">
        <f t="shared" si="188"/>
        <v>298421.43756723398</v>
      </c>
    </row>
    <row r="338" spans="2:40">
      <c r="B338" s="19">
        <v>84101333</v>
      </c>
      <c r="C338" s="18" t="s">
        <v>420</v>
      </c>
      <c r="D338" s="16">
        <v>158873.46211864223</v>
      </c>
      <c r="E338" s="17">
        <f t="shared" si="189"/>
        <v>166817.13522457436</v>
      </c>
      <c r="F338" s="57">
        <f>E338*1.045</f>
        <v>174323.9063096802</v>
      </c>
      <c r="G338" s="57">
        <f t="shared" si="175"/>
        <v>180390.37824925705</v>
      </c>
      <c r="H338" s="57">
        <f t="shared" si="176"/>
        <v>200435.35708031451</v>
      </c>
      <c r="I338" s="57">
        <f t="shared" si="177"/>
        <v>185260.91846198696</v>
      </c>
      <c r="J338" s="57">
        <f t="shared" si="177"/>
        <v>205847.111721483</v>
      </c>
      <c r="K338" s="57">
        <f t="shared" si="178"/>
        <v>189707.18050507465</v>
      </c>
      <c r="L338" s="9">
        <f t="shared" si="178"/>
        <v>210787.4424027986</v>
      </c>
      <c r="M338" s="9">
        <f t="shared" si="179"/>
        <v>194829.27437871165</v>
      </c>
      <c r="N338" s="9">
        <f t="shared" si="179"/>
        <v>216478.70334767413</v>
      </c>
      <c r="O338" s="78">
        <f t="shared" si="180"/>
        <v>199115.51841504331</v>
      </c>
      <c r="P338" s="78">
        <f t="shared" si="180"/>
        <v>221241.23482132296</v>
      </c>
      <c r="Q338" s="1">
        <f t="shared" si="190"/>
        <v>203894.29085700435</v>
      </c>
      <c r="R338" s="78">
        <f t="shared" si="191"/>
        <v>226551.02445703471</v>
      </c>
      <c r="S338" s="1">
        <f t="shared" si="192"/>
        <v>211438.37961871349</v>
      </c>
      <c r="T338" s="78">
        <f t="shared" si="193"/>
        <v>234933.41236194497</v>
      </c>
      <c r="U338" s="1">
        <f t="shared" si="194"/>
        <v>217358.65424803746</v>
      </c>
      <c r="V338" s="99">
        <f t="shared" si="195"/>
        <v>241511.54790807943</v>
      </c>
      <c r="W338" s="78">
        <f t="shared" si="196"/>
        <v>220619.03406175799</v>
      </c>
      <c r="X338" s="78">
        <f t="shared" si="197"/>
        <v>245134.22112670061</v>
      </c>
      <c r="Y338" s="78">
        <f t="shared" si="198"/>
        <v>224148.93860674612</v>
      </c>
      <c r="Z338" s="78">
        <f t="shared" si="199"/>
        <v>249056.36866472781</v>
      </c>
      <c r="AA338" s="78">
        <f t="shared" si="200"/>
        <v>228407.76844027426</v>
      </c>
      <c r="AB338" s="78">
        <f t="shared" si="201"/>
        <v>253788.43966935761</v>
      </c>
      <c r="AC338" s="1">
        <f t="shared" si="202"/>
        <v>232747.51604063946</v>
      </c>
      <c r="AD338" s="78">
        <f t="shared" si="203"/>
        <v>258610.42002307539</v>
      </c>
      <c r="AE338" s="1">
        <f t="shared" si="204"/>
        <v>237635.21387749288</v>
      </c>
      <c r="AF338" s="78">
        <f t="shared" si="205"/>
        <v>264041.23884355993</v>
      </c>
      <c r="AG338" s="141">
        <f t="shared" si="181"/>
        <v>240724.47165790026</v>
      </c>
      <c r="AH338" s="140">
        <f t="shared" si="182"/>
        <v>267473.77494852617</v>
      </c>
      <c r="AI338" s="141">
        <f t="shared" si="183"/>
        <v>245538.96109105827</v>
      </c>
      <c r="AJ338" s="140">
        <f t="shared" si="184"/>
        <v>272823.25044749671</v>
      </c>
      <c r="AK338" s="141">
        <f t="shared" si="185"/>
        <v>252659.59096269895</v>
      </c>
      <c r="AL338" s="140">
        <f t="shared" si="186"/>
        <v>280735.12471047411</v>
      </c>
      <c r="AM338" s="141">
        <f t="shared" si="187"/>
        <v>268577.14519334899</v>
      </c>
      <c r="AN338" s="141">
        <f t="shared" si="188"/>
        <v>298421.43756723398</v>
      </c>
    </row>
    <row r="339" spans="2:40">
      <c r="B339" s="19">
        <v>84101335</v>
      </c>
      <c r="C339" s="18" t="s">
        <v>421</v>
      </c>
      <c r="D339" s="16">
        <v>158873.46211864223</v>
      </c>
      <c r="E339" s="17">
        <f t="shared" si="189"/>
        <v>166817.13522457436</v>
      </c>
      <c r="F339" s="57">
        <f>E339*1.045</f>
        <v>174323.9063096802</v>
      </c>
      <c r="G339" s="57">
        <f t="shared" si="175"/>
        <v>180390.37824925705</v>
      </c>
      <c r="H339" s="57">
        <f t="shared" si="176"/>
        <v>200435.35708031451</v>
      </c>
      <c r="I339" s="57">
        <f t="shared" si="177"/>
        <v>185260.91846198696</v>
      </c>
      <c r="J339" s="57">
        <f t="shared" si="177"/>
        <v>205847.111721483</v>
      </c>
      <c r="K339" s="57">
        <f t="shared" si="178"/>
        <v>189707.18050507465</v>
      </c>
      <c r="L339" s="9">
        <f t="shared" si="178"/>
        <v>210787.4424027986</v>
      </c>
      <c r="M339" s="9">
        <f t="shared" si="179"/>
        <v>194829.27437871165</v>
      </c>
      <c r="N339" s="9">
        <f t="shared" si="179"/>
        <v>216478.70334767413</v>
      </c>
      <c r="O339" s="78">
        <f t="shared" si="180"/>
        <v>199115.51841504331</v>
      </c>
      <c r="P339" s="78">
        <f t="shared" si="180"/>
        <v>221241.23482132296</v>
      </c>
      <c r="Q339" s="1">
        <f t="shared" si="190"/>
        <v>203894.29085700435</v>
      </c>
      <c r="R339" s="78">
        <f t="shared" si="191"/>
        <v>226551.02445703471</v>
      </c>
      <c r="S339" s="1">
        <f t="shared" si="192"/>
        <v>211438.37961871349</v>
      </c>
      <c r="T339" s="78">
        <f t="shared" si="193"/>
        <v>234933.41236194497</v>
      </c>
      <c r="U339" s="1">
        <f t="shared" si="194"/>
        <v>217358.65424803746</v>
      </c>
      <c r="V339" s="99">
        <f t="shared" si="195"/>
        <v>241511.54790807943</v>
      </c>
      <c r="W339" s="78">
        <f t="shared" si="196"/>
        <v>220619.03406175799</v>
      </c>
      <c r="X339" s="78">
        <f t="shared" si="197"/>
        <v>245134.22112670061</v>
      </c>
      <c r="Y339" s="78">
        <f t="shared" si="198"/>
        <v>224148.93860674612</v>
      </c>
      <c r="Z339" s="78">
        <f t="shared" si="199"/>
        <v>249056.36866472781</v>
      </c>
      <c r="AA339" s="78">
        <f t="shared" si="200"/>
        <v>228407.76844027426</v>
      </c>
      <c r="AB339" s="78">
        <f t="shared" si="201"/>
        <v>253788.43966935761</v>
      </c>
      <c r="AC339" s="1">
        <f t="shared" si="202"/>
        <v>232747.51604063946</v>
      </c>
      <c r="AD339" s="78">
        <f t="shared" si="203"/>
        <v>258610.42002307539</v>
      </c>
      <c r="AE339" s="1">
        <f t="shared" si="204"/>
        <v>237635.21387749288</v>
      </c>
      <c r="AF339" s="78">
        <f t="shared" si="205"/>
        <v>264041.23884355993</v>
      </c>
      <c r="AG339" s="141">
        <f t="shared" si="181"/>
        <v>240724.47165790026</v>
      </c>
      <c r="AH339" s="140">
        <f t="shared" si="182"/>
        <v>267473.77494852617</v>
      </c>
      <c r="AI339" s="141">
        <f t="shared" si="183"/>
        <v>245538.96109105827</v>
      </c>
      <c r="AJ339" s="140">
        <f t="shared" si="184"/>
        <v>272823.25044749671</v>
      </c>
      <c r="AK339" s="141">
        <f t="shared" si="185"/>
        <v>252659.59096269895</v>
      </c>
      <c r="AL339" s="140">
        <f t="shared" si="186"/>
        <v>280735.12471047411</v>
      </c>
      <c r="AM339" s="141">
        <f t="shared" si="187"/>
        <v>268577.14519334899</v>
      </c>
      <c r="AN339" s="141">
        <f t="shared" si="188"/>
        <v>298421.43756723398</v>
      </c>
    </row>
    <row r="340" spans="2:40">
      <c r="B340" s="19">
        <v>84101336</v>
      </c>
      <c r="C340" s="18" t="s">
        <v>422</v>
      </c>
      <c r="D340" s="16">
        <v>158873.46211864223</v>
      </c>
      <c r="E340" s="17">
        <f t="shared" si="189"/>
        <v>166817.13522457436</v>
      </c>
      <c r="F340" s="57">
        <f>E340*1.045</f>
        <v>174323.9063096802</v>
      </c>
      <c r="G340" s="57">
        <f t="shared" si="175"/>
        <v>180390.37824925705</v>
      </c>
      <c r="H340" s="57">
        <f t="shared" si="176"/>
        <v>200435.35708031451</v>
      </c>
      <c r="I340" s="57">
        <f t="shared" si="177"/>
        <v>185260.91846198696</v>
      </c>
      <c r="J340" s="57">
        <f t="shared" si="177"/>
        <v>205847.111721483</v>
      </c>
      <c r="K340" s="57">
        <f t="shared" si="178"/>
        <v>189707.18050507465</v>
      </c>
      <c r="L340" s="9">
        <f t="shared" si="178"/>
        <v>210787.4424027986</v>
      </c>
      <c r="M340" s="9">
        <f t="shared" si="179"/>
        <v>194829.27437871165</v>
      </c>
      <c r="N340" s="9">
        <f t="shared" si="179"/>
        <v>216478.70334767413</v>
      </c>
      <c r="O340" s="78">
        <f t="shared" si="180"/>
        <v>199115.51841504331</v>
      </c>
      <c r="P340" s="78">
        <f t="shared" si="180"/>
        <v>221241.23482132296</v>
      </c>
      <c r="Q340" s="1">
        <f t="shared" si="190"/>
        <v>203894.29085700435</v>
      </c>
      <c r="R340" s="78">
        <f t="shared" si="191"/>
        <v>226551.02445703471</v>
      </c>
      <c r="S340" s="1">
        <f t="shared" si="192"/>
        <v>211438.37961871349</v>
      </c>
      <c r="T340" s="78">
        <f t="shared" si="193"/>
        <v>234933.41236194497</v>
      </c>
      <c r="U340" s="1">
        <f t="shared" si="194"/>
        <v>217358.65424803746</v>
      </c>
      <c r="V340" s="99">
        <f t="shared" si="195"/>
        <v>241511.54790807943</v>
      </c>
      <c r="W340" s="78">
        <f t="shared" si="196"/>
        <v>220619.03406175799</v>
      </c>
      <c r="X340" s="78">
        <f t="shared" si="197"/>
        <v>245134.22112670061</v>
      </c>
      <c r="Y340" s="78">
        <f t="shared" si="198"/>
        <v>224148.93860674612</v>
      </c>
      <c r="Z340" s="78">
        <f t="shared" si="199"/>
        <v>249056.36866472781</v>
      </c>
      <c r="AA340" s="78">
        <f t="shared" si="200"/>
        <v>228407.76844027426</v>
      </c>
      <c r="AB340" s="78">
        <f t="shared" si="201"/>
        <v>253788.43966935761</v>
      </c>
      <c r="AC340" s="1">
        <f t="shared" si="202"/>
        <v>232747.51604063946</v>
      </c>
      <c r="AD340" s="78">
        <f t="shared" si="203"/>
        <v>258610.42002307539</v>
      </c>
      <c r="AE340" s="1">
        <f t="shared" si="204"/>
        <v>237635.21387749288</v>
      </c>
      <c r="AF340" s="78">
        <f t="shared" si="205"/>
        <v>264041.23884355993</v>
      </c>
      <c r="AG340" s="141">
        <f t="shared" si="181"/>
        <v>240724.47165790026</v>
      </c>
      <c r="AH340" s="140">
        <f t="shared" si="182"/>
        <v>267473.77494852617</v>
      </c>
      <c r="AI340" s="141">
        <f t="shared" si="183"/>
        <v>245538.96109105827</v>
      </c>
      <c r="AJ340" s="140">
        <f t="shared" si="184"/>
        <v>272823.25044749671</v>
      </c>
      <c r="AK340" s="141">
        <f t="shared" si="185"/>
        <v>252659.59096269895</v>
      </c>
      <c r="AL340" s="140">
        <f t="shared" si="186"/>
        <v>280735.12471047411</v>
      </c>
      <c r="AM340" s="141">
        <f t="shared" si="187"/>
        <v>268577.14519334899</v>
      </c>
      <c r="AN340" s="141">
        <f t="shared" si="188"/>
        <v>298421.43756723398</v>
      </c>
    </row>
    <row r="341" spans="2:40">
      <c r="B341" s="19">
        <v>84101341</v>
      </c>
      <c r="C341" s="18" t="s">
        <v>423</v>
      </c>
      <c r="D341" s="16">
        <v>185080.3203246583</v>
      </c>
      <c r="E341" s="17">
        <f t="shared" si="189"/>
        <v>194334.33634089123</v>
      </c>
      <c r="F341" s="57">
        <f>E341*1.045</f>
        <v>203079.38147623133</v>
      </c>
      <c r="G341" s="57">
        <f t="shared" si="175"/>
        <v>210146.54395160417</v>
      </c>
      <c r="H341" s="57">
        <f t="shared" si="176"/>
        <v>233498.02791550645</v>
      </c>
      <c r="I341" s="57">
        <f t="shared" si="177"/>
        <v>215820.50063829747</v>
      </c>
      <c r="J341" s="57">
        <f t="shared" si="177"/>
        <v>239802.47466922511</v>
      </c>
      <c r="K341" s="57">
        <f t="shared" si="178"/>
        <v>221000.1926536166</v>
      </c>
      <c r="L341" s="9">
        <f t="shared" si="178"/>
        <v>245557.73406128652</v>
      </c>
      <c r="M341" s="9">
        <f t="shared" si="179"/>
        <v>226967.19785526424</v>
      </c>
      <c r="N341" s="9">
        <f t="shared" si="179"/>
        <v>252187.79288094124</v>
      </c>
      <c r="O341" s="78">
        <f t="shared" si="180"/>
        <v>231960.47620808004</v>
      </c>
      <c r="P341" s="78">
        <f t="shared" si="180"/>
        <v>257735.92432432194</v>
      </c>
      <c r="Q341" s="1">
        <f t="shared" si="190"/>
        <v>237527.52763707397</v>
      </c>
      <c r="R341" s="78">
        <f t="shared" si="191"/>
        <v>263921.58650810568</v>
      </c>
      <c r="S341" s="1">
        <f t="shared" si="192"/>
        <v>246316.04615964569</v>
      </c>
      <c r="T341" s="78">
        <f t="shared" si="193"/>
        <v>273686.68520890555</v>
      </c>
      <c r="U341" s="1">
        <f t="shared" si="194"/>
        <v>253212.89545211577</v>
      </c>
      <c r="V341" s="99">
        <f t="shared" si="195"/>
        <v>281349.91239475488</v>
      </c>
      <c r="W341" s="78">
        <f t="shared" si="196"/>
        <v>257011.08888389749</v>
      </c>
      <c r="X341" s="78">
        <f t="shared" si="197"/>
        <v>285570.16108067619</v>
      </c>
      <c r="Y341" s="78">
        <f t="shared" si="198"/>
        <v>261123.26630603985</v>
      </c>
      <c r="Z341" s="78">
        <f t="shared" si="199"/>
        <v>290139.283657967</v>
      </c>
      <c r="AA341" s="78">
        <f t="shared" si="200"/>
        <v>266084.6083658546</v>
      </c>
      <c r="AB341" s="78">
        <f t="shared" si="201"/>
        <v>295651.93004746834</v>
      </c>
      <c r="AC341" s="1">
        <f t="shared" si="202"/>
        <v>271140.21592480579</v>
      </c>
      <c r="AD341" s="78">
        <f t="shared" si="203"/>
        <v>301269.31671837019</v>
      </c>
      <c r="AE341" s="1">
        <f t="shared" si="204"/>
        <v>276834.1604592267</v>
      </c>
      <c r="AF341" s="78">
        <f t="shared" si="205"/>
        <v>307595.97236945591</v>
      </c>
      <c r="AG341" s="141">
        <f t="shared" si="181"/>
        <v>280433.0045451966</v>
      </c>
      <c r="AH341" s="140">
        <f t="shared" si="182"/>
        <v>311594.72001025878</v>
      </c>
      <c r="AI341" s="141">
        <f t="shared" si="183"/>
        <v>286041.66463610053</v>
      </c>
      <c r="AJ341" s="140">
        <f t="shared" si="184"/>
        <v>317826.61441046395</v>
      </c>
      <c r="AK341" s="141">
        <f t="shared" si="185"/>
        <v>294336.87291054742</v>
      </c>
      <c r="AL341" s="140">
        <f t="shared" si="186"/>
        <v>327043.58622836741</v>
      </c>
      <c r="AM341" s="141">
        <f t="shared" si="187"/>
        <v>312880.09590391192</v>
      </c>
      <c r="AN341" s="141">
        <f t="shared" si="188"/>
        <v>347647.33216075454</v>
      </c>
    </row>
    <row r="342" spans="2:40">
      <c r="B342" s="19">
        <v>84101343</v>
      </c>
      <c r="C342" s="18" t="s">
        <v>424</v>
      </c>
      <c r="D342" s="16">
        <v>158873.46211864223</v>
      </c>
      <c r="E342" s="17">
        <f t="shared" si="189"/>
        <v>166817.13522457436</v>
      </c>
      <c r="F342" s="57">
        <f>E342*1.045</f>
        <v>174323.9063096802</v>
      </c>
      <c r="G342" s="57">
        <f t="shared" si="175"/>
        <v>180390.37824925705</v>
      </c>
      <c r="H342" s="57">
        <f t="shared" si="176"/>
        <v>200435.35708031451</v>
      </c>
      <c r="I342" s="57">
        <f t="shared" si="177"/>
        <v>185260.91846198696</v>
      </c>
      <c r="J342" s="57">
        <f t="shared" si="177"/>
        <v>205847.111721483</v>
      </c>
      <c r="K342" s="57">
        <f t="shared" si="178"/>
        <v>189707.18050507465</v>
      </c>
      <c r="L342" s="9">
        <f t="shared" si="178"/>
        <v>210787.4424027986</v>
      </c>
      <c r="M342" s="9">
        <f t="shared" si="179"/>
        <v>194829.27437871165</v>
      </c>
      <c r="N342" s="9">
        <f t="shared" si="179"/>
        <v>216478.70334767413</v>
      </c>
      <c r="O342" s="78">
        <f t="shared" si="180"/>
        <v>199115.51841504331</v>
      </c>
      <c r="P342" s="78">
        <f t="shared" si="180"/>
        <v>221241.23482132296</v>
      </c>
      <c r="Q342" s="1">
        <f t="shared" si="190"/>
        <v>203894.29085700435</v>
      </c>
      <c r="R342" s="78">
        <f t="shared" si="191"/>
        <v>226551.02445703471</v>
      </c>
      <c r="S342" s="1">
        <f t="shared" si="192"/>
        <v>211438.37961871349</v>
      </c>
      <c r="T342" s="78">
        <f t="shared" si="193"/>
        <v>234933.41236194497</v>
      </c>
      <c r="U342" s="1">
        <f t="shared" si="194"/>
        <v>217358.65424803746</v>
      </c>
      <c r="V342" s="99">
        <f t="shared" si="195"/>
        <v>241511.54790807943</v>
      </c>
      <c r="W342" s="78">
        <f t="shared" si="196"/>
        <v>220619.03406175799</v>
      </c>
      <c r="X342" s="78">
        <f t="shared" si="197"/>
        <v>245134.22112670061</v>
      </c>
      <c r="Y342" s="78">
        <f t="shared" si="198"/>
        <v>224148.93860674612</v>
      </c>
      <c r="Z342" s="78">
        <f t="shared" si="199"/>
        <v>249056.36866472781</v>
      </c>
      <c r="AA342" s="78">
        <f t="shared" si="200"/>
        <v>228407.76844027426</v>
      </c>
      <c r="AB342" s="78">
        <f t="shared" si="201"/>
        <v>253788.43966935761</v>
      </c>
      <c r="AC342" s="1">
        <f t="shared" si="202"/>
        <v>232747.51604063946</v>
      </c>
      <c r="AD342" s="78">
        <f t="shared" si="203"/>
        <v>258610.42002307539</v>
      </c>
      <c r="AE342" s="1">
        <f t="shared" si="204"/>
        <v>237635.21387749288</v>
      </c>
      <c r="AF342" s="78">
        <f t="shared" si="205"/>
        <v>264041.23884355993</v>
      </c>
      <c r="AG342" s="141">
        <f t="shared" si="181"/>
        <v>240724.47165790026</v>
      </c>
      <c r="AH342" s="140">
        <f t="shared" si="182"/>
        <v>267473.77494852617</v>
      </c>
      <c r="AI342" s="141">
        <f t="shared" si="183"/>
        <v>245538.96109105827</v>
      </c>
      <c r="AJ342" s="140">
        <f t="shared" si="184"/>
        <v>272823.25044749671</v>
      </c>
      <c r="AK342" s="141">
        <f t="shared" si="185"/>
        <v>252659.59096269895</v>
      </c>
      <c r="AL342" s="140">
        <f t="shared" si="186"/>
        <v>280735.12471047411</v>
      </c>
      <c r="AM342" s="141">
        <f t="shared" si="187"/>
        <v>268577.14519334899</v>
      </c>
      <c r="AN342" s="141">
        <f t="shared" si="188"/>
        <v>298421.43756723398</v>
      </c>
    </row>
    <row r="343" spans="2:40">
      <c r="B343" s="19">
        <v>84101345</v>
      </c>
      <c r="C343" s="18" t="s">
        <v>425</v>
      </c>
      <c r="D343" s="16">
        <v>158873.46211864223</v>
      </c>
      <c r="E343" s="17">
        <f t="shared" si="189"/>
        <v>166817.13522457436</v>
      </c>
      <c r="F343" s="57">
        <f>E343*1.045</f>
        <v>174323.9063096802</v>
      </c>
      <c r="G343" s="57">
        <f t="shared" si="175"/>
        <v>180390.37824925705</v>
      </c>
      <c r="H343" s="57">
        <f t="shared" si="176"/>
        <v>200435.35708031451</v>
      </c>
      <c r="I343" s="57">
        <f t="shared" si="177"/>
        <v>185260.91846198696</v>
      </c>
      <c r="J343" s="57">
        <f t="shared" si="177"/>
        <v>205847.111721483</v>
      </c>
      <c r="K343" s="57">
        <f t="shared" si="178"/>
        <v>189707.18050507465</v>
      </c>
      <c r="L343" s="9">
        <f t="shared" si="178"/>
        <v>210787.4424027986</v>
      </c>
      <c r="M343" s="9">
        <f t="shared" si="179"/>
        <v>194829.27437871165</v>
      </c>
      <c r="N343" s="9">
        <f t="shared" si="179"/>
        <v>216478.70334767413</v>
      </c>
      <c r="O343" s="78">
        <f t="shared" si="180"/>
        <v>199115.51841504331</v>
      </c>
      <c r="P343" s="78">
        <f t="shared" si="180"/>
        <v>221241.23482132296</v>
      </c>
      <c r="Q343" s="1">
        <f t="shared" si="190"/>
        <v>203894.29085700435</v>
      </c>
      <c r="R343" s="78">
        <f t="shared" si="191"/>
        <v>226551.02445703471</v>
      </c>
      <c r="S343" s="1">
        <f t="shared" si="192"/>
        <v>211438.37961871349</v>
      </c>
      <c r="T343" s="78">
        <f t="shared" si="193"/>
        <v>234933.41236194497</v>
      </c>
      <c r="U343" s="1">
        <f t="shared" si="194"/>
        <v>217358.65424803746</v>
      </c>
      <c r="V343" s="99">
        <f t="shared" si="195"/>
        <v>241511.54790807943</v>
      </c>
      <c r="W343" s="79">
        <f t="shared" si="196"/>
        <v>220619.03406175799</v>
      </c>
      <c r="X343" s="79">
        <f t="shared" si="197"/>
        <v>245134.22112670061</v>
      </c>
      <c r="Y343" s="79">
        <f t="shared" si="198"/>
        <v>224148.93860674612</v>
      </c>
      <c r="Z343" s="79">
        <f t="shared" si="199"/>
        <v>249056.36866472781</v>
      </c>
      <c r="AA343" s="79">
        <f t="shared" si="200"/>
        <v>228407.76844027426</v>
      </c>
      <c r="AB343" s="79">
        <f t="shared" si="201"/>
        <v>253788.43966935761</v>
      </c>
      <c r="AC343" s="100">
        <f t="shared" si="202"/>
        <v>232747.51604063946</v>
      </c>
      <c r="AD343" s="79">
        <f t="shared" si="203"/>
        <v>258610.42002307539</v>
      </c>
      <c r="AE343" s="100">
        <f t="shared" si="204"/>
        <v>237635.21387749288</v>
      </c>
      <c r="AF343" s="79">
        <f t="shared" si="205"/>
        <v>264041.23884355993</v>
      </c>
      <c r="AG343" s="142">
        <f t="shared" si="181"/>
        <v>240724.47165790026</v>
      </c>
      <c r="AH343" s="174">
        <f t="shared" si="182"/>
        <v>267473.77494852617</v>
      </c>
      <c r="AI343" s="142">
        <f t="shared" si="183"/>
        <v>245538.96109105827</v>
      </c>
      <c r="AJ343" s="174">
        <f t="shared" si="184"/>
        <v>272823.25044749671</v>
      </c>
      <c r="AK343" s="142">
        <f t="shared" si="185"/>
        <v>252659.59096269895</v>
      </c>
      <c r="AL343" s="174">
        <f t="shared" si="186"/>
        <v>280735.12471047411</v>
      </c>
      <c r="AM343" s="142">
        <f t="shared" si="187"/>
        <v>268577.14519334899</v>
      </c>
      <c r="AN343" s="142">
        <f t="shared" si="188"/>
        <v>298421.43756723398</v>
      </c>
    </row>
    <row r="344" spans="2:40">
      <c r="B344" s="19">
        <v>84103000</v>
      </c>
      <c r="C344" s="18" t="s">
        <v>426</v>
      </c>
      <c r="D344" s="16">
        <v>11905.401299304422</v>
      </c>
      <c r="E344" s="17">
        <f t="shared" si="189"/>
        <v>12500.671364269643</v>
      </c>
      <c r="F344" s="57">
        <f>E344*1.045</f>
        <v>13063.201575661777</v>
      </c>
      <c r="G344" s="57">
        <f t="shared" si="175"/>
        <v>13517.800990494805</v>
      </c>
      <c r="H344" s="57">
        <f t="shared" si="176"/>
        <v>15019.899036558589</v>
      </c>
      <c r="I344" s="57">
        <f t="shared" si="177"/>
        <v>13882.781617238163</v>
      </c>
      <c r="J344" s="57">
        <f t="shared" si="177"/>
        <v>15425.436310545669</v>
      </c>
      <c r="K344" s="57">
        <f t="shared" si="178"/>
        <v>14215.968376051878</v>
      </c>
      <c r="L344" s="9">
        <f t="shared" si="178"/>
        <v>15795.646781998765</v>
      </c>
      <c r="M344" s="9">
        <f t="shared" si="179"/>
        <v>14599.799522205278</v>
      </c>
      <c r="N344" s="9">
        <f t="shared" si="179"/>
        <v>16222.12924511273</v>
      </c>
      <c r="O344" s="78">
        <f t="shared" si="180"/>
        <v>14920.995111693794</v>
      </c>
      <c r="P344" s="78">
        <f t="shared" si="180"/>
        <v>16579.01608850521</v>
      </c>
      <c r="Q344" s="1" t="s">
        <v>427</v>
      </c>
      <c r="R344" s="1" t="s">
        <v>427</v>
      </c>
      <c r="S344" s="1" t="s">
        <v>427</v>
      </c>
      <c r="T344" s="1" t="s">
        <v>427</v>
      </c>
      <c r="U344" s="1" t="s">
        <v>427</v>
      </c>
      <c r="V344" s="78" t="s">
        <v>427</v>
      </c>
      <c r="W344" s="1" t="s">
        <v>427</v>
      </c>
      <c r="X344" s="78" t="s">
        <v>427</v>
      </c>
      <c r="Y344" s="1" t="s">
        <v>427</v>
      </c>
      <c r="Z344" s="78" t="s">
        <v>427</v>
      </c>
      <c r="AA344" s="1" t="s">
        <v>427</v>
      </c>
      <c r="AB344" s="78" t="s">
        <v>427</v>
      </c>
      <c r="AC344" s="1" t="s">
        <v>427</v>
      </c>
      <c r="AD344" s="78" t="s">
        <v>427</v>
      </c>
      <c r="AE344" s="1" t="s">
        <v>427</v>
      </c>
      <c r="AF344" s="78" t="s">
        <v>427</v>
      </c>
      <c r="AG344" s="1" t="s">
        <v>427</v>
      </c>
      <c r="AH344" s="78" t="s">
        <v>427</v>
      </c>
      <c r="AI344" s="141" t="s">
        <v>427</v>
      </c>
      <c r="AJ344" s="140" t="s">
        <v>427</v>
      </c>
      <c r="AK344" s="140" t="s">
        <v>427</v>
      </c>
      <c r="AL344" s="141" t="s">
        <v>427</v>
      </c>
      <c r="AM344" s="141" t="s">
        <v>427</v>
      </c>
      <c r="AN344" s="141" t="s">
        <v>427</v>
      </c>
    </row>
    <row r="345" spans="2:40">
      <c r="B345" s="19">
        <v>84103001</v>
      </c>
      <c r="C345" s="18" t="s">
        <v>428</v>
      </c>
      <c r="D345" s="16">
        <v>17850.614275183481</v>
      </c>
      <c r="E345" s="17">
        <f t="shared" si="189"/>
        <v>18743.144988942655</v>
      </c>
      <c r="F345" s="57">
        <f>E345*1.045</f>
        <v>19586.586513445072</v>
      </c>
      <c r="G345" s="57">
        <f t="shared" si="175"/>
        <v>20268.199724112961</v>
      </c>
      <c r="H345" s="57">
        <f t="shared" si="176"/>
        <v>22520.402077456394</v>
      </c>
      <c r="I345" s="57">
        <f t="shared" si="177"/>
        <v>20815.441116664009</v>
      </c>
      <c r="J345" s="57">
        <f t="shared" si="177"/>
        <v>23128.452933547716</v>
      </c>
      <c r="K345" s="57">
        <f t="shared" si="178"/>
        <v>21315.011703463944</v>
      </c>
      <c r="L345" s="9">
        <f t="shared" si="178"/>
        <v>23683.535803952862</v>
      </c>
      <c r="M345" s="9">
        <f t="shared" si="179"/>
        <v>21890.517019457468</v>
      </c>
      <c r="N345" s="9">
        <f t="shared" si="179"/>
        <v>24322.991270659586</v>
      </c>
      <c r="O345" s="78">
        <f t="shared" si="180"/>
        <v>22372.108393885534</v>
      </c>
      <c r="P345" s="78">
        <f t="shared" si="180"/>
        <v>24858.097078614097</v>
      </c>
      <c r="Q345" s="1" t="s">
        <v>427</v>
      </c>
      <c r="R345" s="1" t="s">
        <v>427</v>
      </c>
      <c r="S345" s="1" t="s">
        <v>427</v>
      </c>
      <c r="T345" s="1" t="s">
        <v>427</v>
      </c>
      <c r="U345" s="1" t="s">
        <v>427</v>
      </c>
      <c r="V345" s="78" t="s">
        <v>427</v>
      </c>
      <c r="W345" s="1" t="s">
        <v>427</v>
      </c>
      <c r="X345" s="78" t="s">
        <v>427</v>
      </c>
      <c r="Y345" s="1" t="s">
        <v>427</v>
      </c>
      <c r="Z345" s="78" t="s">
        <v>427</v>
      </c>
      <c r="AA345" s="1" t="s">
        <v>427</v>
      </c>
      <c r="AB345" s="78" t="s">
        <v>427</v>
      </c>
      <c r="AC345" s="1" t="s">
        <v>427</v>
      </c>
      <c r="AD345" s="78" t="s">
        <v>427</v>
      </c>
      <c r="AE345" s="1" t="s">
        <v>427</v>
      </c>
      <c r="AF345" s="78" t="s">
        <v>427</v>
      </c>
      <c r="AG345" s="1" t="s">
        <v>427</v>
      </c>
      <c r="AH345" s="78" t="s">
        <v>427</v>
      </c>
      <c r="AI345" s="141" t="s">
        <v>427</v>
      </c>
      <c r="AJ345" s="140" t="s">
        <v>427</v>
      </c>
      <c r="AK345" s="140" t="s">
        <v>427</v>
      </c>
      <c r="AL345" s="141" t="s">
        <v>427</v>
      </c>
      <c r="AM345" s="141" t="s">
        <v>427</v>
      </c>
      <c r="AN345" s="141" t="s">
        <v>427</v>
      </c>
    </row>
    <row r="346" spans="2:40">
      <c r="B346" s="19">
        <v>84103002</v>
      </c>
      <c r="C346" s="18" t="s">
        <v>429</v>
      </c>
      <c r="D346" s="16">
        <v>29770.990922034191</v>
      </c>
      <c r="E346" s="17">
        <f t="shared" si="189"/>
        <v>31259.540468135903</v>
      </c>
      <c r="F346" s="57">
        <f>E346*1.045</f>
        <v>32666.219789202016</v>
      </c>
      <c r="G346" s="57">
        <f t="shared" si="175"/>
        <v>33803.004237866247</v>
      </c>
      <c r="H346" s="57">
        <f t="shared" si="176"/>
        <v>37559.19406877795</v>
      </c>
      <c r="I346" s="57">
        <f t="shared" si="177"/>
        <v>34715.68535228863</v>
      </c>
      <c r="J346" s="57">
        <f t="shared" si="177"/>
        <v>38573.292308634955</v>
      </c>
      <c r="K346" s="57">
        <f t="shared" si="178"/>
        <v>35548.861800743558</v>
      </c>
      <c r="L346" s="9">
        <f t="shared" si="178"/>
        <v>39499.051324042193</v>
      </c>
      <c r="M346" s="9">
        <f t="shared" si="179"/>
        <v>36508.681069363629</v>
      </c>
      <c r="N346" s="9">
        <f t="shared" si="179"/>
        <v>40565.525709791327</v>
      </c>
      <c r="O346" s="78">
        <f t="shared" si="180"/>
        <v>37311.87205288963</v>
      </c>
      <c r="P346" s="78">
        <f t="shared" si="180"/>
        <v>41457.967275406736</v>
      </c>
      <c r="Q346" s="1" t="s">
        <v>427</v>
      </c>
      <c r="R346" s="1" t="s">
        <v>427</v>
      </c>
      <c r="S346" s="1" t="s">
        <v>427</v>
      </c>
      <c r="T346" s="1" t="s">
        <v>427</v>
      </c>
      <c r="U346" s="1" t="s">
        <v>427</v>
      </c>
      <c r="V346" s="78" t="s">
        <v>427</v>
      </c>
      <c r="W346" s="1" t="s">
        <v>427</v>
      </c>
      <c r="X346" s="78" t="s">
        <v>427</v>
      </c>
      <c r="Y346" s="1" t="s">
        <v>427</v>
      </c>
      <c r="Z346" s="78" t="s">
        <v>427</v>
      </c>
      <c r="AA346" s="1" t="s">
        <v>427</v>
      </c>
      <c r="AB346" s="78" t="s">
        <v>427</v>
      </c>
      <c r="AC346" s="1" t="s">
        <v>427</v>
      </c>
      <c r="AD346" s="78" t="s">
        <v>427</v>
      </c>
      <c r="AE346" s="1" t="s">
        <v>427</v>
      </c>
      <c r="AF346" s="78" t="s">
        <v>427</v>
      </c>
      <c r="AG346" s="1" t="s">
        <v>427</v>
      </c>
      <c r="AH346" s="78" t="s">
        <v>427</v>
      </c>
      <c r="AI346" s="141" t="s">
        <v>427</v>
      </c>
      <c r="AJ346" s="140" t="s">
        <v>427</v>
      </c>
      <c r="AK346" s="140" t="s">
        <v>427</v>
      </c>
      <c r="AL346" s="141" t="s">
        <v>427</v>
      </c>
      <c r="AM346" s="141" t="s">
        <v>427</v>
      </c>
      <c r="AN346" s="141" t="s">
        <v>427</v>
      </c>
    </row>
    <row r="347" spans="2:40">
      <c r="B347" s="162">
        <v>84300000</v>
      </c>
      <c r="C347" s="86" t="s">
        <v>430</v>
      </c>
      <c r="D347" s="16">
        <v>85808.741440269587</v>
      </c>
      <c r="E347" s="17">
        <f t="shared" si="189"/>
        <v>90099.178512283077</v>
      </c>
      <c r="F347" s="57">
        <f>E347*1.045</f>
        <v>94153.641545335806</v>
      </c>
      <c r="G347" s="57">
        <f t="shared" si="175"/>
        <v>97430.188271113482</v>
      </c>
      <c r="H347" s="57">
        <f t="shared" si="176"/>
        <v>108256.63079179962</v>
      </c>
      <c r="I347" s="57">
        <f t="shared" si="177"/>
        <v>100060.80335443353</v>
      </c>
      <c r="J347" s="57">
        <f t="shared" si="177"/>
        <v>111179.55982317819</v>
      </c>
      <c r="K347" s="57">
        <f t="shared" si="178"/>
        <v>102462.26263493994</v>
      </c>
      <c r="L347" s="9">
        <f t="shared" si="178"/>
        <v>113847.86925893447</v>
      </c>
      <c r="M347" s="9">
        <f t="shared" si="179"/>
        <v>105228.74372608331</v>
      </c>
      <c r="N347" s="9">
        <f t="shared" si="179"/>
        <v>116921.76172892569</v>
      </c>
      <c r="O347" s="78">
        <f t="shared" si="180"/>
        <v>107543.77608805714</v>
      </c>
      <c r="P347" s="78">
        <f t="shared" si="180"/>
        <v>119494.04048696205</v>
      </c>
      <c r="Q347" s="1">
        <f t="shared" si="190"/>
        <v>110124.82671417051</v>
      </c>
      <c r="R347" s="78">
        <f t="shared" si="191"/>
        <v>122361.89745864915</v>
      </c>
      <c r="S347" s="1">
        <f t="shared" si="192"/>
        <v>114199.44530259482</v>
      </c>
      <c r="T347" s="78">
        <f t="shared" si="193"/>
        <v>126889.28766461916</v>
      </c>
      <c r="U347" s="1">
        <f t="shared" si="194"/>
        <v>117397.02977106748</v>
      </c>
      <c r="V347" s="99">
        <f t="shared" si="195"/>
        <v>130442.1877192285</v>
      </c>
      <c r="W347" s="80">
        <f t="shared" si="196"/>
        <v>119157.98521763348</v>
      </c>
      <c r="X347" s="80">
        <f t="shared" si="197"/>
        <v>132398.82053501692</v>
      </c>
      <c r="Y347" s="80">
        <f t="shared" si="198"/>
        <v>121064.51298111562</v>
      </c>
      <c r="Z347" s="80">
        <f t="shared" si="199"/>
        <v>134517.2016635772</v>
      </c>
      <c r="AA347" s="80">
        <f t="shared" si="200"/>
        <v>123364.73872775681</v>
      </c>
      <c r="AB347" s="80">
        <f t="shared" si="201"/>
        <v>137073.02849518516</v>
      </c>
      <c r="AC347" s="101">
        <f t="shared" si="202"/>
        <v>125708.66876358417</v>
      </c>
      <c r="AD347" s="80">
        <f t="shared" si="203"/>
        <v>139677.41603659367</v>
      </c>
      <c r="AE347" s="101">
        <f t="shared" si="204"/>
        <v>128348.55080761942</v>
      </c>
      <c r="AF347" s="80">
        <f t="shared" si="205"/>
        <v>142610.64177336212</v>
      </c>
      <c r="AG347" s="143">
        <f t="shared" si="181"/>
        <v>130017.08196811847</v>
      </c>
      <c r="AH347" s="152">
        <f t="shared" si="182"/>
        <v>144464.5801164158</v>
      </c>
      <c r="AI347" s="143">
        <f t="shared" si="183"/>
        <v>132617.42360748083</v>
      </c>
      <c r="AJ347" s="152">
        <f t="shared" si="184"/>
        <v>147353.87171874414</v>
      </c>
      <c r="AK347" s="143">
        <f t="shared" si="185"/>
        <v>136463.32889209775</v>
      </c>
      <c r="AL347" s="152">
        <f t="shared" si="186"/>
        <v>151627.1339985877</v>
      </c>
      <c r="AM347" s="143">
        <f t="shared" si="187"/>
        <v>145060.5186122999</v>
      </c>
      <c r="AN347" s="143">
        <f t="shared" si="188"/>
        <v>161179.64344049871</v>
      </c>
    </row>
    <row r="348" spans="2:40">
      <c r="B348" s="162">
        <v>84300002</v>
      </c>
      <c r="C348" s="86" t="s">
        <v>431</v>
      </c>
      <c r="D348" s="16">
        <v>56232.430036337224</v>
      </c>
      <c r="E348" s="17">
        <f t="shared" si="189"/>
        <v>59044.05153815409</v>
      </c>
      <c r="F348" s="57">
        <f>E348*1.045</f>
        <v>61701.033857371018</v>
      </c>
      <c r="G348" s="57">
        <f t="shared" si="175"/>
        <v>63848.229835607526</v>
      </c>
      <c r="H348" s="57">
        <f t="shared" si="176"/>
        <v>70943.045134940243</v>
      </c>
      <c r="I348" s="57">
        <f t="shared" si="177"/>
        <v>65572.132041168923</v>
      </c>
      <c r="J348" s="57">
        <f t="shared" si="177"/>
        <v>72858.507353583627</v>
      </c>
      <c r="K348" s="57">
        <f t="shared" si="178"/>
        <v>67145.863210156982</v>
      </c>
      <c r="L348" s="9">
        <f t="shared" si="178"/>
        <v>74607.11153006964</v>
      </c>
      <c r="M348" s="9">
        <f t="shared" si="179"/>
        <v>68958.801516831212</v>
      </c>
      <c r="N348" s="9">
        <f t="shared" si="179"/>
        <v>76621.50354138152</v>
      </c>
      <c r="O348" s="78">
        <f t="shared" si="180"/>
        <v>70475.895150201497</v>
      </c>
      <c r="P348" s="78">
        <f t="shared" si="180"/>
        <v>78307.176619291917</v>
      </c>
      <c r="Q348" s="1">
        <f t="shared" si="190"/>
        <v>72167.316633806331</v>
      </c>
      <c r="R348" s="78">
        <f t="shared" si="191"/>
        <v>80186.548858154929</v>
      </c>
      <c r="S348" s="1">
        <f t="shared" si="192"/>
        <v>74837.507349257154</v>
      </c>
      <c r="T348" s="78">
        <f t="shared" si="193"/>
        <v>83153.451165906648</v>
      </c>
      <c r="U348" s="1">
        <f t="shared" si="194"/>
        <v>76932.957555036352</v>
      </c>
      <c r="V348" s="99">
        <f t="shared" si="195"/>
        <v>85481.747798552038</v>
      </c>
      <c r="W348" s="78">
        <f t="shared" si="196"/>
        <v>78086.951918361883</v>
      </c>
      <c r="X348" s="78">
        <f t="shared" si="197"/>
        <v>86763.974015530315</v>
      </c>
      <c r="Y348" s="78">
        <f t="shared" si="198"/>
        <v>79336.343149055669</v>
      </c>
      <c r="Z348" s="78">
        <f t="shared" si="199"/>
        <v>88152.197599778796</v>
      </c>
      <c r="AA348" s="78">
        <f t="shared" si="200"/>
        <v>80843.733668887726</v>
      </c>
      <c r="AB348" s="78">
        <f t="shared" si="201"/>
        <v>89827.08935417459</v>
      </c>
      <c r="AC348" s="1">
        <f t="shared" si="202"/>
        <v>82379.764608596583</v>
      </c>
      <c r="AD348" s="78">
        <f t="shared" si="203"/>
        <v>91533.804051903906</v>
      </c>
      <c r="AE348" s="1">
        <f t="shared" si="204"/>
        <v>84109.739665377099</v>
      </c>
      <c r="AF348" s="78">
        <f t="shared" si="205"/>
        <v>93456.013936993884</v>
      </c>
      <c r="AG348" s="141">
        <f t="shared" si="181"/>
        <v>85203.166281026992</v>
      </c>
      <c r="AH348" s="140">
        <f t="shared" si="182"/>
        <v>94670.942118174789</v>
      </c>
      <c r="AI348" s="141">
        <f t="shared" si="183"/>
        <v>86907.229606647539</v>
      </c>
      <c r="AJ348" s="140">
        <f t="shared" si="184"/>
        <v>96564.360960538281</v>
      </c>
      <c r="AK348" s="141">
        <f t="shared" si="185"/>
        <v>89427.53926524031</v>
      </c>
      <c r="AL348" s="140">
        <f t="shared" si="186"/>
        <v>99364.72742839389</v>
      </c>
      <c r="AM348" s="141">
        <f t="shared" si="187"/>
        <v>95061.474238950439</v>
      </c>
      <c r="AN348" s="141">
        <f t="shared" si="188"/>
        <v>105624.7052563827</v>
      </c>
    </row>
    <row r="349" spans="2:40">
      <c r="B349" s="162">
        <v>84300003</v>
      </c>
      <c r="C349" s="86" t="s">
        <v>432</v>
      </c>
      <c r="D349" s="16">
        <v>56232.430036337224</v>
      </c>
      <c r="E349" s="17">
        <f t="shared" si="189"/>
        <v>59044.05153815409</v>
      </c>
      <c r="F349" s="57">
        <f>E349*1.045</f>
        <v>61701.033857371018</v>
      </c>
      <c r="G349" s="57">
        <f t="shared" si="175"/>
        <v>63848.229835607526</v>
      </c>
      <c r="H349" s="57">
        <f t="shared" si="176"/>
        <v>70943.045134940243</v>
      </c>
      <c r="I349" s="57">
        <f t="shared" si="177"/>
        <v>65572.132041168923</v>
      </c>
      <c r="J349" s="57">
        <f t="shared" si="177"/>
        <v>72858.507353583627</v>
      </c>
      <c r="K349" s="57">
        <f t="shared" si="178"/>
        <v>67145.863210156982</v>
      </c>
      <c r="L349" s="9">
        <f t="shared" si="178"/>
        <v>74607.11153006964</v>
      </c>
      <c r="M349" s="9">
        <f t="shared" si="179"/>
        <v>68958.801516831212</v>
      </c>
      <c r="N349" s="9">
        <f t="shared" si="179"/>
        <v>76621.50354138152</v>
      </c>
      <c r="O349" s="78">
        <f t="shared" si="180"/>
        <v>70475.895150201497</v>
      </c>
      <c r="P349" s="78">
        <f t="shared" si="180"/>
        <v>78307.176619291917</v>
      </c>
      <c r="Q349" s="1">
        <f t="shared" si="190"/>
        <v>72167.316633806331</v>
      </c>
      <c r="R349" s="78">
        <f t="shared" si="191"/>
        <v>80186.548858154929</v>
      </c>
      <c r="S349" s="1">
        <f t="shared" si="192"/>
        <v>74837.507349257154</v>
      </c>
      <c r="T349" s="78">
        <f t="shared" si="193"/>
        <v>83153.451165906648</v>
      </c>
      <c r="U349" s="1">
        <f t="shared" si="194"/>
        <v>76932.957555036352</v>
      </c>
      <c r="V349" s="99">
        <f t="shared" si="195"/>
        <v>85481.747798552038</v>
      </c>
      <c r="W349" s="78">
        <f t="shared" si="196"/>
        <v>78086.951918361883</v>
      </c>
      <c r="X349" s="78">
        <f t="shared" si="197"/>
        <v>86763.974015530315</v>
      </c>
      <c r="Y349" s="78">
        <f t="shared" si="198"/>
        <v>79336.343149055669</v>
      </c>
      <c r="Z349" s="78">
        <f t="shared" si="199"/>
        <v>88152.197599778796</v>
      </c>
      <c r="AA349" s="78">
        <f t="shared" si="200"/>
        <v>80843.733668887726</v>
      </c>
      <c r="AB349" s="78">
        <f t="shared" si="201"/>
        <v>89827.08935417459</v>
      </c>
      <c r="AC349" s="1">
        <f t="shared" si="202"/>
        <v>82379.764608596583</v>
      </c>
      <c r="AD349" s="78">
        <f t="shared" si="203"/>
        <v>91533.804051903906</v>
      </c>
      <c r="AE349" s="1">
        <f t="shared" si="204"/>
        <v>84109.739665377099</v>
      </c>
      <c r="AF349" s="78">
        <f t="shared" si="205"/>
        <v>93456.013936993884</v>
      </c>
      <c r="AG349" s="141">
        <f t="shared" si="181"/>
        <v>85203.166281026992</v>
      </c>
      <c r="AH349" s="140">
        <f t="shared" si="182"/>
        <v>94670.942118174789</v>
      </c>
      <c r="AI349" s="141">
        <f t="shared" si="183"/>
        <v>86907.229606647539</v>
      </c>
      <c r="AJ349" s="140">
        <f t="shared" si="184"/>
        <v>96564.360960538281</v>
      </c>
      <c r="AK349" s="141">
        <f t="shared" si="185"/>
        <v>89427.53926524031</v>
      </c>
      <c r="AL349" s="140">
        <f t="shared" si="186"/>
        <v>99364.72742839389</v>
      </c>
      <c r="AM349" s="141">
        <f t="shared" si="187"/>
        <v>95061.474238950439</v>
      </c>
      <c r="AN349" s="141">
        <f t="shared" si="188"/>
        <v>105624.7052563827</v>
      </c>
    </row>
    <row r="350" spans="2:40">
      <c r="B350" s="162">
        <v>84300100</v>
      </c>
      <c r="C350" s="86" t="s">
        <v>433</v>
      </c>
      <c r="D350" s="16">
        <v>85808.741440269587</v>
      </c>
      <c r="E350" s="17">
        <f t="shared" si="189"/>
        <v>90099.178512283077</v>
      </c>
      <c r="F350" s="57">
        <f>E350*1.045</f>
        <v>94153.641545335806</v>
      </c>
      <c r="G350" s="57">
        <f t="shared" si="175"/>
        <v>97430.188271113482</v>
      </c>
      <c r="H350" s="57">
        <f t="shared" si="176"/>
        <v>108256.63079179962</v>
      </c>
      <c r="I350" s="57">
        <f t="shared" si="177"/>
        <v>100060.80335443353</v>
      </c>
      <c r="J350" s="57">
        <f t="shared" si="177"/>
        <v>111179.55982317819</v>
      </c>
      <c r="K350" s="57">
        <f t="shared" si="178"/>
        <v>102462.26263493994</v>
      </c>
      <c r="L350" s="9">
        <f t="shared" si="178"/>
        <v>113847.86925893447</v>
      </c>
      <c r="M350" s="9">
        <f t="shared" si="179"/>
        <v>105228.74372608331</v>
      </c>
      <c r="N350" s="9">
        <f t="shared" si="179"/>
        <v>116921.76172892569</v>
      </c>
      <c r="O350" s="78">
        <f t="shared" si="180"/>
        <v>107543.77608805714</v>
      </c>
      <c r="P350" s="78">
        <f t="shared" si="180"/>
        <v>119494.04048696205</v>
      </c>
      <c r="Q350" s="1">
        <f t="shared" si="190"/>
        <v>110124.82671417051</v>
      </c>
      <c r="R350" s="78">
        <f t="shared" si="191"/>
        <v>122361.89745864915</v>
      </c>
      <c r="S350" s="1">
        <f t="shared" si="192"/>
        <v>114199.44530259482</v>
      </c>
      <c r="T350" s="78">
        <f t="shared" si="193"/>
        <v>126889.28766461916</v>
      </c>
      <c r="U350" s="1">
        <f t="shared" si="194"/>
        <v>117397.02977106748</v>
      </c>
      <c r="V350" s="99">
        <f t="shared" si="195"/>
        <v>130442.1877192285</v>
      </c>
      <c r="W350" s="78">
        <f t="shared" si="196"/>
        <v>119157.98521763348</v>
      </c>
      <c r="X350" s="78">
        <f t="shared" si="197"/>
        <v>132398.82053501692</v>
      </c>
      <c r="Y350" s="78">
        <f t="shared" si="198"/>
        <v>121064.51298111562</v>
      </c>
      <c r="Z350" s="78">
        <f t="shared" si="199"/>
        <v>134517.2016635772</v>
      </c>
      <c r="AA350" s="78">
        <f t="shared" si="200"/>
        <v>123364.73872775681</v>
      </c>
      <c r="AB350" s="78">
        <f t="shared" si="201"/>
        <v>137073.02849518516</v>
      </c>
      <c r="AC350" s="1">
        <f t="shared" si="202"/>
        <v>125708.66876358417</v>
      </c>
      <c r="AD350" s="78">
        <f t="shared" si="203"/>
        <v>139677.41603659367</v>
      </c>
      <c r="AE350" s="1">
        <f t="shared" si="204"/>
        <v>128348.55080761942</v>
      </c>
      <c r="AF350" s="78">
        <f t="shared" si="205"/>
        <v>142610.64177336212</v>
      </c>
      <c r="AG350" s="141">
        <f t="shared" si="181"/>
        <v>130017.08196811847</v>
      </c>
      <c r="AH350" s="140">
        <f t="shared" si="182"/>
        <v>144464.5801164158</v>
      </c>
      <c r="AI350" s="141">
        <f t="shared" si="183"/>
        <v>132617.42360748083</v>
      </c>
      <c r="AJ350" s="140">
        <f t="shared" si="184"/>
        <v>147353.87171874414</v>
      </c>
      <c r="AK350" s="141">
        <f t="shared" si="185"/>
        <v>136463.32889209775</v>
      </c>
      <c r="AL350" s="140">
        <f t="shared" si="186"/>
        <v>151627.1339985877</v>
      </c>
      <c r="AM350" s="141">
        <f t="shared" si="187"/>
        <v>145060.5186122999</v>
      </c>
      <c r="AN350" s="141">
        <f t="shared" si="188"/>
        <v>161179.64344049871</v>
      </c>
    </row>
    <row r="351" spans="2:40">
      <c r="B351" s="162">
        <v>84300104</v>
      </c>
      <c r="C351" s="86" t="s">
        <v>434</v>
      </c>
      <c r="D351" s="16">
        <v>85808.741440269587</v>
      </c>
      <c r="E351" s="17">
        <f t="shared" si="189"/>
        <v>90099.178512283077</v>
      </c>
      <c r="F351" s="57">
        <f>E351*1.045</f>
        <v>94153.641545335806</v>
      </c>
      <c r="G351" s="57">
        <f t="shared" si="175"/>
        <v>97430.188271113482</v>
      </c>
      <c r="H351" s="57">
        <f t="shared" si="176"/>
        <v>108256.63079179962</v>
      </c>
      <c r="I351" s="57">
        <f t="shared" si="177"/>
        <v>100060.80335443353</v>
      </c>
      <c r="J351" s="57">
        <f t="shared" si="177"/>
        <v>111179.55982317819</v>
      </c>
      <c r="K351" s="57">
        <f t="shared" si="178"/>
        <v>102462.26263493994</v>
      </c>
      <c r="L351" s="9">
        <f t="shared" si="178"/>
        <v>113847.86925893447</v>
      </c>
      <c r="M351" s="9">
        <f t="shared" si="179"/>
        <v>105228.74372608331</v>
      </c>
      <c r="N351" s="9">
        <f t="shared" si="179"/>
        <v>116921.76172892569</v>
      </c>
      <c r="O351" s="78">
        <f t="shared" si="180"/>
        <v>107543.77608805714</v>
      </c>
      <c r="P351" s="78">
        <f t="shared" si="180"/>
        <v>119494.04048696205</v>
      </c>
      <c r="Q351" s="1">
        <f t="shared" si="190"/>
        <v>110124.82671417051</v>
      </c>
      <c r="R351" s="78">
        <f t="shared" si="191"/>
        <v>122361.89745864915</v>
      </c>
      <c r="S351" s="1">
        <f t="shared" si="192"/>
        <v>114199.44530259482</v>
      </c>
      <c r="T351" s="78">
        <f t="shared" si="193"/>
        <v>126889.28766461916</v>
      </c>
      <c r="U351" s="1">
        <f t="shared" si="194"/>
        <v>117397.02977106748</v>
      </c>
      <c r="V351" s="99">
        <f t="shared" si="195"/>
        <v>130442.1877192285</v>
      </c>
      <c r="W351" s="78">
        <f t="shared" si="196"/>
        <v>119157.98521763348</v>
      </c>
      <c r="X351" s="78">
        <f t="shared" si="197"/>
        <v>132398.82053501692</v>
      </c>
      <c r="Y351" s="78">
        <f t="shared" si="198"/>
        <v>121064.51298111562</v>
      </c>
      <c r="Z351" s="78">
        <f t="shared" si="199"/>
        <v>134517.2016635772</v>
      </c>
      <c r="AA351" s="78">
        <f t="shared" si="200"/>
        <v>123364.73872775681</v>
      </c>
      <c r="AB351" s="78">
        <f t="shared" si="201"/>
        <v>137073.02849518516</v>
      </c>
      <c r="AC351" s="1">
        <f t="shared" si="202"/>
        <v>125708.66876358417</v>
      </c>
      <c r="AD351" s="78">
        <f t="shared" si="203"/>
        <v>139677.41603659367</v>
      </c>
      <c r="AE351" s="1">
        <f t="shared" si="204"/>
        <v>128348.55080761942</v>
      </c>
      <c r="AF351" s="78">
        <f t="shared" si="205"/>
        <v>142610.64177336212</v>
      </c>
      <c r="AG351" s="141">
        <f t="shared" si="181"/>
        <v>130017.08196811847</v>
      </c>
      <c r="AH351" s="140">
        <f t="shared" si="182"/>
        <v>144464.5801164158</v>
      </c>
      <c r="AI351" s="141">
        <f t="shared" si="183"/>
        <v>132617.42360748083</v>
      </c>
      <c r="AJ351" s="140">
        <f t="shared" si="184"/>
        <v>147353.87171874414</v>
      </c>
      <c r="AK351" s="141">
        <f t="shared" si="185"/>
        <v>136463.32889209775</v>
      </c>
      <c r="AL351" s="140">
        <f t="shared" si="186"/>
        <v>151627.1339985877</v>
      </c>
      <c r="AM351" s="141">
        <f t="shared" si="187"/>
        <v>145060.5186122999</v>
      </c>
      <c r="AN351" s="141">
        <f t="shared" si="188"/>
        <v>161179.64344049871</v>
      </c>
    </row>
    <row r="352" spans="2:40">
      <c r="B352" s="162">
        <v>84300106</v>
      </c>
      <c r="C352" s="86" t="s">
        <v>435</v>
      </c>
      <c r="D352" s="16">
        <v>85808.741440269587</v>
      </c>
      <c r="E352" s="17">
        <f t="shared" si="189"/>
        <v>90099.178512283077</v>
      </c>
      <c r="F352" s="57">
        <f>E352*1.045</f>
        <v>94153.641545335806</v>
      </c>
      <c r="G352" s="57">
        <f t="shared" ref="G352:G365" si="206">F352*1.0348</f>
        <v>97430.188271113482</v>
      </c>
      <c r="H352" s="57">
        <f t="shared" ref="H352:H365" si="207">G352*1.11112</f>
        <v>108256.63079179962</v>
      </c>
      <c r="I352" s="57">
        <f t="shared" ref="I352:J365" si="208">G352*1.027</f>
        <v>100060.80335443353</v>
      </c>
      <c r="J352" s="57">
        <f t="shared" si="208"/>
        <v>111179.55982317819</v>
      </c>
      <c r="K352" s="57">
        <f t="shared" ref="K352:L365" si="209">I352*1.024</f>
        <v>102462.26263493994</v>
      </c>
      <c r="L352" s="9">
        <f t="shared" si="209"/>
        <v>113847.86925893447</v>
      </c>
      <c r="M352" s="9">
        <f t="shared" ref="M352:N365" si="210">K352*1.027</f>
        <v>105228.74372608331</v>
      </c>
      <c r="N352" s="9">
        <f t="shared" si="210"/>
        <v>116921.76172892569</v>
      </c>
      <c r="O352" s="78">
        <f t="shared" ref="O352:P365" si="211">M352*1.022</f>
        <v>107543.77608805714</v>
      </c>
      <c r="P352" s="78">
        <f t="shared" si="211"/>
        <v>119494.04048696205</v>
      </c>
      <c r="Q352" s="1">
        <f t="shared" si="190"/>
        <v>110124.82671417051</v>
      </c>
      <c r="R352" s="78">
        <f t="shared" si="191"/>
        <v>122361.89745864915</v>
      </c>
      <c r="S352" s="1">
        <f t="shared" si="192"/>
        <v>114199.44530259482</v>
      </c>
      <c r="T352" s="78">
        <f t="shared" si="193"/>
        <v>126889.28766461916</v>
      </c>
      <c r="U352" s="1">
        <f t="shared" si="194"/>
        <v>117397.02977106748</v>
      </c>
      <c r="V352" s="99">
        <f t="shared" si="195"/>
        <v>130442.1877192285</v>
      </c>
      <c r="W352" s="78">
        <f t="shared" si="196"/>
        <v>119157.98521763348</v>
      </c>
      <c r="X352" s="78">
        <f t="shared" si="197"/>
        <v>132398.82053501692</v>
      </c>
      <c r="Y352" s="78">
        <f t="shared" si="198"/>
        <v>121064.51298111562</v>
      </c>
      <c r="Z352" s="78">
        <f t="shared" si="199"/>
        <v>134517.2016635772</v>
      </c>
      <c r="AA352" s="78">
        <f t="shared" si="200"/>
        <v>123364.73872775681</v>
      </c>
      <c r="AB352" s="78">
        <f t="shared" si="201"/>
        <v>137073.02849518516</v>
      </c>
      <c r="AC352" s="1">
        <f t="shared" si="202"/>
        <v>125708.66876358417</v>
      </c>
      <c r="AD352" s="78">
        <f t="shared" si="203"/>
        <v>139677.41603659367</v>
      </c>
      <c r="AE352" s="1">
        <f t="shared" si="204"/>
        <v>128348.55080761942</v>
      </c>
      <c r="AF352" s="78">
        <f t="shared" si="205"/>
        <v>142610.64177336212</v>
      </c>
      <c r="AG352" s="141">
        <f t="shared" si="181"/>
        <v>130017.08196811847</v>
      </c>
      <c r="AH352" s="140">
        <f t="shared" si="182"/>
        <v>144464.5801164158</v>
      </c>
      <c r="AI352" s="141">
        <f t="shared" si="183"/>
        <v>132617.42360748083</v>
      </c>
      <c r="AJ352" s="140">
        <f t="shared" si="184"/>
        <v>147353.87171874414</v>
      </c>
      <c r="AK352" s="141">
        <f t="shared" si="185"/>
        <v>136463.32889209775</v>
      </c>
      <c r="AL352" s="140">
        <f t="shared" si="186"/>
        <v>151627.1339985877</v>
      </c>
      <c r="AM352" s="141">
        <f t="shared" si="187"/>
        <v>145060.5186122999</v>
      </c>
      <c r="AN352" s="141">
        <f t="shared" si="188"/>
        <v>161179.64344049871</v>
      </c>
    </row>
    <row r="353" spans="2:40">
      <c r="B353" s="162">
        <v>84300108</v>
      </c>
      <c r="C353" s="86" t="s">
        <v>436</v>
      </c>
      <c r="D353" s="16">
        <v>85808.741440269587</v>
      </c>
      <c r="E353" s="17">
        <f t="shared" si="189"/>
        <v>90099.178512283077</v>
      </c>
      <c r="F353" s="57">
        <f>E353*1.045</f>
        <v>94153.641545335806</v>
      </c>
      <c r="G353" s="57">
        <f t="shared" si="206"/>
        <v>97430.188271113482</v>
      </c>
      <c r="H353" s="57">
        <f t="shared" si="207"/>
        <v>108256.63079179962</v>
      </c>
      <c r="I353" s="57">
        <f t="shared" si="208"/>
        <v>100060.80335443353</v>
      </c>
      <c r="J353" s="57">
        <f t="shared" si="208"/>
        <v>111179.55982317819</v>
      </c>
      <c r="K353" s="57">
        <f t="shared" si="209"/>
        <v>102462.26263493994</v>
      </c>
      <c r="L353" s="9">
        <f t="shared" si="209"/>
        <v>113847.86925893447</v>
      </c>
      <c r="M353" s="9">
        <f t="shared" si="210"/>
        <v>105228.74372608331</v>
      </c>
      <c r="N353" s="9">
        <f t="shared" si="210"/>
        <v>116921.76172892569</v>
      </c>
      <c r="O353" s="78">
        <f t="shared" si="211"/>
        <v>107543.77608805714</v>
      </c>
      <c r="P353" s="78">
        <f t="shared" si="211"/>
        <v>119494.04048696205</v>
      </c>
      <c r="Q353" s="1">
        <f t="shared" si="190"/>
        <v>110124.82671417051</v>
      </c>
      <c r="R353" s="78">
        <f t="shared" si="191"/>
        <v>122361.89745864915</v>
      </c>
      <c r="S353" s="1">
        <f t="shared" si="192"/>
        <v>114199.44530259482</v>
      </c>
      <c r="T353" s="78">
        <f t="shared" si="193"/>
        <v>126889.28766461916</v>
      </c>
      <c r="U353" s="1">
        <f t="shared" si="194"/>
        <v>117397.02977106748</v>
      </c>
      <c r="V353" s="99">
        <f t="shared" si="195"/>
        <v>130442.1877192285</v>
      </c>
      <c r="W353" s="78">
        <f t="shared" si="196"/>
        <v>119157.98521763348</v>
      </c>
      <c r="X353" s="78">
        <f t="shared" si="197"/>
        <v>132398.82053501692</v>
      </c>
      <c r="Y353" s="78">
        <f t="shared" si="198"/>
        <v>121064.51298111562</v>
      </c>
      <c r="Z353" s="78">
        <f t="shared" si="199"/>
        <v>134517.2016635772</v>
      </c>
      <c r="AA353" s="78">
        <f t="shared" si="200"/>
        <v>123364.73872775681</v>
      </c>
      <c r="AB353" s="78">
        <f t="shared" si="201"/>
        <v>137073.02849518516</v>
      </c>
      <c r="AC353" s="1">
        <f t="shared" si="202"/>
        <v>125708.66876358417</v>
      </c>
      <c r="AD353" s="78">
        <f t="shared" si="203"/>
        <v>139677.41603659367</v>
      </c>
      <c r="AE353" s="1">
        <f t="shared" si="204"/>
        <v>128348.55080761942</v>
      </c>
      <c r="AF353" s="78">
        <f t="shared" si="205"/>
        <v>142610.64177336212</v>
      </c>
      <c r="AG353" s="141">
        <f t="shared" si="181"/>
        <v>130017.08196811847</v>
      </c>
      <c r="AH353" s="140">
        <f t="shared" si="182"/>
        <v>144464.5801164158</v>
      </c>
      <c r="AI353" s="141">
        <f t="shared" si="183"/>
        <v>132617.42360748083</v>
      </c>
      <c r="AJ353" s="140">
        <f t="shared" si="184"/>
        <v>147353.87171874414</v>
      </c>
      <c r="AK353" s="141">
        <f t="shared" si="185"/>
        <v>136463.32889209775</v>
      </c>
      <c r="AL353" s="140">
        <f t="shared" si="186"/>
        <v>151627.1339985877</v>
      </c>
      <c r="AM353" s="141">
        <f t="shared" si="187"/>
        <v>145060.5186122999</v>
      </c>
      <c r="AN353" s="141">
        <f t="shared" si="188"/>
        <v>161179.64344049871</v>
      </c>
    </row>
    <row r="354" spans="2:40">
      <c r="B354" s="162">
        <v>84300112</v>
      </c>
      <c r="C354" s="86" t="s">
        <v>437</v>
      </c>
      <c r="D354" s="16">
        <v>124564.94089008073</v>
      </c>
      <c r="E354" s="17">
        <f t="shared" si="189"/>
        <v>130793.18793458477</v>
      </c>
      <c r="F354" s="57">
        <f>E354*1.045</f>
        <v>136678.88139164107</v>
      </c>
      <c r="G354" s="57">
        <f t="shared" si="206"/>
        <v>141435.30646407016</v>
      </c>
      <c r="H354" s="57">
        <f t="shared" si="207"/>
        <v>157151.59771835766</v>
      </c>
      <c r="I354" s="57">
        <f t="shared" si="208"/>
        <v>145254.05973860004</v>
      </c>
      <c r="J354" s="57">
        <f t="shared" si="208"/>
        <v>161394.6908567533</v>
      </c>
      <c r="K354" s="57">
        <f t="shared" si="209"/>
        <v>148740.15717232644</v>
      </c>
      <c r="L354" s="9">
        <f t="shared" si="209"/>
        <v>165268.16343731538</v>
      </c>
      <c r="M354" s="9">
        <f t="shared" si="210"/>
        <v>152756.14141597925</v>
      </c>
      <c r="N354" s="9">
        <f t="shared" si="210"/>
        <v>169730.40385012288</v>
      </c>
      <c r="O354" s="78">
        <f t="shared" si="211"/>
        <v>156116.7765271308</v>
      </c>
      <c r="P354" s="78">
        <f t="shared" si="211"/>
        <v>173464.4727348256</v>
      </c>
      <c r="Q354" s="1">
        <f t="shared" si="190"/>
        <v>159863.57916378195</v>
      </c>
      <c r="R354" s="78">
        <f t="shared" si="191"/>
        <v>177627.62008046141</v>
      </c>
      <c r="S354" s="1">
        <f t="shared" si="192"/>
        <v>165778.53159284187</v>
      </c>
      <c r="T354" s="78">
        <f t="shared" si="193"/>
        <v>184199.84202343845</v>
      </c>
      <c r="U354" s="1">
        <f t="shared" si="194"/>
        <v>170420.33047744146</v>
      </c>
      <c r="V354" s="99">
        <f t="shared" si="195"/>
        <v>189357.43760009474</v>
      </c>
      <c r="W354" s="78">
        <f t="shared" si="196"/>
        <v>172976.63543460306</v>
      </c>
      <c r="X354" s="78">
        <f t="shared" si="197"/>
        <v>192197.79916409613</v>
      </c>
      <c r="Y354" s="78">
        <f t="shared" si="198"/>
        <v>175744.2616015567</v>
      </c>
      <c r="Z354" s="78">
        <f t="shared" si="199"/>
        <v>195272.96395072166</v>
      </c>
      <c r="AA354" s="78">
        <f t="shared" si="200"/>
        <v>179083.40257198625</v>
      </c>
      <c r="AB354" s="78">
        <f t="shared" si="201"/>
        <v>198983.15026578537</v>
      </c>
      <c r="AC354" s="1">
        <f t="shared" si="202"/>
        <v>182485.98722085397</v>
      </c>
      <c r="AD354" s="78">
        <f t="shared" si="203"/>
        <v>202763.83012083528</v>
      </c>
      <c r="AE354" s="1">
        <f t="shared" si="204"/>
        <v>186318.1929524919</v>
      </c>
      <c r="AF354" s="78">
        <f t="shared" si="205"/>
        <v>207021.87055337281</v>
      </c>
      <c r="AG354" s="141">
        <f t="shared" si="181"/>
        <v>188740.32946087426</v>
      </c>
      <c r="AH354" s="140">
        <f t="shared" si="182"/>
        <v>209713.15487056662</v>
      </c>
      <c r="AI354" s="141">
        <f t="shared" si="183"/>
        <v>192515.13605009174</v>
      </c>
      <c r="AJ354" s="140">
        <f t="shared" si="184"/>
        <v>213907.41796797796</v>
      </c>
      <c r="AK354" s="141">
        <f t="shared" si="185"/>
        <v>198098.07499554439</v>
      </c>
      <c r="AL354" s="140">
        <f t="shared" si="186"/>
        <v>220110.73308904932</v>
      </c>
      <c r="AM354" s="141">
        <f t="shared" si="187"/>
        <v>210578.25372026369</v>
      </c>
      <c r="AN354" s="141">
        <f t="shared" si="188"/>
        <v>233977.70927365942</v>
      </c>
    </row>
    <row r="355" spans="2:40">
      <c r="B355" s="162">
        <v>84300200</v>
      </c>
      <c r="C355" s="86" t="s">
        <v>438</v>
      </c>
      <c r="D355" s="16">
        <v>85808.741440269587</v>
      </c>
      <c r="E355" s="17">
        <f t="shared" si="189"/>
        <v>90099.178512283077</v>
      </c>
      <c r="F355" s="57">
        <f>E355*1.045</f>
        <v>94153.641545335806</v>
      </c>
      <c r="G355" s="57">
        <f t="shared" si="206"/>
        <v>97430.188271113482</v>
      </c>
      <c r="H355" s="57">
        <f t="shared" si="207"/>
        <v>108256.63079179962</v>
      </c>
      <c r="I355" s="57">
        <f t="shared" si="208"/>
        <v>100060.80335443353</v>
      </c>
      <c r="J355" s="57">
        <f t="shared" si="208"/>
        <v>111179.55982317819</v>
      </c>
      <c r="K355" s="57">
        <f t="shared" si="209"/>
        <v>102462.26263493994</v>
      </c>
      <c r="L355" s="9">
        <f t="shared" si="209"/>
        <v>113847.86925893447</v>
      </c>
      <c r="M355" s="9">
        <f t="shared" si="210"/>
        <v>105228.74372608331</v>
      </c>
      <c r="N355" s="9">
        <f t="shared" si="210"/>
        <v>116921.76172892569</v>
      </c>
      <c r="O355" s="78">
        <f t="shared" si="211"/>
        <v>107543.77608805714</v>
      </c>
      <c r="P355" s="78">
        <f t="shared" si="211"/>
        <v>119494.04048696205</v>
      </c>
      <c r="Q355" s="1">
        <f t="shared" si="190"/>
        <v>110124.82671417051</v>
      </c>
      <c r="R355" s="78">
        <f t="shared" si="191"/>
        <v>122361.89745864915</v>
      </c>
      <c r="S355" s="1">
        <f t="shared" si="192"/>
        <v>114199.44530259482</v>
      </c>
      <c r="T355" s="78">
        <f t="shared" si="193"/>
        <v>126889.28766461916</v>
      </c>
      <c r="U355" s="1">
        <f t="shared" si="194"/>
        <v>117397.02977106748</v>
      </c>
      <c r="V355" s="99">
        <f t="shared" si="195"/>
        <v>130442.1877192285</v>
      </c>
      <c r="W355" s="78">
        <f t="shared" si="196"/>
        <v>119157.98521763348</v>
      </c>
      <c r="X355" s="78">
        <f t="shared" si="197"/>
        <v>132398.82053501692</v>
      </c>
      <c r="Y355" s="78">
        <f t="shared" si="198"/>
        <v>121064.51298111562</v>
      </c>
      <c r="Z355" s="78">
        <f t="shared" si="199"/>
        <v>134517.2016635772</v>
      </c>
      <c r="AA355" s="78">
        <f t="shared" si="200"/>
        <v>123364.73872775681</v>
      </c>
      <c r="AB355" s="78">
        <f t="shared" si="201"/>
        <v>137073.02849518516</v>
      </c>
      <c r="AC355" s="1">
        <f t="shared" si="202"/>
        <v>125708.66876358417</v>
      </c>
      <c r="AD355" s="78">
        <f t="shared" si="203"/>
        <v>139677.41603659367</v>
      </c>
      <c r="AE355" s="1">
        <f t="shared" si="204"/>
        <v>128348.55080761942</v>
      </c>
      <c r="AF355" s="78">
        <f t="shared" si="205"/>
        <v>142610.64177336212</v>
      </c>
      <c r="AG355" s="141">
        <f t="shared" si="181"/>
        <v>130017.08196811847</v>
      </c>
      <c r="AH355" s="140">
        <f t="shared" si="182"/>
        <v>144464.5801164158</v>
      </c>
      <c r="AI355" s="141">
        <f t="shared" si="183"/>
        <v>132617.42360748083</v>
      </c>
      <c r="AJ355" s="140">
        <f t="shared" si="184"/>
        <v>147353.87171874414</v>
      </c>
      <c r="AK355" s="141">
        <f t="shared" si="185"/>
        <v>136463.32889209775</v>
      </c>
      <c r="AL355" s="140">
        <f t="shared" si="186"/>
        <v>151627.1339985877</v>
      </c>
      <c r="AM355" s="141">
        <f t="shared" si="187"/>
        <v>145060.5186122999</v>
      </c>
      <c r="AN355" s="141">
        <f t="shared" si="188"/>
        <v>161179.64344049871</v>
      </c>
    </row>
    <row r="356" spans="2:40">
      <c r="B356" s="162">
        <v>84300300</v>
      </c>
      <c r="C356" s="86" t="s">
        <v>439</v>
      </c>
      <c r="D356" s="16">
        <v>85808.741440269587</v>
      </c>
      <c r="E356" s="17">
        <f t="shared" si="189"/>
        <v>90099.178512283077</v>
      </c>
      <c r="F356" s="57">
        <f>E356*1.045</f>
        <v>94153.641545335806</v>
      </c>
      <c r="G356" s="57">
        <f t="shared" si="206"/>
        <v>97430.188271113482</v>
      </c>
      <c r="H356" s="57">
        <f t="shared" si="207"/>
        <v>108256.63079179962</v>
      </c>
      <c r="I356" s="57">
        <f t="shared" si="208"/>
        <v>100060.80335443353</v>
      </c>
      <c r="J356" s="57">
        <f t="shared" si="208"/>
        <v>111179.55982317819</v>
      </c>
      <c r="K356" s="57">
        <f t="shared" si="209"/>
        <v>102462.26263493994</v>
      </c>
      <c r="L356" s="9">
        <f t="shared" si="209"/>
        <v>113847.86925893447</v>
      </c>
      <c r="M356" s="9">
        <f t="shared" si="210"/>
        <v>105228.74372608331</v>
      </c>
      <c r="N356" s="9">
        <f t="shared" si="210"/>
        <v>116921.76172892569</v>
      </c>
      <c r="O356" s="78">
        <f t="shared" si="211"/>
        <v>107543.77608805714</v>
      </c>
      <c r="P356" s="78">
        <f t="shared" si="211"/>
        <v>119494.04048696205</v>
      </c>
      <c r="Q356" s="1">
        <f t="shared" si="190"/>
        <v>110124.82671417051</v>
      </c>
      <c r="R356" s="78">
        <f t="shared" si="191"/>
        <v>122361.89745864915</v>
      </c>
      <c r="S356" s="1">
        <f t="shared" si="192"/>
        <v>114199.44530259482</v>
      </c>
      <c r="T356" s="78">
        <f t="shared" si="193"/>
        <v>126889.28766461916</v>
      </c>
      <c r="U356" s="1">
        <f t="shared" si="194"/>
        <v>117397.02977106748</v>
      </c>
      <c r="V356" s="99">
        <f t="shared" si="195"/>
        <v>130442.1877192285</v>
      </c>
      <c r="W356" s="78">
        <f t="shared" si="196"/>
        <v>119157.98521763348</v>
      </c>
      <c r="X356" s="78">
        <f t="shared" si="197"/>
        <v>132398.82053501692</v>
      </c>
      <c r="Y356" s="78">
        <f t="shared" si="198"/>
        <v>121064.51298111562</v>
      </c>
      <c r="Z356" s="78">
        <f t="shared" si="199"/>
        <v>134517.2016635772</v>
      </c>
      <c r="AA356" s="78">
        <f t="shared" si="200"/>
        <v>123364.73872775681</v>
      </c>
      <c r="AB356" s="78">
        <f t="shared" si="201"/>
        <v>137073.02849518516</v>
      </c>
      <c r="AC356" s="1">
        <f t="shared" si="202"/>
        <v>125708.66876358417</v>
      </c>
      <c r="AD356" s="78">
        <f t="shared" si="203"/>
        <v>139677.41603659367</v>
      </c>
      <c r="AE356" s="1">
        <f t="shared" si="204"/>
        <v>128348.55080761942</v>
      </c>
      <c r="AF356" s="78">
        <f t="shared" si="205"/>
        <v>142610.64177336212</v>
      </c>
      <c r="AG356" s="141">
        <f t="shared" si="181"/>
        <v>130017.08196811847</v>
      </c>
      <c r="AH356" s="140">
        <f t="shared" si="182"/>
        <v>144464.5801164158</v>
      </c>
      <c r="AI356" s="141">
        <f t="shared" si="183"/>
        <v>132617.42360748083</v>
      </c>
      <c r="AJ356" s="140">
        <f t="shared" si="184"/>
        <v>147353.87171874414</v>
      </c>
      <c r="AK356" s="141">
        <f t="shared" si="185"/>
        <v>136463.32889209775</v>
      </c>
      <c r="AL356" s="140">
        <f t="shared" si="186"/>
        <v>151627.1339985877</v>
      </c>
      <c r="AM356" s="141">
        <f t="shared" si="187"/>
        <v>145060.5186122999</v>
      </c>
      <c r="AN356" s="141">
        <f t="shared" si="188"/>
        <v>161179.64344049871</v>
      </c>
    </row>
    <row r="357" spans="2:40">
      <c r="B357" s="162">
        <v>84300400</v>
      </c>
      <c r="C357" s="86" t="s">
        <v>440</v>
      </c>
      <c r="D357" s="16">
        <v>85808.741440269587</v>
      </c>
      <c r="E357" s="17">
        <f t="shared" ref="E357:E371" si="212">D357*1.05</f>
        <v>90099.178512283077</v>
      </c>
      <c r="F357" s="57">
        <f>E357*1.045</f>
        <v>94153.641545335806</v>
      </c>
      <c r="G357" s="57">
        <f t="shared" si="206"/>
        <v>97430.188271113482</v>
      </c>
      <c r="H357" s="57">
        <f t="shared" si="207"/>
        <v>108256.63079179962</v>
      </c>
      <c r="I357" s="57">
        <f t="shared" si="208"/>
        <v>100060.80335443353</v>
      </c>
      <c r="J357" s="57">
        <f t="shared" si="208"/>
        <v>111179.55982317819</v>
      </c>
      <c r="K357" s="57">
        <f t="shared" si="209"/>
        <v>102462.26263493994</v>
      </c>
      <c r="L357" s="9">
        <f t="shared" si="209"/>
        <v>113847.86925893447</v>
      </c>
      <c r="M357" s="9">
        <f t="shared" si="210"/>
        <v>105228.74372608331</v>
      </c>
      <c r="N357" s="9">
        <f t="shared" si="210"/>
        <v>116921.76172892569</v>
      </c>
      <c r="O357" s="78">
        <f t="shared" si="211"/>
        <v>107543.77608805714</v>
      </c>
      <c r="P357" s="78">
        <f t="shared" si="211"/>
        <v>119494.04048696205</v>
      </c>
      <c r="Q357" s="1">
        <f t="shared" si="190"/>
        <v>110124.82671417051</v>
      </c>
      <c r="R357" s="78">
        <f t="shared" si="191"/>
        <v>122361.89745864915</v>
      </c>
      <c r="S357" s="1">
        <f t="shared" si="192"/>
        <v>114199.44530259482</v>
      </c>
      <c r="T357" s="78">
        <f t="shared" si="193"/>
        <v>126889.28766461916</v>
      </c>
      <c r="U357" s="1">
        <f t="shared" si="194"/>
        <v>117397.02977106748</v>
      </c>
      <c r="V357" s="99">
        <f t="shared" si="195"/>
        <v>130442.1877192285</v>
      </c>
      <c r="W357" s="78">
        <f t="shared" si="196"/>
        <v>119157.98521763348</v>
      </c>
      <c r="X357" s="78">
        <f t="shared" si="197"/>
        <v>132398.82053501692</v>
      </c>
      <c r="Y357" s="78">
        <f t="shared" si="198"/>
        <v>121064.51298111562</v>
      </c>
      <c r="Z357" s="78">
        <f t="shared" si="199"/>
        <v>134517.2016635772</v>
      </c>
      <c r="AA357" s="78">
        <f t="shared" si="200"/>
        <v>123364.73872775681</v>
      </c>
      <c r="AB357" s="78">
        <f t="shared" si="201"/>
        <v>137073.02849518516</v>
      </c>
      <c r="AC357" s="1">
        <f t="shared" si="202"/>
        <v>125708.66876358417</v>
      </c>
      <c r="AD357" s="78">
        <f t="shared" si="203"/>
        <v>139677.41603659367</v>
      </c>
      <c r="AE357" s="1">
        <f t="shared" si="204"/>
        <v>128348.55080761942</v>
      </c>
      <c r="AF357" s="78">
        <f t="shared" si="205"/>
        <v>142610.64177336212</v>
      </c>
      <c r="AG357" s="141">
        <f t="shared" si="181"/>
        <v>130017.08196811847</v>
      </c>
      <c r="AH357" s="140">
        <f t="shared" si="182"/>
        <v>144464.5801164158</v>
      </c>
      <c r="AI357" s="141">
        <f t="shared" si="183"/>
        <v>132617.42360748083</v>
      </c>
      <c r="AJ357" s="140">
        <f t="shared" si="184"/>
        <v>147353.87171874414</v>
      </c>
      <c r="AK357" s="141">
        <f t="shared" si="185"/>
        <v>136463.32889209775</v>
      </c>
      <c r="AL357" s="140">
        <f t="shared" si="186"/>
        <v>151627.1339985877</v>
      </c>
      <c r="AM357" s="141">
        <f t="shared" si="187"/>
        <v>145060.5186122999</v>
      </c>
      <c r="AN357" s="141">
        <f t="shared" si="188"/>
        <v>161179.64344049871</v>
      </c>
    </row>
    <row r="358" spans="2:40">
      <c r="B358" s="162">
        <v>84300500</v>
      </c>
      <c r="C358" s="86" t="s">
        <v>441</v>
      </c>
      <c r="D358" s="16">
        <v>85808.741440269587</v>
      </c>
      <c r="E358" s="17">
        <f t="shared" si="212"/>
        <v>90099.178512283077</v>
      </c>
      <c r="F358" s="57">
        <f>E358*1.045</f>
        <v>94153.641545335806</v>
      </c>
      <c r="G358" s="57">
        <f t="shared" si="206"/>
        <v>97430.188271113482</v>
      </c>
      <c r="H358" s="57">
        <f t="shared" si="207"/>
        <v>108256.63079179962</v>
      </c>
      <c r="I358" s="57">
        <f t="shared" si="208"/>
        <v>100060.80335443353</v>
      </c>
      <c r="J358" s="57">
        <f t="shared" si="208"/>
        <v>111179.55982317819</v>
      </c>
      <c r="K358" s="57">
        <f t="shared" si="209"/>
        <v>102462.26263493994</v>
      </c>
      <c r="L358" s="9">
        <f t="shared" si="209"/>
        <v>113847.86925893447</v>
      </c>
      <c r="M358" s="9">
        <f t="shared" si="210"/>
        <v>105228.74372608331</v>
      </c>
      <c r="N358" s="9">
        <f t="shared" si="210"/>
        <v>116921.76172892569</v>
      </c>
      <c r="O358" s="78">
        <f t="shared" si="211"/>
        <v>107543.77608805714</v>
      </c>
      <c r="P358" s="78">
        <f t="shared" si="211"/>
        <v>119494.04048696205</v>
      </c>
      <c r="Q358" s="1">
        <f t="shared" si="190"/>
        <v>110124.82671417051</v>
      </c>
      <c r="R358" s="78">
        <f t="shared" si="191"/>
        <v>122361.89745864915</v>
      </c>
      <c r="S358" s="1">
        <f t="shared" si="192"/>
        <v>114199.44530259482</v>
      </c>
      <c r="T358" s="78">
        <f t="shared" si="193"/>
        <v>126889.28766461916</v>
      </c>
      <c r="U358" s="1">
        <f t="shared" si="194"/>
        <v>117397.02977106748</v>
      </c>
      <c r="V358" s="99">
        <f t="shared" si="195"/>
        <v>130442.1877192285</v>
      </c>
      <c r="W358" s="78">
        <f t="shared" si="196"/>
        <v>119157.98521763348</v>
      </c>
      <c r="X358" s="78">
        <f t="shared" si="197"/>
        <v>132398.82053501692</v>
      </c>
      <c r="Y358" s="78">
        <f t="shared" si="198"/>
        <v>121064.51298111562</v>
      </c>
      <c r="Z358" s="78">
        <f t="shared" si="199"/>
        <v>134517.2016635772</v>
      </c>
      <c r="AA358" s="78">
        <f t="shared" si="200"/>
        <v>123364.73872775681</v>
      </c>
      <c r="AB358" s="78">
        <f t="shared" si="201"/>
        <v>137073.02849518516</v>
      </c>
      <c r="AC358" s="1">
        <f t="shared" si="202"/>
        <v>125708.66876358417</v>
      </c>
      <c r="AD358" s="78">
        <f t="shared" si="203"/>
        <v>139677.41603659367</v>
      </c>
      <c r="AE358" s="1">
        <f t="shared" si="204"/>
        <v>128348.55080761942</v>
      </c>
      <c r="AF358" s="78">
        <f t="shared" si="205"/>
        <v>142610.64177336212</v>
      </c>
      <c r="AG358" s="141">
        <f t="shared" si="181"/>
        <v>130017.08196811847</v>
      </c>
      <c r="AH358" s="140">
        <f t="shared" si="182"/>
        <v>144464.5801164158</v>
      </c>
      <c r="AI358" s="141">
        <f t="shared" si="183"/>
        <v>132617.42360748083</v>
      </c>
      <c r="AJ358" s="140">
        <f t="shared" si="184"/>
        <v>147353.87171874414</v>
      </c>
      <c r="AK358" s="141">
        <f t="shared" si="185"/>
        <v>136463.32889209775</v>
      </c>
      <c r="AL358" s="140">
        <f t="shared" si="186"/>
        <v>151627.1339985877</v>
      </c>
      <c r="AM358" s="141">
        <f t="shared" si="187"/>
        <v>145060.5186122999</v>
      </c>
      <c r="AN358" s="141">
        <f t="shared" si="188"/>
        <v>161179.64344049871</v>
      </c>
    </row>
    <row r="359" spans="2:40">
      <c r="B359" s="162">
        <v>84300600</v>
      </c>
      <c r="C359" s="86" t="s">
        <v>442</v>
      </c>
      <c r="D359" s="16">
        <v>85808.741440269587</v>
      </c>
      <c r="E359" s="17">
        <f t="shared" si="212"/>
        <v>90099.178512283077</v>
      </c>
      <c r="F359" s="57">
        <f>E359*1.045</f>
        <v>94153.641545335806</v>
      </c>
      <c r="G359" s="57">
        <f t="shared" si="206"/>
        <v>97430.188271113482</v>
      </c>
      <c r="H359" s="57">
        <f t="shared" si="207"/>
        <v>108256.63079179962</v>
      </c>
      <c r="I359" s="57">
        <f t="shared" si="208"/>
        <v>100060.80335443353</v>
      </c>
      <c r="J359" s="57">
        <f t="shared" si="208"/>
        <v>111179.55982317819</v>
      </c>
      <c r="K359" s="57">
        <f t="shared" si="209"/>
        <v>102462.26263493994</v>
      </c>
      <c r="L359" s="9">
        <f t="shared" si="209"/>
        <v>113847.86925893447</v>
      </c>
      <c r="M359" s="9">
        <f t="shared" si="210"/>
        <v>105228.74372608331</v>
      </c>
      <c r="N359" s="9">
        <f t="shared" si="210"/>
        <v>116921.76172892569</v>
      </c>
      <c r="O359" s="78">
        <f t="shared" si="211"/>
        <v>107543.77608805714</v>
      </c>
      <c r="P359" s="78">
        <f t="shared" si="211"/>
        <v>119494.04048696205</v>
      </c>
      <c r="Q359" s="1">
        <f t="shared" si="190"/>
        <v>110124.82671417051</v>
      </c>
      <c r="R359" s="78">
        <f t="shared" si="191"/>
        <v>122361.89745864915</v>
      </c>
      <c r="S359" s="1">
        <f t="shared" si="192"/>
        <v>114199.44530259482</v>
      </c>
      <c r="T359" s="78">
        <f t="shared" si="193"/>
        <v>126889.28766461916</v>
      </c>
      <c r="U359" s="1">
        <f t="shared" si="194"/>
        <v>117397.02977106748</v>
      </c>
      <c r="V359" s="99">
        <f t="shared" si="195"/>
        <v>130442.1877192285</v>
      </c>
      <c r="W359" s="78">
        <f t="shared" si="196"/>
        <v>119157.98521763348</v>
      </c>
      <c r="X359" s="78">
        <f t="shared" si="197"/>
        <v>132398.82053501692</v>
      </c>
      <c r="Y359" s="78">
        <f t="shared" si="198"/>
        <v>121064.51298111562</v>
      </c>
      <c r="Z359" s="78">
        <f t="shared" si="199"/>
        <v>134517.2016635772</v>
      </c>
      <c r="AA359" s="78">
        <f t="shared" si="200"/>
        <v>123364.73872775681</v>
      </c>
      <c r="AB359" s="78">
        <f t="shared" si="201"/>
        <v>137073.02849518516</v>
      </c>
      <c r="AC359" s="1">
        <f t="shared" si="202"/>
        <v>125708.66876358417</v>
      </c>
      <c r="AD359" s="78">
        <f t="shared" si="203"/>
        <v>139677.41603659367</v>
      </c>
      <c r="AE359" s="1">
        <f t="shared" si="204"/>
        <v>128348.55080761942</v>
      </c>
      <c r="AF359" s="78">
        <f t="shared" si="205"/>
        <v>142610.64177336212</v>
      </c>
      <c r="AG359" s="141">
        <f t="shared" si="181"/>
        <v>130017.08196811847</v>
      </c>
      <c r="AH359" s="140">
        <f t="shared" si="182"/>
        <v>144464.5801164158</v>
      </c>
      <c r="AI359" s="141">
        <f t="shared" si="183"/>
        <v>132617.42360748083</v>
      </c>
      <c r="AJ359" s="140">
        <f t="shared" si="184"/>
        <v>147353.87171874414</v>
      </c>
      <c r="AK359" s="141">
        <f t="shared" si="185"/>
        <v>136463.32889209775</v>
      </c>
      <c r="AL359" s="140">
        <f t="shared" si="186"/>
        <v>151627.1339985877</v>
      </c>
      <c r="AM359" s="141">
        <f t="shared" si="187"/>
        <v>145060.5186122999</v>
      </c>
      <c r="AN359" s="141">
        <f t="shared" si="188"/>
        <v>161179.64344049871</v>
      </c>
    </row>
    <row r="360" spans="2:40">
      <c r="B360" s="162">
        <v>84300700</v>
      </c>
      <c r="C360" s="86" t="s">
        <v>443</v>
      </c>
      <c r="D360" s="16">
        <v>85808.741440269587</v>
      </c>
      <c r="E360" s="17">
        <f t="shared" si="212"/>
        <v>90099.178512283077</v>
      </c>
      <c r="F360" s="57">
        <f>E360*1.045</f>
        <v>94153.641545335806</v>
      </c>
      <c r="G360" s="57">
        <f t="shared" si="206"/>
        <v>97430.188271113482</v>
      </c>
      <c r="H360" s="57">
        <f t="shared" si="207"/>
        <v>108256.63079179962</v>
      </c>
      <c r="I360" s="57">
        <f t="shared" si="208"/>
        <v>100060.80335443353</v>
      </c>
      <c r="J360" s="57">
        <f t="shared" si="208"/>
        <v>111179.55982317819</v>
      </c>
      <c r="K360" s="57">
        <f t="shared" si="209"/>
        <v>102462.26263493994</v>
      </c>
      <c r="L360" s="9">
        <f t="shared" si="209"/>
        <v>113847.86925893447</v>
      </c>
      <c r="M360" s="9">
        <f t="shared" si="210"/>
        <v>105228.74372608331</v>
      </c>
      <c r="N360" s="9">
        <f t="shared" si="210"/>
        <v>116921.76172892569</v>
      </c>
      <c r="O360" s="78">
        <f t="shared" si="211"/>
        <v>107543.77608805714</v>
      </c>
      <c r="P360" s="78">
        <f t="shared" si="211"/>
        <v>119494.04048696205</v>
      </c>
      <c r="Q360" s="1">
        <f t="shared" si="190"/>
        <v>110124.82671417051</v>
      </c>
      <c r="R360" s="78">
        <f t="shared" si="191"/>
        <v>122361.89745864915</v>
      </c>
      <c r="S360" s="1">
        <f t="shared" si="192"/>
        <v>114199.44530259482</v>
      </c>
      <c r="T360" s="78">
        <f t="shared" si="193"/>
        <v>126889.28766461916</v>
      </c>
      <c r="U360" s="1">
        <f t="shared" si="194"/>
        <v>117397.02977106748</v>
      </c>
      <c r="V360" s="99">
        <f t="shared" si="195"/>
        <v>130442.1877192285</v>
      </c>
      <c r="W360" s="78">
        <f t="shared" si="196"/>
        <v>119157.98521763348</v>
      </c>
      <c r="X360" s="78">
        <f t="shared" si="197"/>
        <v>132398.82053501692</v>
      </c>
      <c r="Y360" s="78">
        <f t="shared" si="198"/>
        <v>121064.51298111562</v>
      </c>
      <c r="Z360" s="78">
        <f t="shared" si="199"/>
        <v>134517.2016635772</v>
      </c>
      <c r="AA360" s="78">
        <f t="shared" si="200"/>
        <v>123364.73872775681</v>
      </c>
      <c r="AB360" s="78">
        <f t="shared" si="201"/>
        <v>137073.02849518516</v>
      </c>
      <c r="AC360" s="1">
        <f t="shared" si="202"/>
        <v>125708.66876358417</v>
      </c>
      <c r="AD360" s="78">
        <f t="shared" si="203"/>
        <v>139677.41603659367</v>
      </c>
      <c r="AE360" s="1">
        <f t="shared" si="204"/>
        <v>128348.55080761942</v>
      </c>
      <c r="AF360" s="78">
        <f t="shared" si="205"/>
        <v>142610.64177336212</v>
      </c>
      <c r="AG360" s="141">
        <f t="shared" si="181"/>
        <v>130017.08196811847</v>
      </c>
      <c r="AH360" s="140">
        <f t="shared" si="182"/>
        <v>144464.5801164158</v>
      </c>
      <c r="AI360" s="141">
        <f t="shared" si="183"/>
        <v>132617.42360748083</v>
      </c>
      <c r="AJ360" s="140">
        <f t="shared" si="184"/>
        <v>147353.87171874414</v>
      </c>
      <c r="AK360" s="141">
        <f t="shared" si="185"/>
        <v>136463.32889209775</v>
      </c>
      <c r="AL360" s="140">
        <f t="shared" si="186"/>
        <v>151627.1339985877</v>
      </c>
      <c r="AM360" s="141">
        <f t="shared" si="187"/>
        <v>145060.5186122999</v>
      </c>
      <c r="AN360" s="141">
        <f t="shared" si="188"/>
        <v>161179.64344049871</v>
      </c>
    </row>
    <row r="361" spans="2:40">
      <c r="B361" s="162">
        <v>84300705</v>
      </c>
      <c r="C361" s="86" t="s">
        <v>444</v>
      </c>
      <c r="D361" s="16">
        <v>160430.89826345697</v>
      </c>
      <c r="E361" s="17">
        <f t="shared" si="212"/>
        <v>168452.44317662984</v>
      </c>
      <c r="F361" s="57">
        <f>E361*1.045</f>
        <v>176032.80311957817</v>
      </c>
      <c r="G361" s="57">
        <f t="shared" si="206"/>
        <v>182158.74466813946</v>
      </c>
      <c r="H361" s="57">
        <f t="shared" si="207"/>
        <v>202400.22437566315</v>
      </c>
      <c r="I361" s="57">
        <f t="shared" si="208"/>
        <v>187077.03077417921</v>
      </c>
      <c r="J361" s="57">
        <f t="shared" si="208"/>
        <v>207865.03043380604</v>
      </c>
      <c r="K361" s="57">
        <f t="shared" si="209"/>
        <v>191566.87951275951</v>
      </c>
      <c r="L361" s="9">
        <f t="shared" si="209"/>
        <v>212853.7911642174</v>
      </c>
      <c r="M361" s="9">
        <f t="shared" si="210"/>
        <v>196739.18525960401</v>
      </c>
      <c r="N361" s="9">
        <f t="shared" si="210"/>
        <v>218600.84352565126</v>
      </c>
      <c r="O361" s="78">
        <f t="shared" si="211"/>
        <v>201067.44733531532</v>
      </c>
      <c r="P361" s="78">
        <f t="shared" si="211"/>
        <v>223410.0620832156</v>
      </c>
      <c r="Q361" s="1">
        <f t="shared" si="190"/>
        <v>205893.06607136287</v>
      </c>
      <c r="R361" s="78">
        <f t="shared" si="191"/>
        <v>228771.90357321277</v>
      </c>
      <c r="S361" s="1">
        <f t="shared" si="192"/>
        <v>213511.10951600329</v>
      </c>
      <c r="T361" s="78">
        <f t="shared" si="193"/>
        <v>237236.46400542161</v>
      </c>
      <c r="U361" s="1">
        <f t="shared" si="194"/>
        <v>219489.42058245139</v>
      </c>
      <c r="V361" s="99">
        <f t="shared" si="195"/>
        <v>243879.08499757343</v>
      </c>
      <c r="W361" s="78">
        <f t="shared" si="196"/>
        <v>222781.76189118813</v>
      </c>
      <c r="X361" s="78">
        <f t="shared" si="197"/>
        <v>247537.27127253701</v>
      </c>
      <c r="Y361" s="78">
        <f t="shared" si="198"/>
        <v>226346.27008144715</v>
      </c>
      <c r="Z361" s="78">
        <f t="shared" si="199"/>
        <v>251497.86761289759</v>
      </c>
      <c r="AA361" s="78">
        <f t="shared" si="200"/>
        <v>230646.84921299462</v>
      </c>
      <c r="AB361" s="78">
        <f t="shared" si="201"/>
        <v>256276.32709754261</v>
      </c>
      <c r="AC361" s="1">
        <f t="shared" si="202"/>
        <v>235029.1393480415</v>
      </c>
      <c r="AD361" s="78">
        <f t="shared" si="203"/>
        <v>261145.57731239591</v>
      </c>
      <c r="AE361" s="1">
        <f t="shared" si="204"/>
        <v>239964.75127435036</v>
      </c>
      <c r="AF361" s="78">
        <f t="shared" si="205"/>
        <v>266629.63443595619</v>
      </c>
      <c r="AG361" s="141">
        <f t="shared" si="181"/>
        <v>243084.29304091691</v>
      </c>
      <c r="AH361" s="140">
        <f t="shared" si="182"/>
        <v>270095.81968362362</v>
      </c>
      <c r="AI361" s="141">
        <f t="shared" si="183"/>
        <v>247945.97890173525</v>
      </c>
      <c r="AJ361" s="140">
        <f t="shared" si="184"/>
        <v>275497.73607729608</v>
      </c>
      <c r="AK361" s="141">
        <f t="shared" si="185"/>
        <v>255136.41228988554</v>
      </c>
      <c r="AL361" s="140">
        <f t="shared" si="186"/>
        <v>283487.17042353767</v>
      </c>
      <c r="AM361" s="141">
        <f t="shared" si="187"/>
        <v>271210.00626414834</v>
      </c>
      <c r="AN361" s="141">
        <f t="shared" si="188"/>
        <v>301346.86216022051</v>
      </c>
    </row>
    <row r="362" spans="2:40">
      <c r="B362" s="162">
        <v>84300708</v>
      </c>
      <c r="C362" s="86" t="s">
        <v>445</v>
      </c>
      <c r="D362" s="16">
        <v>153751.89325780948</v>
      </c>
      <c r="E362" s="17">
        <f t="shared" si="212"/>
        <v>161439.48792069996</v>
      </c>
      <c r="F362" s="57">
        <f>E362*1.045</f>
        <v>168704.26487713144</v>
      </c>
      <c r="G362" s="57">
        <f t="shared" si="206"/>
        <v>174575.1732948556</v>
      </c>
      <c r="H362" s="57">
        <f t="shared" si="207"/>
        <v>193973.96655137997</v>
      </c>
      <c r="I362" s="57">
        <f t="shared" si="208"/>
        <v>179288.70297381669</v>
      </c>
      <c r="J362" s="57">
        <f t="shared" si="208"/>
        <v>199211.26364826722</v>
      </c>
      <c r="K362" s="57">
        <f t="shared" si="209"/>
        <v>183591.6318451883</v>
      </c>
      <c r="L362" s="9">
        <f t="shared" si="209"/>
        <v>203992.33397582563</v>
      </c>
      <c r="M362" s="9">
        <f t="shared" si="210"/>
        <v>188548.60590500836</v>
      </c>
      <c r="N362" s="9">
        <f t="shared" si="210"/>
        <v>209500.12699317292</v>
      </c>
      <c r="O362" s="78">
        <f t="shared" si="211"/>
        <v>192696.67523491854</v>
      </c>
      <c r="P362" s="78">
        <f t="shared" si="211"/>
        <v>214109.12978702271</v>
      </c>
      <c r="Q362" s="1">
        <f t="shared" si="190"/>
        <v>197321.3954405566</v>
      </c>
      <c r="R362" s="78">
        <f t="shared" si="191"/>
        <v>219247.74890191125</v>
      </c>
      <c r="S362" s="1">
        <f t="shared" si="192"/>
        <v>204622.28707185719</v>
      </c>
      <c r="T362" s="78">
        <f t="shared" si="193"/>
        <v>227359.91561128196</v>
      </c>
      <c r="U362" s="1">
        <f t="shared" si="194"/>
        <v>210351.71110986921</v>
      </c>
      <c r="V362" s="99">
        <f t="shared" si="195"/>
        <v>233725.99324839786</v>
      </c>
      <c r="W362" s="78">
        <f t="shared" si="196"/>
        <v>213506.98677651724</v>
      </c>
      <c r="X362" s="78">
        <f t="shared" si="197"/>
        <v>237231.88314712379</v>
      </c>
      <c r="Y362" s="78">
        <f t="shared" si="198"/>
        <v>216923.09856494152</v>
      </c>
      <c r="Z362" s="78">
        <f t="shared" si="199"/>
        <v>241027.59327747778</v>
      </c>
      <c r="AA362" s="78">
        <f t="shared" si="200"/>
        <v>221044.63743767538</v>
      </c>
      <c r="AB362" s="78">
        <f t="shared" si="201"/>
        <v>245607.11754974982</v>
      </c>
      <c r="AC362" s="1">
        <f t="shared" si="202"/>
        <v>225244.48554899119</v>
      </c>
      <c r="AD362" s="78">
        <f t="shared" si="203"/>
        <v>250273.65278319505</v>
      </c>
      <c r="AE362" s="1">
        <f t="shared" si="204"/>
        <v>229974.61974551997</v>
      </c>
      <c r="AF362" s="78">
        <f t="shared" si="205"/>
        <v>255529.39949164214</v>
      </c>
      <c r="AG362" s="141">
        <f t="shared" si="181"/>
        <v>232964.28980221172</v>
      </c>
      <c r="AH362" s="140">
        <f t="shared" si="182"/>
        <v>258851.28168503346</v>
      </c>
      <c r="AI362" s="141">
        <f t="shared" si="183"/>
        <v>237623.57559825596</v>
      </c>
      <c r="AJ362" s="140">
        <f t="shared" si="184"/>
        <v>264028.30731873412</v>
      </c>
      <c r="AK362" s="141">
        <f t="shared" si="185"/>
        <v>244514.65929060537</v>
      </c>
      <c r="AL362" s="140">
        <f t="shared" si="186"/>
        <v>271685.1282309774</v>
      </c>
      <c r="AM362" s="141">
        <f t="shared" si="187"/>
        <v>259919.0828259135</v>
      </c>
      <c r="AN362" s="141">
        <f t="shared" si="188"/>
        <v>288801.29130952898</v>
      </c>
    </row>
    <row r="363" spans="2:40">
      <c r="B363" s="162">
        <v>84300714</v>
      </c>
      <c r="C363" s="86" t="s">
        <v>446</v>
      </c>
      <c r="D363" s="16">
        <v>85808.741440269587</v>
      </c>
      <c r="E363" s="17">
        <f t="shared" si="212"/>
        <v>90099.178512283077</v>
      </c>
      <c r="F363" s="57">
        <f>E363*1.045</f>
        <v>94153.641545335806</v>
      </c>
      <c r="G363" s="57">
        <f t="shared" si="206"/>
        <v>97430.188271113482</v>
      </c>
      <c r="H363" s="57">
        <f t="shared" si="207"/>
        <v>108256.63079179962</v>
      </c>
      <c r="I363" s="57">
        <f t="shared" si="208"/>
        <v>100060.80335443353</v>
      </c>
      <c r="J363" s="57">
        <f t="shared" si="208"/>
        <v>111179.55982317819</v>
      </c>
      <c r="K363" s="57">
        <f t="shared" si="209"/>
        <v>102462.26263493994</v>
      </c>
      <c r="L363" s="9">
        <f t="shared" si="209"/>
        <v>113847.86925893447</v>
      </c>
      <c r="M363" s="9">
        <f t="shared" si="210"/>
        <v>105228.74372608331</v>
      </c>
      <c r="N363" s="9">
        <f t="shared" si="210"/>
        <v>116921.76172892569</v>
      </c>
      <c r="O363" s="78">
        <f t="shared" si="211"/>
        <v>107543.77608805714</v>
      </c>
      <c r="P363" s="78">
        <f t="shared" si="211"/>
        <v>119494.04048696205</v>
      </c>
      <c r="Q363" s="1">
        <f t="shared" si="190"/>
        <v>110124.82671417051</v>
      </c>
      <c r="R363" s="78">
        <f t="shared" si="191"/>
        <v>122361.89745864915</v>
      </c>
      <c r="S363" s="1">
        <f t="shared" si="192"/>
        <v>114199.44530259482</v>
      </c>
      <c r="T363" s="78">
        <f t="shared" si="193"/>
        <v>126889.28766461916</v>
      </c>
      <c r="U363" s="1">
        <f t="shared" si="194"/>
        <v>117397.02977106748</v>
      </c>
      <c r="V363" s="99">
        <f t="shared" si="195"/>
        <v>130442.1877192285</v>
      </c>
      <c r="W363" s="78">
        <f t="shared" si="196"/>
        <v>119157.98521763348</v>
      </c>
      <c r="X363" s="78">
        <f t="shared" si="197"/>
        <v>132398.82053501692</v>
      </c>
      <c r="Y363" s="78">
        <f t="shared" si="198"/>
        <v>121064.51298111562</v>
      </c>
      <c r="Z363" s="78">
        <f t="shared" si="199"/>
        <v>134517.2016635772</v>
      </c>
      <c r="AA363" s="78">
        <f t="shared" si="200"/>
        <v>123364.73872775681</v>
      </c>
      <c r="AB363" s="78">
        <f t="shared" si="201"/>
        <v>137073.02849518516</v>
      </c>
      <c r="AC363" s="1">
        <f t="shared" si="202"/>
        <v>125708.66876358417</v>
      </c>
      <c r="AD363" s="78">
        <f t="shared" si="203"/>
        <v>139677.41603659367</v>
      </c>
      <c r="AE363" s="1">
        <f t="shared" si="204"/>
        <v>128348.55080761942</v>
      </c>
      <c r="AF363" s="78">
        <f t="shared" si="205"/>
        <v>142610.64177336212</v>
      </c>
      <c r="AG363" s="141">
        <f t="shared" si="181"/>
        <v>130017.08196811847</v>
      </c>
      <c r="AH363" s="140">
        <f t="shared" si="182"/>
        <v>144464.5801164158</v>
      </c>
      <c r="AI363" s="141">
        <f t="shared" si="183"/>
        <v>132617.42360748083</v>
      </c>
      <c r="AJ363" s="140">
        <f t="shared" si="184"/>
        <v>147353.87171874414</v>
      </c>
      <c r="AK363" s="141">
        <f t="shared" si="185"/>
        <v>136463.32889209775</v>
      </c>
      <c r="AL363" s="140">
        <f t="shared" si="186"/>
        <v>151627.1339985877</v>
      </c>
      <c r="AM363" s="141">
        <f t="shared" si="187"/>
        <v>145060.5186122999</v>
      </c>
      <c r="AN363" s="141">
        <f t="shared" si="188"/>
        <v>161179.64344049871</v>
      </c>
    </row>
    <row r="364" spans="2:40">
      <c r="B364" s="162">
        <v>84300800</v>
      </c>
      <c r="C364" s="86" t="s">
        <v>447</v>
      </c>
      <c r="D364" s="16">
        <v>85808.741440269587</v>
      </c>
      <c r="E364" s="17">
        <f t="shared" si="212"/>
        <v>90099.178512283077</v>
      </c>
      <c r="F364" s="57">
        <f>E364*1.045</f>
        <v>94153.641545335806</v>
      </c>
      <c r="G364" s="57">
        <f t="shared" si="206"/>
        <v>97430.188271113482</v>
      </c>
      <c r="H364" s="57">
        <f t="shared" si="207"/>
        <v>108256.63079179962</v>
      </c>
      <c r="I364" s="57">
        <f t="shared" si="208"/>
        <v>100060.80335443353</v>
      </c>
      <c r="J364" s="57">
        <f t="shared" si="208"/>
        <v>111179.55982317819</v>
      </c>
      <c r="K364" s="57">
        <f t="shared" si="209"/>
        <v>102462.26263493994</v>
      </c>
      <c r="L364" s="9">
        <f t="shared" si="209"/>
        <v>113847.86925893447</v>
      </c>
      <c r="M364" s="9">
        <f t="shared" si="210"/>
        <v>105228.74372608331</v>
      </c>
      <c r="N364" s="9">
        <f t="shared" si="210"/>
        <v>116921.76172892569</v>
      </c>
      <c r="O364" s="78">
        <f t="shared" si="211"/>
        <v>107543.77608805714</v>
      </c>
      <c r="P364" s="78">
        <f t="shared" si="211"/>
        <v>119494.04048696205</v>
      </c>
      <c r="Q364" s="1">
        <f t="shared" si="190"/>
        <v>110124.82671417051</v>
      </c>
      <c r="R364" s="78">
        <f t="shared" si="191"/>
        <v>122361.89745864915</v>
      </c>
      <c r="S364" s="1">
        <f t="shared" si="192"/>
        <v>114199.44530259482</v>
      </c>
      <c r="T364" s="78">
        <f t="shared" si="193"/>
        <v>126889.28766461916</v>
      </c>
      <c r="U364" s="1">
        <f t="shared" si="194"/>
        <v>117397.02977106748</v>
      </c>
      <c r="V364" s="99">
        <f t="shared" si="195"/>
        <v>130442.1877192285</v>
      </c>
      <c r="W364" s="78">
        <f t="shared" si="196"/>
        <v>119157.98521763348</v>
      </c>
      <c r="X364" s="78">
        <f t="shared" si="197"/>
        <v>132398.82053501692</v>
      </c>
      <c r="Y364" s="78">
        <f t="shared" si="198"/>
        <v>121064.51298111562</v>
      </c>
      <c r="Z364" s="78">
        <f t="shared" si="199"/>
        <v>134517.2016635772</v>
      </c>
      <c r="AA364" s="78">
        <f t="shared" si="200"/>
        <v>123364.73872775681</v>
      </c>
      <c r="AB364" s="78">
        <f t="shared" si="201"/>
        <v>137073.02849518516</v>
      </c>
      <c r="AC364" s="1">
        <f t="shared" si="202"/>
        <v>125708.66876358417</v>
      </c>
      <c r="AD364" s="78">
        <f t="shared" si="203"/>
        <v>139677.41603659367</v>
      </c>
      <c r="AE364" s="1">
        <f t="shared" si="204"/>
        <v>128348.55080761942</v>
      </c>
      <c r="AF364" s="78">
        <f t="shared" si="205"/>
        <v>142610.64177336212</v>
      </c>
      <c r="AG364" s="141">
        <f t="shared" si="181"/>
        <v>130017.08196811847</v>
      </c>
      <c r="AH364" s="140">
        <f t="shared" si="182"/>
        <v>144464.5801164158</v>
      </c>
      <c r="AI364" s="141">
        <f t="shared" si="183"/>
        <v>132617.42360748083</v>
      </c>
      <c r="AJ364" s="140">
        <f t="shared" si="184"/>
        <v>147353.87171874414</v>
      </c>
      <c r="AK364" s="141">
        <f t="shared" si="185"/>
        <v>136463.32889209775</v>
      </c>
      <c r="AL364" s="140">
        <f t="shared" si="186"/>
        <v>151627.1339985877</v>
      </c>
      <c r="AM364" s="141">
        <f t="shared" si="187"/>
        <v>145060.5186122999</v>
      </c>
      <c r="AN364" s="141">
        <f t="shared" si="188"/>
        <v>161179.64344049871</v>
      </c>
    </row>
    <row r="365" spans="2:40">
      <c r="B365" s="162">
        <v>84300908</v>
      </c>
      <c r="C365" s="86" t="s">
        <v>448</v>
      </c>
      <c r="D365" s="16">
        <v>85808.741440269587</v>
      </c>
      <c r="E365" s="17">
        <f t="shared" si="212"/>
        <v>90099.178512283077</v>
      </c>
      <c r="F365" s="57">
        <f>E365*1.045</f>
        <v>94153.641545335806</v>
      </c>
      <c r="G365" s="57">
        <f t="shared" si="206"/>
        <v>97430.188271113482</v>
      </c>
      <c r="H365" s="57">
        <f t="shared" si="207"/>
        <v>108256.63079179962</v>
      </c>
      <c r="I365" s="57">
        <f t="shared" si="208"/>
        <v>100060.80335443353</v>
      </c>
      <c r="J365" s="57">
        <f t="shared" si="208"/>
        <v>111179.55982317819</v>
      </c>
      <c r="K365" s="57">
        <f t="shared" si="209"/>
        <v>102462.26263493994</v>
      </c>
      <c r="L365" s="9">
        <f t="shared" si="209"/>
        <v>113847.86925893447</v>
      </c>
      <c r="M365" s="9">
        <f t="shared" si="210"/>
        <v>105228.74372608331</v>
      </c>
      <c r="N365" s="9">
        <f t="shared" si="210"/>
        <v>116921.76172892569</v>
      </c>
      <c r="O365" s="78">
        <f t="shared" si="211"/>
        <v>107543.77608805714</v>
      </c>
      <c r="P365" s="78">
        <f t="shared" si="211"/>
        <v>119494.04048696205</v>
      </c>
      <c r="Q365" s="1">
        <f t="shared" si="190"/>
        <v>110124.82671417051</v>
      </c>
      <c r="R365" s="78">
        <f t="shared" si="191"/>
        <v>122361.89745864915</v>
      </c>
      <c r="S365" s="1">
        <f t="shared" si="192"/>
        <v>114199.44530259482</v>
      </c>
      <c r="T365" s="78">
        <f t="shared" si="193"/>
        <v>126889.28766461916</v>
      </c>
      <c r="U365" s="1">
        <f t="shared" si="194"/>
        <v>117397.02977106748</v>
      </c>
      <c r="V365" s="99">
        <f t="shared" si="195"/>
        <v>130442.1877192285</v>
      </c>
      <c r="W365" s="78">
        <f t="shared" si="196"/>
        <v>119157.98521763348</v>
      </c>
      <c r="X365" s="78">
        <f t="shared" si="197"/>
        <v>132398.82053501692</v>
      </c>
      <c r="Y365" s="78">
        <f t="shared" si="198"/>
        <v>121064.51298111562</v>
      </c>
      <c r="Z365" s="78">
        <f t="shared" si="199"/>
        <v>134517.2016635772</v>
      </c>
      <c r="AA365" s="78">
        <f t="shared" si="200"/>
        <v>123364.73872775681</v>
      </c>
      <c r="AB365" s="78">
        <f t="shared" si="201"/>
        <v>137073.02849518516</v>
      </c>
      <c r="AC365" s="1">
        <f t="shared" si="202"/>
        <v>125708.66876358417</v>
      </c>
      <c r="AD365" s="78">
        <f t="shared" si="203"/>
        <v>139677.41603659367</v>
      </c>
      <c r="AE365" s="1">
        <f t="shared" si="204"/>
        <v>128348.55080761942</v>
      </c>
      <c r="AF365" s="78">
        <f t="shared" si="205"/>
        <v>142610.64177336212</v>
      </c>
      <c r="AG365" s="141">
        <f t="shared" si="181"/>
        <v>130017.08196811847</v>
      </c>
      <c r="AH365" s="140">
        <f t="shared" si="182"/>
        <v>144464.5801164158</v>
      </c>
      <c r="AI365" s="141">
        <f t="shared" si="183"/>
        <v>132617.42360748083</v>
      </c>
      <c r="AJ365" s="140">
        <f t="shared" si="184"/>
        <v>147353.87171874414</v>
      </c>
      <c r="AK365" s="141">
        <f t="shared" si="185"/>
        <v>136463.32889209775</v>
      </c>
      <c r="AL365" s="140">
        <f t="shared" si="186"/>
        <v>151627.1339985877</v>
      </c>
      <c r="AM365" s="141">
        <f t="shared" si="187"/>
        <v>145060.5186122999</v>
      </c>
      <c r="AN365" s="141">
        <f t="shared" si="188"/>
        <v>161179.64344049871</v>
      </c>
    </row>
    <row r="366" spans="2:40">
      <c r="B366" s="162">
        <v>84301000</v>
      </c>
      <c r="C366" s="86" t="s">
        <v>449</v>
      </c>
      <c r="D366" s="16">
        <v>85808.741440269587</v>
      </c>
      <c r="E366" s="17">
        <f t="shared" si="212"/>
        <v>90099.178512283077</v>
      </c>
      <c r="F366" s="57">
        <f>E366*1.045</f>
        <v>94153.641545335806</v>
      </c>
      <c r="G366" s="57">
        <f t="shared" ref="G366:G381" si="213">F366*1.0348</f>
        <v>97430.188271113482</v>
      </c>
      <c r="H366" s="57">
        <f t="shared" ref="H366:H381" si="214">G366*1.11112</f>
        <v>108256.63079179962</v>
      </c>
      <c r="I366" s="57">
        <f t="shared" ref="I366:J381" si="215">G366*1.027</f>
        <v>100060.80335443353</v>
      </c>
      <c r="J366" s="57">
        <f t="shared" si="215"/>
        <v>111179.55982317819</v>
      </c>
      <c r="K366" s="57">
        <f t="shared" ref="K366:L381" si="216">I366*1.024</f>
        <v>102462.26263493994</v>
      </c>
      <c r="L366" s="9">
        <f t="shared" si="216"/>
        <v>113847.86925893447</v>
      </c>
      <c r="M366" s="9">
        <f t="shared" ref="M366:N381" si="217">K366*1.027</f>
        <v>105228.74372608331</v>
      </c>
      <c r="N366" s="9">
        <f t="shared" si="217"/>
        <v>116921.76172892569</v>
      </c>
      <c r="O366" s="78">
        <f t="shared" ref="O366:P381" si="218">M366*1.022</f>
        <v>107543.77608805714</v>
      </c>
      <c r="P366" s="78">
        <f t="shared" si="218"/>
        <v>119494.04048696205</v>
      </c>
      <c r="Q366" s="1">
        <f t="shared" si="190"/>
        <v>110124.82671417051</v>
      </c>
      <c r="R366" s="78">
        <f t="shared" si="191"/>
        <v>122361.89745864915</v>
      </c>
      <c r="S366" s="1">
        <f t="shared" si="192"/>
        <v>114199.44530259482</v>
      </c>
      <c r="T366" s="78">
        <f t="shared" si="193"/>
        <v>126889.28766461916</v>
      </c>
      <c r="U366" s="1">
        <f t="shared" si="194"/>
        <v>117397.02977106748</v>
      </c>
      <c r="V366" s="99">
        <f t="shared" si="195"/>
        <v>130442.1877192285</v>
      </c>
      <c r="W366" s="78">
        <f t="shared" si="196"/>
        <v>119157.98521763348</v>
      </c>
      <c r="X366" s="78">
        <f t="shared" si="197"/>
        <v>132398.82053501692</v>
      </c>
      <c r="Y366" s="78">
        <f t="shared" si="198"/>
        <v>121064.51298111562</v>
      </c>
      <c r="Z366" s="78">
        <f t="shared" si="199"/>
        <v>134517.2016635772</v>
      </c>
      <c r="AA366" s="78">
        <f t="shared" si="200"/>
        <v>123364.73872775681</v>
      </c>
      <c r="AB366" s="78">
        <f t="shared" si="201"/>
        <v>137073.02849518516</v>
      </c>
      <c r="AC366" s="1">
        <f t="shared" si="202"/>
        <v>125708.66876358417</v>
      </c>
      <c r="AD366" s="78">
        <f t="shared" si="203"/>
        <v>139677.41603659367</v>
      </c>
      <c r="AE366" s="1">
        <f t="shared" si="204"/>
        <v>128348.55080761942</v>
      </c>
      <c r="AF366" s="78">
        <f t="shared" si="205"/>
        <v>142610.64177336212</v>
      </c>
      <c r="AG366" s="141">
        <f t="shared" si="181"/>
        <v>130017.08196811847</v>
      </c>
      <c r="AH366" s="140">
        <f t="shared" si="182"/>
        <v>144464.5801164158</v>
      </c>
      <c r="AI366" s="141">
        <f t="shared" si="183"/>
        <v>132617.42360748083</v>
      </c>
      <c r="AJ366" s="140">
        <f t="shared" si="184"/>
        <v>147353.87171874414</v>
      </c>
      <c r="AK366" s="141">
        <f t="shared" si="185"/>
        <v>136463.32889209775</v>
      </c>
      <c r="AL366" s="140">
        <f t="shared" si="186"/>
        <v>151627.1339985877</v>
      </c>
      <c r="AM366" s="141">
        <f t="shared" si="187"/>
        <v>145060.5186122999</v>
      </c>
      <c r="AN366" s="141">
        <f t="shared" si="188"/>
        <v>161179.64344049871</v>
      </c>
    </row>
    <row r="367" spans="2:40">
      <c r="B367" s="162">
        <v>84301004</v>
      </c>
      <c r="C367" s="86" t="s">
        <v>450</v>
      </c>
      <c r="D367" s="16">
        <v>85808.741440269587</v>
      </c>
      <c r="E367" s="17">
        <f t="shared" si="212"/>
        <v>90099.178512283077</v>
      </c>
      <c r="F367" s="57">
        <f>E367*1.045</f>
        <v>94153.641545335806</v>
      </c>
      <c r="G367" s="57">
        <f t="shared" si="213"/>
        <v>97430.188271113482</v>
      </c>
      <c r="H367" s="57">
        <f t="shared" si="214"/>
        <v>108256.63079179962</v>
      </c>
      <c r="I367" s="57">
        <f t="shared" si="215"/>
        <v>100060.80335443353</v>
      </c>
      <c r="J367" s="57">
        <f t="shared" si="215"/>
        <v>111179.55982317819</v>
      </c>
      <c r="K367" s="57">
        <f t="shared" si="216"/>
        <v>102462.26263493994</v>
      </c>
      <c r="L367" s="9">
        <f t="shared" si="216"/>
        <v>113847.86925893447</v>
      </c>
      <c r="M367" s="9">
        <f t="shared" si="217"/>
        <v>105228.74372608331</v>
      </c>
      <c r="N367" s="9">
        <f t="shared" si="217"/>
        <v>116921.76172892569</v>
      </c>
      <c r="O367" s="78">
        <f t="shared" si="218"/>
        <v>107543.77608805714</v>
      </c>
      <c r="P367" s="78">
        <f t="shared" si="218"/>
        <v>119494.04048696205</v>
      </c>
      <c r="Q367" s="1">
        <f t="shared" si="190"/>
        <v>110124.82671417051</v>
      </c>
      <c r="R367" s="78">
        <f t="shared" si="191"/>
        <v>122361.89745864915</v>
      </c>
      <c r="S367" s="1">
        <f t="shared" si="192"/>
        <v>114199.44530259482</v>
      </c>
      <c r="T367" s="78">
        <f t="shared" si="193"/>
        <v>126889.28766461916</v>
      </c>
      <c r="U367" s="1">
        <f t="shared" si="194"/>
        <v>117397.02977106748</v>
      </c>
      <c r="V367" s="99">
        <f t="shared" si="195"/>
        <v>130442.1877192285</v>
      </c>
      <c r="W367" s="78">
        <f t="shared" si="196"/>
        <v>119157.98521763348</v>
      </c>
      <c r="X367" s="78">
        <f t="shared" si="197"/>
        <v>132398.82053501692</v>
      </c>
      <c r="Y367" s="78">
        <f t="shared" si="198"/>
        <v>121064.51298111562</v>
      </c>
      <c r="Z367" s="78">
        <f t="shared" si="199"/>
        <v>134517.2016635772</v>
      </c>
      <c r="AA367" s="78">
        <f t="shared" si="200"/>
        <v>123364.73872775681</v>
      </c>
      <c r="AB367" s="78">
        <f t="shared" si="201"/>
        <v>137073.02849518516</v>
      </c>
      <c r="AC367" s="1">
        <f t="shared" si="202"/>
        <v>125708.66876358417</v>
      </c>
      <c r="AD367" s="78">
        <f t="shared" si="203"/>
        <v>139677.41603659367</v>
      </c>
      <c r="AE367" s="1">
        <f t="shared" si="204"/>
        <v>128348.55080761942</v>
      </c>
      <c r="AF367" s="78">
        <f t="shared" si="205"/>
        <v>142610.64177336212</v>
      </c>
      <c r="AG367" s="141">
        <f t="shared" si="181"/>
        <v>130017.08196811847</v>
      </c>
      <c r="AH367" s="140">
        <f t="shared" si="182"/>
        <v>144464.5801164158</v>
      </c>
      <c r="AI367" s="141">
        <f t="shared" si="183"/>
        <v>132617.42360748083</v>
      </c>
      <c r="AJ367" s="140">
        <f t="shared" si="184"/>
        <v>147353.87171874414</v>
      </c>
      <c r="AK367" s="141">
        <f t="shared" si="185"/>
        <v>136463.32889209775</v>
      </c>
      <c r="AL367" s="140">
        <f t="shared" si="186"/>
        <v>151627.1339985877</v>
      </c>
      <c r="AM367" s="141">
        <f t="shared" si="187"/>
        <v>145060.5186122999</v>
      </c>
      <c r="AN367" s="141">
        <f t="shared" si="188"/>
        <v>161179.64344049871</v>
      </c>
    </row>
    <row r="368" spans="2:40">
      <c r="B368" s="162">
        <v>84301500</v>
      </c>
      <c r="C368" s="86" t="s">
        <v>451</v>
      </c>
      <c r="D368" s="16">
        <v>85808.741440269587</v>
      </c>
      <c r="E368" s="17">
        <f t="shared" si="212"/>
        <v>90099.178512283077</v>
      </c>
      <c r="F368" s="57">
        <f>E368*1.045</f>
        <v>94153.641545335806</v>
      </c>
      <c r="G368" s="57">
        <f t="shared" si="213"/>
        <v>97430.188271113482</v>
      </c>
      <c r="H368" s="57">
        <f t="shared" si="214"/>
        <v>108256.63079179962</v>
      </c>
      <c r="I368" s="57">
        <f t="shared" si="215"/>
        <v>100060.80335443353</v>
      </c>
      <c r="J368" s="57">
        <f t="shared" si="215"/>
        <v>111179.55982317819</v>
      </c>
      <c r="K368" s="57">
        <f t="shared" si="216"/>
        <v>102462.26263493994</v>
      </c>
      <c r="L368" s="9">
        <f t="shared" si="216"/>
        <v>113847.86925893447</v>
      </c>
      <c r="M368" s="9">
        <f t="shared" si="217"/>
        <v>105228.74372608331</v>
      </c>
      <c r="N368" s="9">
        <f t="shared" si="217"/>
        <v>116921.76172892569</v>
      </c>
      <c r="O368" s="78">
        <f t="shared" si="218"/>
        <v>107543.77608805714</v>
      </c>
      <c r="P368" s="78">
        <f t="shared" si="218"/>
        <v>119494.04048696205</v>
      </c>
      <c r="Q368" s="1">
        <f t="shared" si="190"/>
        <v>110124.82671417051</v>
      </c>
      <c r="R368" s="78">
        <f t="shared" si="191"/>
        <v>122361.89745864915</v>
      </c>
      <c r="S368" s="1">
        <f t="shared" si="192"/>
        <v>114199.44530259482</v>
      </c>
      <c r="T368" s="78">
        <f t="shared" si="193"/>
        <v>126889.28766461916</v>
      </c>
      <c r="U368" s="1">
        <f t="shared" si="194"/>
        <v>117397.02977106748</v>
      </c>
      <c r="V368" s="99">
        <f t="shared" si="195"/>
        <v>130442.1877192285</v>
      </c>
      <c r="W368" s="78">
        <f t="shared" si="196"/>
        <v>119157.98521763348</v>
      </c>
      <c r="X368" s="78">
        <f t="shared" si="197"/>
        <v>132398.82053501692</v>
      </c>
      <c r="Y368" s="78">
        <f t="shared" si="198"/>
        <v>121064.51298111562</v>
      </c>
      <c r="Z368" s="78">
        <f t="shared" si="199"/>
        <v>134517.2016635772</v>
      </c>
      <c r="AA368" s="78">
        <f t="shared" si="200"/>
        <v>123364.73872775681</v>
      </c>
      <c r="AB368" s="78">
        <f t="shared" si="201"/>
        <v>137073.02849518516</v>
      </c>
      <c r="AC368" s="1">
        <f t="shared" si="202"/>
        <v>125708.66876358417</v>
      </c>
      <c r="AD368" s="78">
        <f t="shared" si="203"/>
        <v>139677.41603659367</v>
      </c>
      <c r="AE368" s="1">
        <f t="shared" si="204"/>
        <v>128348.55080761942</v>
      </c>
      <c r="AF368" s="78">
        <f t="shared" si="205"/>
        <v>142610.64177336212</v>
      </c>
      <c r="AG368" s="141">
        <f t="shared" si="181"/>
        <v>130017.08196811847</v>
      </c>
      <c r="AH368" s="140">
        <f t="shared" si="182"/>
        <v>144464.5801164158</v>
      </c>
      <c r="AI368" s="141">
        <f t="shared" si="183"/>
        <v>132617.42360748083</v>
      </c>
      <c r="AJ368" s="140">
        <f t="shared" si="184"/>
        <v>147353.87171874414</v>
      </c>
      <c r="AK368" s="141">
        <f t="shared" si="185"/>
        <v>136463.32889209775</v>
      </c>
      <c r="AL368" s="140">
        <f t="shared" si="186"/>
        <v>151627.1339985877</v>
      </c>
      <c r="AM368" s="141">
        <f t="shared" si="187"/>
        <v>145060.5186122999</v>
      </c>
      <c r="AN368" s="141">
        <f t="shared" si="188"/>
        <v>161179.64344049871</v>
      </c>
    </row>
    <row r="369" spans="1:40">
      <c r="B369" s="162">
        <v>84301700</v>
      </c>
      <c r="C369" s="86" t="s">
        <v>452</v>
      </c>
      <c r="D369" s="16">
        <v>85808.741440269587</v>
      </c>
      <c r="E369" s="17">
        <f t="shared" si="212"/>
        <v>90099.178512283077</v>
      </c>
      <c r="F369" s="57">
        <f>E369*1.045</f>
        <v>94153.641545335806</v>
      </c>
      <c r="G369" s="57">
        <f t="shared" si="213"/>
        <v>97430.188271113482</v>
      </c>
      <c r="H369" s="57">
        <f t="shared" si="214"/>
        <v>108256.63079179962</v>
      </c>
      <c r="I369" s="57">
        <f t="shared" si="215"/>
        <v>100060.80335443353</v>
      </c>
      <c r="J369" s="57">
        <f t="shared" si="215"/>
        <v>111179.55982317819</v>
      </c>
      <c r="K369" s="57">
        <f t="shared" si="216"/>
        <v>102462.26263493994</v>
      </c>
      <c r="L369" s="9">
        <f t="shared" si="216"/>
        <v>113847.86925893447</v>
      </c>
      <c r="M369" s="9">
        <f t="shared" si="217"/>
        <v>105228.74372608331</v>
      </c>
      <c r="N369" s="9">
        <f t="shared" si="217"/>
        <v>116921.76172892569</v>
      </c>
      <c r="O369" s="78">
        <f t="shared" si="218"/>
        <v>107543.77608805714</v>
      </c>
      <c r="P369" s="78">
        <f t="shared" si="218"/>
        <v>119494.04048696205</v>
      </c>
      <c r="Q369" s="1">
        <f t="shared" si="190"/>
        <v>110124.82671417051</v>
      </c>
      <c r="R369" s="78">
        <f t="shared" si="191"/>
        <v>122361.89745864915</v>
      </c>
      <c r="S369" s="1">
        <f t="shared" si="192"/>
        <v>114199.44530259482</v>
      </c>
      <c r="T369" s="78">
        <f t="shared" si="193"/>
        <v>126889.28766461916</v>
      </c>
      <c r="U369" s="1">
        <f t="shared" si="194"/>
        <v>117397.02977106748</v>
      </c>
      <c r="V369" s="99">
        <f t="shared" si="195"/>
        <v>130442.1877192285</v>
      </c>
      <c r="W369" s="78">
        <f t="shared" si="196"/>
        <v>119157.98521763348</v>
      </c>
      <c r="X369" s="78">
        <f t="shared" si="197"/>
        <v>132398.82053501692</v>
      </c>
      <c r="Y369" s="78">
        <f t="shared" si="198"/>
        <v>121064.51298111562</v>
      </c>
      <c r="Z369" s="78">
        <f t="shared" si="199"/>
        <v>134517.2016635772</v>
      </c>
      <c r="AA369" s="78">
        <f t="shared" si="200"/>
        <v>123364.73872775681</v>
      </c>
      <c r="AB369" s="78">
        <f t="shared" si="201"/>
        <v>137073.02849518516</v>
      </c>
      <c r="AC369" s="1">
        <f t="shared" si="202"/>
        <v>125708.66876358417</v>
      </c>
      <c r="AD369" s="78">
        <f t="shared" si="203"/>
        <v>139677.41603659367</v>
      </c>
      <c r="AE369" s="1">
        <f t="shared" si="204"/>
        <v>128348.55080761942</v>
      </c>
      <c r="AF369" s="78">
        <f t="shared" si="205"/>
        <v>142610.64177336212</v>
      </c>
      <c r="AG369" s="141">
        <f t="shared" si="181"/>
        <v>130017.08196811847</v>
      </c>
      <c r="AH369" s="140">
        <f t="shared" si="182"/>
        <v>144464.5801164158</v>
      </c>
      <c r="AI369" s="141">
        <f t="shared" si="183"/>
        <v>132617.42360748083</v>
      </c>
      <c r="AJ369" s="140">
        <f t="shared" si="184"/>
        <v>147353.87171874414</v>
      </c>
      <c r="AK369" s="141">
        <f t="shared" si="185"/>
        <v>136463.32889209775</v>
      </c>
      <c r="AL369" s="140">
        <f t="shared" si="186"/>
        <v>151627.1339985877</v>
      </c>
      <c r="AM369" s="141">
        <f t="shared" si="187"/>
        <v>145060.5186122999</v>
      </c>
      <c r="AN369" s="141">
        <f t="shared" si="188"/>
        <v>161179.64344049871</v>
      </c>
    </row>
    <row r="370" spans="1:40">
      <c r="B370" s="162">
        <v>84302302</v>
      </c>
      <c r="C370" s="86" t="s">
        <v>453</v>
      </c>
      <c r="D370" s="16">
        <v>85808.741440269587</v>
      </c>
      <c r="E370" s="17">
        <f t="shared" si="212"/>
        <v>90099.178512283077</v>
      </c>
      <c r="F370" s="57">
        <f>E370*1.045</f>
        <v>94153.641545335806</v>
      </c>
      <c r="G370" s="57">
        <f t="shared" si="213"/>
        <v>97430.188271113482</v>
      </c>
      <c r="H370" s="57">
        <f t="shared" si="214"/>
        <v>108256.63079179962</v>
      </c>
      <c r="I370" s="57">
        <f t="shared" si="215"/>
        <v>100060.80335443353</v>
      </c>
      <c r="J370" s="57">
        <f t="shared" si="215"/>
        <v>111179.55982317819</v>
      </c>
      <c r="K370" s="57">
        <f t="shared" si="216"/>
        <v>102462.26263493994</v>
      </c>
      <c r="L370" s="9">
        <f t="shared" si="216"/>
        <v>113847.86925893447</v>
      </c>
      <c r="M370" s="9">
        <f t="shared" si="217"/>
        <v>105228.74372608331</v>
      </c>
      <c r="N370" s="9">
        <f t="shared" si="217"/>
        <v>116921.76172892569</v>
      </c>
      <c r="O370" s="78">
        <f t="shared" si="218"/>
        <v>107543.77608805714</v>
      </c>
      <c r="P370" s="78">
        <f t="shared" si="218"/>
        <v>119494.04048696205</v>
      </c>
      <c r="Q370" s="1">
        <f t="shared" si="190"/>
        <v>110124.82671417051</v>
      </c>
      <c r="R370" s="78">
        <f t="shared" si="191"/>
        <v>122361.89745864915</v>
      </c>
      <c r="S370" s="1">
        <f t="shared" si="192"/>
        <v>114199.44530259482</v>
      </c>
      <c r="T370" s="78">
        <f t="shared" si="193"/>
        <v>126889.28766461916</v>
      </c>
      <c r="U370" s="1">
        <f t="shared" si="194"/>
        <v>117397.02977106748</v>
      </c>
      <c r="V370" s="99">
        <f t="shared" si="195"/>
        <v>130442.1877192285</v>
      </c>
      <c r="W370" s="78">
        <f t="shared" si="196"/>
        <v>119157.98521763348</v>
      </c>
      <c r="X370" s="78">
        <f t="shared" si="197"/>
        <v>132398.82053501692</v>
      </c>
      <c r="Y370" s="78">
        <f t="shared" si="198"/>
        <v>121064.51298111562</v>
      </c>
      <c r="Z370" s="78">
        <f t="shared" si="199"/>
        <v>134517.2016635772</v>
      </c>
      <c r="AA370" s="78">
        <f t="shared" si="200"/>
        <v>123364.73872775681</v>
      </c>
      <c r="AB370" s="78">
        <f t="shared" si="201"/>
        <v>137073.02849518516</v>
      </c>
      <c r="AC370" s="1">
        <f t="shared" si="202"/>
        <v>125708.66876358417</v>
      </c>
      <c r="AD370" s="78">
        <f t="shared" si="203"/>
        <v>139677.41603659367</v>
      </c>
      <c r="AE370" s="1">
        <f t="shared" si="204"/>
        <v>128348.55080761942</v>
      </c>
      <c r="AF370" s="78">
        <f t="shared" si="205"/>
        <v>142610.64177336212</v>
      </c>
      <c r="AG370" s="141">
        <f t="shared" si="181"/>
        <v>130017.08196811847</v>
      </c>
      <c r="AH370" s="140">
        <f t="shared" si="182"/>
        <v>144464.5801164158</v>
      </c>
      <c r="AI370" s="141">
        <f t="shared" si="183"/>
        <v>132617.42360748083</v>
      </c>
      <c r="AJ370" s="140">
        <f t="shared" si="184"/>
        <v>147353.87171874414</v>
      </c>
      <c r="AK370" s="141">
        <f t="shared" si="185"/>
        <v>136463.32889209775</v>
      </c>
      <c r="AL370" s="140">
        <f t="shared" si="186"/>
        <v>151627.1339985877</v>
      </c>
      <c r="AM370" s="141">
        <f t="shared" si="187"/>
        <v>145060.5186122999</v>
      </c>
      <c r="AN370" s="141">
        <f t="shared" si="188"/>
        <v>161179.64344049871</v>
      </c>
    </row>
    <row r="371" spans="1:40">
      <c r="B371" s="162">
        <v>84302600</v>
      </c>
      <c r="C371" s="86" t="s">
        <v>454</v>
      </c>
      <c r="D371" s="16">
        <v>85808.741440269587</v>
      </c>
      <c r="E371" s="17">
        <f t="shared" si="212"/>
        <v>90099.178512283077</v>
      </c>
      <c r="F371" s="57">
        <f>E371*1.045</f>
        <v>94153.641545335806</v>
      </c>
      <c r="G371" s="57">
        <f t="shared" si="213"/>
        <v>97430.188271113482</v>
      </c>
      <c r="H371" s="57">
        <f t="shared" si="214"/>
        <v>108256.63079179962</v>
      </c>
      <c r="I371" s="57">
        <f t="shared" si="215"/>
        <v>100060.80335443353</v>
      </c>
      <c r="J371" s="57">
        <f t="shared" si="215"/>
        <v>111179.55982317819</v>
      </c>
      <c r="K371" s="57">
        <f t="shared" si="216"/>
        <v>102462.26263493994</v>
      </c>
      <c r="L371" s="9">
        <f t="shared" si="216"/>
        <v>113847.86925893447</v>
      </c>
      <c r="M371" s="9">
        <f t="shared" si="217"/>
        <v>105228.74372608331</v>
      </c>
      <c r="N371" s="9">
        <f t="shared" si="217"/>
        <v>116921.76172892569</v>
      </c>
      <c r="O371" s="78">
        <f t="shared" si="218"/>
        <v>107543.77608805714</v>
      </c>
      <c r="P371" s="78">
        <f t="shared" si="218"/>
        <v>119494.04048696205</v>
      </c>
      <c r="Q371" s="1">
        <f t="shared" si="190"/>
        <v>110124.82671417051</v>
      </c>
      <c r="R371" s="78">
        <f t="shared" si="191"/>
        <v>122361.89745864915</v>
      </c>
      <c r="S371" s="1">
        <f t="shared" si="192"/>
        <v>114199.44530259482</v>
      </c>
      <c r="T371" s="78">
        <f t="shared" si="193"/>
        <v>126889.28766461916</v>
      </c>
      <c r="U371" s="1">
        <f t="shared" si="194"/>
        <v>117397.02977106748</v>
      </c>
      <c r="V371" s="99">
        <f t="shared" si="195"/>
        <v>130442.1877192285</v>
      </c>
      <c r="W371" s="78">
        <f t="shared" si="196"/>
        <v>119157.98521763348</v>
      </c>
      <c r="X371" s="78">
        <f t="shared" si="197"/>
        <v>132398.82053501692</v>
      </c>
      <c r="Y371" s="78">
        <f t="shared" si="198"/>
        <v>121064.51298111562</v>
      </c>
      <c r="Z371" s="78">
        <f t="shared" si="199"/>
        <v>134517.2016635772</v>
      </c>
      <c r="AA371" s="78">
        <f t="shared" si="200"/>
        <v>123364.73872775681</v>
      </c>
      <c r="AB371" s="78">
        <f t="shared" si="201"/>
        <v>137073.02849518516</v>
      </c>
      <c r="AC371" s="1">
        <f t="shared" si="202"/>
        <v>125708.66876358417</v>
      </c>
      <c r="AD371" s="78">
        <f t="shared" si="203"/>
        <v>139677.41603659367</v>
      </c>
      <c r="AE371" s="1">
        <f t="shared" si="204"/>
        <v>128348.55080761942</v>
      </c>
      <c r="AF371" s="78">
        <f t="shared" si="205"/>
        <v>142610.64177336212</v>
      </c>
      <c r="AG371" s="141">
        <f t="shared" si="181"/>
        <v>130017.08196811847</v>
      </c>
      <c r="AH371" s="140">
        <f t="shared" si="182"/>
        <v>144464.5801164158</v>
      </c>
      <c r="AI371" s="141">
        <f t="shared" si="183"/>
        <v>132617.42360748083</v>
      </c>
      <c r="AJ371" s="140">
        <f t="shared" si="184"/>
        <v>147353.87171874414</v>
      </c>
      <c r="AK371" s="141">
        <f t="shared" si="185"/>
        <v>136463.32889209775</v>
      </c>
      <c r="AL371" s="140">
        <f t="shared" si="186"/>
        <v>151627.1339985877</v>
      </c>
      <c r="AM371" s="141">
        <f t="shared" si="187"/>
        <v>145060.5186122999</v>
      </c>
      <c r="AN371" s="141">
        <f t="shared" si="188"/>
        <v>161179.64344049871</v>
      </c>
    </row>
    <row r="372" spans="1:40">
      <c r="B372" s="162">
        <v>84302604</v>
      </c>
      <c r="C372" s="86" t="s">
        <v>455</v>
      </c>
      <c r="D372" s="16">
        <v>85808.741440269587</v>
      </c>
      <c r="E372" s="17">
        <f t="shared" ref="E372:E395" si="219">D372*1.05</f>
        <v>90099.178512283077</v>
      </c>
      <c r="F372" s="57">
        <f>E372*1.045</f>
        <v>94153.641545335806</v>
      </c>
      <c r="G372" s="57">
        <f t="shared" si="213"/>
        <v>97430.188271113482</v>
      </c>
      <c r="H372" s="57">
        <f t="shared" si="214"/>
        <v>108256.63079179962</v>
      </c>
      <c r="I372" s="57">
        <f t="shared" si="215"/>
        <v>100060.80335443353</v>
      </c>
      <c r="J372" s="57">
        <f t="shared" si="215"/>
        <v>111179.55982317819</v>
      </c>
      <c r="K372" s="57">
        <f t="shared" si="216"/>
        <v>102462.26263493994</v>
      </c>
      <c r="L372" s="9">
        <f t="shared" si="216"/>
        <v>113847.86925893447</v>
      </c>
      <c r="M372" s="9">
        <f t="shared" si="217"/>
        <v>105228.74372608331</v>
      </c>
      <c r="N372" s="9">
        <f t="shared" si="217"/>
        <v>116921.76172892569</v>
      </c>
      <c r="O372" s="78">
        <f t="shared" si="218"/>
        <v>107543.77608805714</v>
      </c>
      <c r="P372" s="78">
        <f t="shared" si="218"/>
        <v>119494.04048696205</v>
      </c>
      <c r="Q372" s="1">
        <f t="shared" si="190"/>
        <v>110124.82671417051</v>
      </c>
      <c r="R372" s="78">
        <f t="shared" si="191"/>
        <v>122361.89745864915</v>
      </c>
      <c r="S372" s="1">
        <f t="shared" si="192"/>
        <v>114199.44530259482</v>
      </c>
      <c r="T372" s="78">
        <f t="shared" si="193"/>
        <v>126889.28766461916</v>
      </c>
      <c r="U372" s="1">
        <f t="shared" si="194"/>
        <v>117397.02977106748</v>
      </c>
      <c r="V372" s="99">
        <f t="shared" si="195"/>
        <v>130442.1877192285</v>
      </c>
      <c r="W372" s="78">
        <f t="shared" si="196"/>
        <v>119157.98521763348</v>
      </c>
      <c r="X372" s="78">
        <f t="shared" si="197"/>
        <v>132398.82053501692</v>
      </c>
      <c r="Y372" s="78">
        <f t="shared" si="198"/>
        <v>121064.51298111562</v>
      </c>
      <c r="Z372" s="78">
        <f t="shared" si="199"/>
        <v>134517.2016635772</v>
      </c>
      <c r="AA372" s="78">
        <f t="shared" si="200"/>
        <v>123364.73872775681</v>
      </c>
      <c r="AB372" s="78">
        <f t="shared" si="201"/>
        <v>137073.02849518516</v>
      </c>
      <c r="AC372" s="1">
        <f t="shared" si="202"/>
        <v>125708.66876358417</v>
      </c>
      <c r="AD372" s="78">
        <f t="shared" si="203"/>
        <v>139677.41603659367</v>
      </c>
      <c r="AE372" s="1">
        <f t="shared" si="204"/>
        <v>128348.55080761942</v>
      </c>
      <c r="AF372" s="78">
        <f t="shared" si="205"/>
        <v>142610.64177336212</v>
      </c>
      <c r="AG372" s="141">
        <f t="shared" si="181"/>
        <v>130017.08196811847</v>
      </c>
      <c r="AH372" s="140">
        <f t="shared" si="182"/>
        <v>144464.5801164158</v>
      </c>
      <c r="AI372" s="141">
        <f t="shared" si="183"/>
        <v>132617.42360748083</v>
      </c>
      <c r="AJ372" s="140">
        <f t="shared" si="184"/>
        <v>147353.87171874414</v>
      </c>
      <c r="AK372" s="141">
        <f t="shared" si="185"/>
        <v>136463.32889209775</v>
      </c>
      <c r="AL372" s="140">
        <f t="shared" si="186"/>
        <v>151627.1339985877</v>
      </c>
      <c r="AM372" s="141">
        <f t="shared" si="187"/>
        <v>145060.5186122999</v>
      </c>
      <c r="AN372" s="141">
        <f t="shared" si="188"/>
        <v>161179.64344049871</v>
      </c>
    </row>
    <row r="373" spans="1:40">
      <c r="B373" s="162">
        <v>84302606</v>
      </c>
      <c r="C373" s="86" t="s">
        <v>456</v>
      </c>
      <c r="D373" s="16">
        <v>85808.741440269587</v>
      </c>
      <c r="E373" s="17">
        <f t="shared" si="219"/>
        <v>90099.178512283077</v>
      </c>
      <c r="F373" s="57">
        <f>E373*1.045</f>
        <v>94153.641545335806</v>
      </c>
      <c r="G373" s="57">
        <f t="shared" si="213"/>
        <v>97430.188271113482</v>
      </c>
      <c r="H373" s="57">
        <f t="shared" si="214"/>
        <v>108256.63079179962</v>
      </c>
      <c r="I373" s="57">
        <f t="shared" si="215"/>
        <v>100060.80335443353</v>
      </c>
      <c r="J373" s="57">
        <f t="shared" si="215"/>
        <v>111179.55982317819</v>
      </c>
      <c r="K373" s="57">
        <f t="shared" si="216"/>
        <v>102462.26263493994</v>
      </c>
      <c r="L373" s="9">
        <f t="shared" si="216"/>
        <v>113847.86925893447</v>
      </c>
      <c r="M373" s="9">
        <f t="shared" si="217"/>
        <v>105228.74372608331</v>
      </c>
      <c r="N373" s="9">
        <f t="shared" si="217"/>
        <v>116921.76172892569</v>
      </c>
      <c r="O373" s="78">
        <f t="shared" si="218"/>
        <v>107543.77608805714</v>
      </c>
      <c r="P373" s="78">
        <f t="shared" si="218"/>
        <v>119494.04048696205</v>
      </c>
      <c r="Q373" s="1">
        <f t="shared" si="190"/>
        <v>110124.82671417051</v>
      </c>
      <c r="R373" s="78">
        <f t="shared" si="191"/>
        <v>122361.89745864915</v>
      </c>
      <c r="S373" s="1">
        <f t="shared" si="192"/>
        <v>114199.44530259482</v>
      </c>
      <c r="T373" s="78">
        <f t="shared" si="193"/>
        <v>126889.28766461916</v>
      </c>
      <c r="U373" s="1">
        <f t="shared" si="194"/>
        <v>117397.02977106748</v>
      </c>
      <c r="V373" s="99">
        <f t="shared" si="195"/>
        <v>130442.1877192285</v>
      </c>
      <c r="W373" s="78">
        <f t="shared" si="196"/>
        <v>119157.98521763348</v>
      </c>
      <c r="X373" s="78">
        <f t="shared" si="197"/>
        <v>132398.82053501692</v>
      </c>
      <c r="Y373" s="78">
        <f t="shared" si="198"/>
        <v>121064.51298111562</v>
      </c>
      <c r="Z373" s="78">
        <f t="shared" si="199"/>
        <v>134517.2016635772</v>
      </c>
      <c r="AA373" s="78">
        <f t="shared" si="200"/>
        <v>123364.73872775681</v>
      </c>
      <c r="AB373" s="78">
        <f t="shared" si="201"/>
        <v>137073.02849518516</v>
      </c>
      <c r="AC373" s="1">
        <f t="shared" si="202"/>
        <v>125708.66876358417</v>
      </c>
      <c r="AD373" s="78">
        <f t="shared" si="203"/>
        <v>139677.41603659367</v>
      </c>
      <c r="AE373" s="1">
        <f t="shared" si="204"/>
        <v>128348.55080761942</v>
      </c>
      <c r="AF373" s="78">
        <f t="shared" si="205"/>
        <v>142610.64177336212</v>
      </c>
      <c r="AG373" s="141">
        <f t="shared" si="181"/>
        <v>130017.08196811847</v>
      </c>
      <c r="AH373" s="140">
        <f t="shared" si="182"/>
        <v>144464.5801164158</v>
      </c>
      <c r="AI373" s="141">
        <f t="shared" si="183"/>
        <v>132617.42360748083</v>
      </c>
      <c r="AJ373" s="140">
        <f t="shared" si="184"/>
        <v>147353.87171874414</v>
      </c>
      <c r="AK373" s="141">
        <f t="shared" si="185"/>
        <v>136463.32889209775</v>
      </c>
      <c r="AL373" s="140">
        <f t="shared" si="186"/>
        <v>151627.1339985877</v>
      </c>
      <c r="AM373" s="141">
        <f t="shared" si="187"/>
        <v>145060.5186122999</v>
      </c>
      <c r="AN373" s="141">
        <f t="shared" si="188"/>
        <v>161179.64344049871</v>
      </c>
    </row>
    <row r="374" spans="1:40">
      <c r="B374" s="162">
        <v>84302608</v>
      </c>
      <c r="C374" s="86" t="s">
        <v>457</v>
      </c>
      <c r="D374" s="16">
        <v>85808.741440269587</v>
      </c>
      <c r="E374" s="17">
        <f t="shared" si="219"/>
        <v>90099.178512283077</v>
      </c>
      <c r="F374" s="57">
        <f>E374*1.045</f>
        <v>94153.641545335806</v>
      </c>
      <c r="G374" s="57">
        <f t="shared" si="213"/>
        <v>97430.188271113482</v>
      </c>
      <c r="H374" s="57">
        <f t="shared" si="214"/>
        <v>108256.63079179962</v>
      </c>
      <c r="I374" s="57">
        <f t="shared" si="215"/>
        <v>100060.80335443353</v>
      </c>
      <c r="J374" s="57">
        <f t="shared" si="215"/>
        <v>111179.55982317819</v>
      </c>
      <c r="K374" s="57">
        <f t="shared" si="216"/>
        <v>102462.26263493994</v>
      </c>
      <c r="L374" s="9">
        <f t="shared" si="216"/>
        <v>113847.86925893447</v>
      </c>
      <c r="M374" s="9">
        <f t="shared" si="217"/>
        <v>105228.74372608331</v>
      </c>
      <c r="N374" s="9">
        <f t="shared" si="217"/>
        <v>116921.76172892569</v>
      </c>
      <c r="O374" s="78">
        <f t="shared" si="218"/>
        <v>107543.77608805714</v>
      </c>
      <c r="P374" s="78">
        <f t="shared" si="218"/>
        <v>119494.04048696205</v>
      </c>
      <c r="Q374" s="1">
        <f t="shared" si="190"/>
        <v>110124.82671417051</v>
      </c>
      <c r="R374" s="78">
        <f t="shared" si="191"/>
        <v>122361.89745864915</v>
      </c>
      <c r="S374" s="1">
        <f t="shared" si="192"/>
        <v>114199.44530259482</v>
      </c>
      <c r="T374" s="78">
        <f t="shared" si="193"/>
        <v>126889.28766461916</v>
      </c>
      <c r="U374" s="1">
        <f t="shared" si="194"/>
        <v>117397.02977106748</v>
      </c>
      <c r="V374" s="99">
        <f t="shared" si="195"/>
        <v>130442.1877192285</v>
      </c>
      <c r="W374" s="78">
        <f t="shared" si="196"/>
        <v>119157.98521763348</v>
      </c>
      <c r="X374" s="78">
        <f t="shared" si="197"/>
        <v>132398.82053501692</v>
      </c>
      <c r="Y374" s="78">
        <f t="shared" si="198"/>
        <v>121064.51298111562</v>
      </c>
      <c r="Z374" s="78">
        <f t="shared" si="199"/>
        <v>134517.2016635772</v>
      </c>
      <c r="AA374" s="78">
        <f t="shared" si="200"/>
        <v>123364.73872775681</v>
      </c>
      <c r="AB374" s="78">
        <f t="shared" si="201"/>
        <v>137073.02849518516</v>
      </c>
      <c r="AC374" s="1">
        <f t="shared" si="202"/>
        <v>125708.66876358417</v>
      </c>
      <c r="AD374" s="78">
        <f t="shared" si="203"/>
        <v>139677.41603659367</v>
      </c>
      <c r="AE374" s="1">
        <f t="shared" si="204"/>
        <v>128348.55080761942</v>
      </c>
      <c r="AF374" s="78">
        <f t="shared" si="205"/>
        <v>142610.64177336212</v>
      </c>
      <c r="AG374" s="141">
        <f t="shared" si="181"/>
        <v>130017.08196811847</v>
      </c>
      <c r="AH374" s="140">
        <f t="shared" si="182"/>
        <v>144464.5801164158</v>
      </c>
      <c r="AI374" s="141">
        <f t="shared" si="183"/>
        <v>132617.42360748083</v>
      </c>
      <c r="AJ374" s="140">
        <f t="shared" si="184"/>
        <v>147353.87171874414</v>
      </c>
      <c r="AK374" s="141">
        <f t="shared" si="185"/>
        <v>136463.32889209775</v>
      </c>
      <c r="AL374" s="140">
        <f t="shared" si="186"/>
        <v>151627.1339985877</v>
      </c>
      <c r="AM374" s="141">
        <f t="shared" si="187"/>
        <v>145060.5186122999</v>
      </c>
      <c r="AN374" s="141">
        <f t="shared" si="188"/>
        <v>161179.64344049871</v>
      </c>
    </row>
    <row r="375" spans="1:40">
      <c r="B375" s="162">
        <v>84302616</v>
      </c>
      <c r="C375" s="86" t="s">
        <v>458</v>
      </c>
      <c r="D375" s="16">
        <v>85808.741440269587</v>
      </c>
      <c r="E375" s="17">
        <f t="shared" si="219"/>
        <v>90099.178512283077</v>
      </c>
      <c r="F375" s="57">
        <f>E375*1.045</f>
        <v>94153.641545335806</v>
      </c>
      <c r="G375" s="57">
        <f t="shared" si="213"/>
        <v>97430.188271113482</v>
      </c>
      <c r="H375" s="57">
        <f t="shared" si="214"/>
        <v>108256.63079179962</v>
      </c>
      <c r="I375" s="57">
        <f t="shared" si="215"/>
        <v>100060.80335443353</v>
      </c>
      <c r="J375" s="57">
        <f t="shared" si="215"/>
        <v>111179.55982317819</v>
      </c>
      <c r="K375" s="57">
        <f t="shared" si="216"/>
        <v>102462.26263493994</v>
      </c>
      <c r="L375" s="9">
        <f t="shared" si="216"/>
        <v>113847.86925893447</v>
      </c>
      <c r="M375" s="9">
        <f t="shared" si="217"/>
        <v>105228.74372608331</v>
      </c>
      <c r="N375" s="9">
        <f t="shared" si="217"/>
        <v>116921.76172892569</v>
      </c>
      <c r="O375" s="78">
        <f t="shared" si="218"/>
        <v>107543.77608805714</v>
      </c>
      <c r="P375" s="78">
        <f t="shared" si="218"/>
        <v>119494.04048696205</v>
      </c>
      <c r="Q375" s="1">
        <f t="shared" si="190"/>
        <v>110124.82671417051</v>
      </c>
      <c r="R375" s="78">
        <f t="shared" si="191"/>
        <v>122361.89745864915</v>
      </c>
      <c r="S375" s="1">
        <f t="shared" si="192"/>
        <v>114199.44530259482</v>
      </c>
      <c r="T375" s="78">
        <f t="shared" si="193"/>
        <v>126889.28766461916</v>
      </c>
      <c r="U375" s="1">
        <f t="shared" si="194"/>
        <v>117397.02977106748</v>
      </c>
      <c r="V375" s="99">
        <f t="shared" si="195"/>
        <v>130442.1877192285</v>
      </c>
      <c r="W375" s="78">
        <f t="shared" si="196"/>
        <v>119157.98521763348</v>
      </c>
      <c r="X375" s="78">
        <f t="shared" si="197"/>
        <v>132398.82053501692</v>
      </c>
      <c r="Y375" s="78">
        <f t="shared" si="198"/>
        <v>121064.51298111562</v>
      </c>
      <c r="Z375" s="78">
        <f t="shared" si="199"/>
        <v>134517.2016635772</v>
      </c>
      <c r="AA375" s="78">
        <f t="shared" si="200"/>
        <v>123364.73872775681</v>
      </c>
      <c r="AB375" s="78">
        <f t="shared" si="201"/>
        <v>137073.02849518516</v>
      </c>
      <c r="AC375" s="1">
        <f t="shared" si="202"/>
        <v>125708.66876358417</v>
      </c>
      <c r="AD375" s="78">
        <f t="shared" si="203"/>
        <v>139677.41603659367</v>
      </c>
      <c r="AE375" s="1">
        <f t="shared" si="204"/>
        <v>128348.55080761942</v>
      </c>
      <c r="AF375" s="78">
        <f t="shared" si="205"/>
        <v>142610.64177336212</v>
      </c>
      <c r="AG375" s="141">
        <f t="shared" si="181"/>
        <v>130017.08196811847</v>
      </c>
      <c r="AH375" s="140">
        <f t="shared" si="182"/>
        <v>144464.5801164158</v>
      </c>
      <c r="AI375" s="141">
        <f t="shared" si="183"/>
        <v>132617.42360748083</v>
      </c>
      <c r="AJ375" s="140">
        <f t="shared" si="184"/>
        <v>147353.87171874414</v>
      </c>
      <c r="AK375" s="141">
        <f t="shared" si="185"/>
        <v>136463.32889209775</v>
      </c>
      <c r="AL375" s="140">
        <f t="shared" si="186"/>
        <v>151627.1339985877</v>
      </c>
      <c r="AM375" s="141">
        <f t="shared" si="187"/>
        <v>145060.5186122999</v>
      </c>
      <c r="AN375" s="141">
        <f t="shared" si="188"/>
        <v>161179.64344049871</v>
      </c>
    </row>
    <row r="376" spans="1:40">
      <c r="B376" s="162">
        <v>84302704</v>
      </c>
      <c r="C376" s="86" t="s">
        <v>459</v>
      </c>
      <c r="D376" s="16">
        <v>131079.21707271901</v>
      </c>
      <c r="E376" s="17">
        <f t="shared" si="219"/>
        <v>137633.17792635495</v>
      </c>
      <c r="F376" s="57">
        <f>E376*1.045</f>
        <v>143826.67093304091</v>
      </c>
      <c r="G376" s="57">
        <f t="shared" si="213"/>
        <v>148831.83908151073</v>
      </c>
      <c r="H376" s="57">
        <f t="shared" si="214"/>
        <v>165370.03304024821</v>
      </c>
      <c r="I376" s="57">
        <f t="shared" si="215"/>
        <v>152850.2987367115</v>
      </c>
      <c r="J376" s="57">
        <f t="shared" si="215"/>
        <v>169835.02393233488</v>
      </c>
      <c r="K376" s="57">
        <f t="shared" si="216"/>
        <v>156518.70590639257</v>
      </c>
      <c r="L376" s="9">
        <f t="shared" si="216"/>
        <v>173911.06450671091</v>
      </c>
      <c r="M376" s="9">
        <f t="shared" si="217"/>
        <v>160744.71096586515</v>
      </c>
      <c r="N376" s="9">
        <f t="shared" si="217"/>
        <v>178606.66324839208</v>
      </c>
      <c r="O376" s="78">
        <f t="shared" si="218"/>
        <v>164281.09460711418</v>
      </c>
      <c r="P376" s="78">
        <f t="shared" si="218"/>
        <v>182536.00983985671</v>
      </c>
      <c r="Q376" s="1">
        <f t="shared" si="190"/>
        <v>168223.84087768491</v>
      </c>
      <c r="R376" s="78">
        <f t="shared" si="191"/>
        <v>186916.87407601328</v>
      </c>
      <c r="S376" s="1">
        <f t="shared" si="192"/>
        <v>174448.12299015923</v>
      </c>
      <c r="T376" s="78">
        <f t="shared" si="193"/>
        <v>193832.79841682577</v>
      </c>
      <c r="U376" s="1">
        <f t="shared" si="194"/>
        <v>179332.6704338837</v>
      </c>
      <c r="V376" s="99">
        <f t="shared" si="195"/>
        <v>199260.1167724969</v>
      </c>
      <c r="W376" s="78">
        <f t="shared" si="196"/>
        <v>182022.66049039195</v>
      </c>
      <c r="X376" s="78">
        <f t="shared" si="197"/>
        <v>202249.01852408433</v>
      </c>
      <c r="Y376" s="78">
        <f t="shared" si="198"/>
        <v>184935.02305823824</v>
      </c>
      <c r="Z376" s="78">
        <f t="shared" si="199"/>
        <v>205485.00282046967</v>
      </c>
      <c r="AA376" s="78">
        <f t="shared" si="200"/>
        <v>188448.78849634476</v>
      </c>
      <c r="AB376" s="78">
        <f t="shared" si="201"/>
        <v>209389.21787405858</v>
      </c>
      <c r="AC376" s="1">
        <f t="shared" si="202"/>
        <v>192029.31547777529</v>
      </c>
      <c r="AD376" s="78">
        <f t="shared" si="203"/>
        <v>213367.61301366569</v>
      </c>
      <c r="AE376" s="1">
        <f t="shared" si="204"/>
        <v>196061.93110280856</v>
      </c>
      <c r="AF376" s="78">
        <f t="shared" si="205"/>
        <v>217848.33288695264</v>
      </c>
      <c r="AG376" s="141">
        <f t="shared" si="181"/>
        <v>198610.73620714506</v>
      </c>
      <c r="AH376" s="140">
        <f t="shared" si="182"/>
        <v>220680.36121448301</v>
      </c>
      <c r="AI376" s="141">
        <f t="shared" si="183"/>
        <v>202582.95093128798</v>
      </c>
      <c r="AJ376" s="140">
        <f t="shared" si="184"/>
        <v>225093.96843877269</v>
      </c>
      <c r="AK376" s="141">
        <f t="shared" si="185"/>
        <v>208457.85650829531</v>
      </c>
      <c r="AL376" s="140">
        <f t="shared" si="186"/>
        <v>231621.69352349709</v>
      </c>
      <c r="AM376" s="141">
        <f t="shared" si="187"/>
        <v>221590.70146831791</v>
      </c>
      <c r="AN376" s="141">
        <f t="shared" si="188"/>
        <v>246213.86021547738</v>
      </c>
    </row>
    <row r="377" spans="1:40">
      <c r="B377" s="162">
        <v>84302705</v>
      </c>
      <c r="C377" s="86" t="s">
        <v>460</v>
      </c>
      <c r="D377" s="16">
        <v>131079.21707271901</v>
      </c>
      <c r="E377" s="17">
        <f t="shared" si="219"/>
        <v>137633.17792635495</v>
      </c>
      <c r="F377" s="57">
        <f>E377*1.045</f>
        <v>143826.67093304091</v>
      </c>
      <c r="G377" s="57">
        <f t="shared" si="213"/>
        <v>148831.83908151073</v>
      </c>
      <c r="H377" s="57">
        <f t="shared" si="214"/>
        <v>165370.03304024821</v>
      </c>
      <c r="I377" s="57">
        <f t="shared" si="215"/>
        <v>152850.2987367115</v>
      </c>
      <c r="J377" s="57">
        <f t="shared" si="215"/>
        <v>169835.02393233488</v>
      </c>
      <c r="K377" s="57">
        <f t="shared" si="216"/>
        <v>156518.70590639257</v>
      </c>
      <c r="L377" s="9">
        <f t="shared" si="216"/>
        <v>173911.06450671091</v>
      </c>
      <c r="M377" s="9">
        <f t="shared" si="217"/>
        <v>160744.71096586515</v>
      </c>
      <c r="N377" s="9">
        <f t="shared" si="217"/>
        <v>178606.66324839208</v>
      </c>
      <c r="O377" s="78">
        <f t="shared" si="218"/>
        <v>164281.09460711418</v>
      </c>
      <c r="P377" s="78">
        <f t="shared" si="218"/>
        <v>182536.00983985671</v>
      </c>
      <c r="Q377" s="1">
        <f t="shared" si="190"/>
        <v>168223.84087768491</v>
      </c>
      <c r="R377" s="78">
        <f t="shared" si="191"/>
        <v>186916.87407601328</v>
      </c>
      <c r="S377" s="1">
        <f t="shared" si="192"/>
        <v>174448.12299015923</v>
      </c>
      <c r="T377" s="78">
        <f t="shared" si="193"/>
        <v>193832.79841682577</v>
      </c>
      <c r="U377" s="1">
        <f t="shared" si="194"/>
        <v>179332.6704338837</v>
      </c>
      <c r="V377" s="99">
        <f t="shared" si="195"/>
        <v>199260.1167724969</v>
      </c>
      <c r="W377" s="78">
        <f t="shared" si="196"/>
        <v>182022.66049039195</v>
      </c>
      <c r="X377" s="78">
        <f t="shared" si="197"/>
        <v>202249.01852408433</v>
      </c>
      <c r="Y377" s="78">
        <f t="shared" si="198"/>
        <v>184935.02305823824</v>
      </c>
      <c r="Z377" s="78">
        <f t="shared" si="199"/>
        <v>205485.00282046967</v>
      </c>
      <c r="AA377" s="78">
        <f t="shared" si="200"/>
        <v>188448.78849634476</v>
      </c>
      <c r="AB377" s="78">
        <f t="shared" si="201"/>
        <v>209389.21787405858</v>
      </c>
      <c r="AC377" s="1">
        <f t="shared" si="202"/>
        <v>192029.31547777529</v>
      </c>
      <c r="AD377" s="78">
        <f t="shared" si="203"/>
        <v>213367.61301366569</v>
      </c>
      <c r="AE377" s="1">
        <f t="shared" si="204"/>
        <v>196061.93110280856</v>
      </c>
      <c r="AF377" s="78">
        <f t="shared" si="205"/>
        <v>217848.33288695264</v>
      </c>
      <c r="AG377" s="141">
        <f t="shared" si="181"/>
        <v>198610.73620714506</v>
      </c>
      <c r="AH377" s="140">
        <f t="shared" si="182"/>
        <v>220680.36121448301</v>
      </c>
      <c r="AI377" s="141">
        <f t="shared" si="183"/>
        <v>202582.95093128798</v>
      </c>
      <c r="AJ377" s="140">
        <f t="shared" si="184"/>
        <v>225093.96843877269</v>
      </c>
      <c r="AK377" s="141">
        <f t="shared" si="185"/>
        <v>208457.85650829531</v>
      </c>
      <c r="AL377" s="140">
        <f t="shared" si="186"/>
        <v>231621.69352349709</v>
      </c>
      <c r="AM377" s="141">
        <f t="shared" si="187"/>
        <v>221590.70146831791</v>
      </c>
      <c r="AN377" s="141">
        <f t="shared" si="188"/>
        <v>246213.86021547738</v>
      </c>
    </row>
    <row r="378" spans="1:40">
      <c r="B378" s="162">
        <v>84302706</v>
      </c>
      <c r="C378" s="86" t="s">
        <v>461</v>
      </c>
      <c r="D378" s="16">
        <v>131079.21707271901</v>
      </c>
      <c r="E378" s="17">
        <f t="shared" si="219"/>
        <v>137633.17792635495</v>
      </c>
      <c r="F378" s="57">
        <f>E378*1.045</f>
        <v>143826.67093304091</v>
      </c>
      <c r="G378" s="57">
        <f t="shared" si="213"/>
        <v>148831.83908151073</v>
      </c>
      <c r="H378" s="57">
        <f t="shared" si="214"/>
        <v>165370.03304024821</v>
      </c>
      <c r="I378" s="57">
        <f t="shared" si="215"/>
        <v>152850.2987367115</v>
      </c>
      <c r="J378" s="57">
        <f t="shared" si="215"/>
        <v>169835.02393233488</v>
      </c>
      <c r="K378" s="57">
        <f t="shared" si="216"/>
        <v>156518.70590639257</v>
      </c>
      <c r="L378" s="9">
        <f t="shared" si="216"/>
        <v>173911.06450671091</v>
      </c>
      <c r="M378" s="9">
        <f t="shared" si="217"/>
        <v>160744.71096586515</v>
      </c>
      <c r="N378" s="9">
        <f t="shared" si="217"/>
        <v>178606.66324839208</v>
      </c>
      <c r="O378" s="78">
        <f t="shared" si="218"/>
        <v>164281.09460711418</v>
      </c>
      <c r="P378" s="78">
        <f t="shared" si="218"/>
        <v>182536.00983985671</v>
      </c>
      <c r="Q378" s="1">
        <f t="shared" si="190"/>
        <v>168223.84087768491</v>
      </c>
      <c r="R378" s="78">
        <f t="shared" si="191"/>
        <v>186916.87407601328</v>
      </c>
      <c r="S378" s="1">
        <f t="shared" si="192"/>
        <v>174448.12299015923</v>
      </c>
      <c r="T378" s="78">
        <f t="shared" si="193"/>
        <v>193832.79841682577</v>
      </c>
      <c r="U378" s="1">
        <f t="shared" si="194"/>
        <v>179332.6704338837</v>
      </c>
      <c r="V378" s="99">
        <f t="shared" si="195"/>
        <v>199260.1167724969</v>
      </c>
      <c r="W378" s="78">
        <f t="shared" si="196"/>
        <v>182022.66049039195</v>
      </c>
      <c r="X378" s="78">
        <f t="shared" si="197"/>
        <v>202249.01852408433</v>
      </c>
      <c r="Y378" s="78">
        <f t="shared" si="198"/>
        <v>184935.02305823824</v>
      </c>
      <c r="Z378" s="78">
        <f t="shared" si="199"/>
        <v>205485.00282046967</v>
      </c>
      <c r="AA378" s="78">
        <f t="shared" si="200"/>
        <v>188448.78849634476</v>
      </c>
      <c r="AB378" s="78">
        <f t="shared" si="201"/>
        <v>209389.21787405858</v>
      </c>
      <c r="AC378" s="1">
        <f t="shared" si="202"/>
        <v>192029.31547777529</v>
      </c>
      <c r="AD378" s="78">
        <f t="shared" si="203"/>
        <v>213367.61301366569</v>
      </c>
      <c r="AE378" s="1">
        <f t="shared" si="204"/>
        <v>196061.93110280856</v>
      </c>
      <c r="AF378" s="78">
        <f t="shared" si="205"/>
        <v>217848.33288695264</v>
      </c>
      <c r="AG378" s="141">
        <f t="shared" si="181"/>
        <v>198610.73620714506</v>
      </c>
      <c r="AH378" s="140">
        <f t="shared" si="182"/>
        <v>220680.36121448301</v>
      </c>
      <c r="AI378" s="141">
        <f t="shared" si="183"/>
        <v>202582.95093128798</v>
      </c>
      <c r="AJ378" s="140">
        <f t="shared" si="184"/>
        <v>225093.96843877269</v>
      </c>
      <c r="AK378" s="141">
        <f t="shared" si="185"/>
        <v>208457.85650829531</v>
      </c>
      <c r="AL378" s="140">
        <f t="shared" si="186"/>
        <v>231621.69352349709</v>
      </c>
      <c r="AM378" s="141">
        <f t="shared" si="187"/>
        <v>221590.70146831791</v>
      </c>
      <c r="AN378" s="141">
        <f t="shared" si="188"/>
        <v>246213.86021547738</v>
      </c>
    </row>
    <row r="379" spans="1:40">
      <c r="B379" s="162">
        <v>84302707</v>
      </c>
      <c r="C379" s="86" t="s">
        <v>462</v>
      </c>
      <c r="D379" s="16">
        <v>131079.21707271901</v>
      </c>
      <c r="E379" s="17">
        <f t="shared" si="219"/>
        <v>137633.17792635495</v>
      </c>
      <c r="F379" s="57">
        <f>E379*1.045</f>
        <v>143826.67093304091</v>
      </c>
      <c r="G379" s="57">
        <f t="shared" si="213"/>
        <v>148831.83908151073</v>
      </c>
      <c r="H379" s="57">
        <f t="shared" si="214"/>
        <v>165370.03304024821</v>
      </c>
      <c r="I379" s="57">
        <f t="shared" si="215"/>
        <v>152850.2987367115</v>
      </c>
      <c r="J379" s="57">
        <f t="shared" si="215"/>
        <v>169835.02393233488</v>
      </c>
      <c r="K379" s="57">
        <f t="shared" si="216"/>
        <v>156518.70590639257</v>
      </c>
      <c r="L379" s="9">
        <f t="shared" si="216"/>
        <v>173911.06450671091</v>
      </c>
      <c r="M379" s="9">
        <f t="shared" si="217"/>
        <v>160744.71096586515</v>
      </c>
      <c r="N379" s="9">
        <f t="shared" si="217"/>
        <v>178606.66324839208</v>
      </c>
      <c r="O379" s="78">
        <f t="shared" si="218"/>
        <v>164281.09460711418</v>
      </c>
      <c r="P379" s="78">
        <f t="shared" si="218"/>
        <v>182536.00983985671</v>
      </c>
      <c r="Q379" s="1">
        <f t="shared" si="190"/>
        <v>168223.84087768491</v>
      </c>
      <c r="R379" s="78">
        <f t="shared" si="191"/>
        <v>186916.87407601328</v>
      </c>
      <c r="S379" s="1">
        <f t="shared" si="192"/>
        <v>174448.12299015923</v>
      </c>
      <c r="T379" s="78">
        <f t="shared" si="193"/>
        <v>193832.79841682577</v>
      </c>
      <c r="U379" s="1">
        <f t="shared" si="194"/>
        <v>179332.6704338837</v>
      </c>
      <c r="V379" s="99">
        <f t="shared" si="195"/>
        <v>199260.1167724969</v>
      </c>
      <c r="W379" s="78">
        <f t="shared" si="196"/>
        <v>182022.66049039195</v>
      </c>
      <c r="X379" s="78">
        <f t="shared" si="197"/>
        <v>202249.01852408433</v>
      </c>
      <c r="Y379" s="78">
        <f t="shared" si="198"/>
        <v>184935.02305823824</v>
      </c>
      <c r="Z379" s="78">
        <f t="shared" si="199"/>
        <v>205485.00282046967</v>
      </c>
      <c r="AA379" s="78">
        <f t="shared" si="200"/>
        <v>188448.78849634476</v>
      </c>
      <c r="AB379" s="78">
        <f t="shared" si="201"/>
        <v>209389.21787405858</v>
      </c>
      <c r="AC379" s="1">
        <f t="shared" si="202"/>
        <v>192029.31547777529</v>
      </c>
      <c r="AD379" s="78">
        <f t="shared" si="203"/>
        <v>213367.61301366569</v>
      </c>
      <c r="AE379" s="1">
        <f t="shared" si="204"/>
        <v>196061.93110280856</v>
      </c>
      <c r="AF379" s="78">
        <f t="shared" si="205"/>
        <v>217848.33288695264</v>
      </c>
      <c r="AG379" s="141">
        <f t="shared" si="181"/>
        <v>198610.73620714506</v>
      </c>
      <c r="AH379" s="140">
        <f t="shared" si="182"/>
        <v>220680.36121448301</v>
      </c>
      <c r="AI379" s="141">
        <f t="shared" si="183"/>
        <v>202582.95093128798</v>
      </c>
      <c r="AJ379" s="140">
        <f t="shared" si="184"/>
        <v>225093.96843877269</v>
      </c>
      <c r="AK379" s="141">
        <f t="shared" si="185"/>
        <v>208457.85650829531</v>
      </c>
      <c r="AL379" s="140">
        <f t="shared" si="186"/>
        <v>231621.69352349709</v>
      </c>
      <c r="AM379" s="141">
        <f t="shared" si="187"/>
        <v>221590.70146831791</v>
      </c>
      <c r="AN379" s="141">
        <f t="shared" si="188"/>
        <v>246213.86021547738</v>
      </c>
    </row>
    <row r="380" spans="1:40">
      <c r="B380" s="162">
        <v>84302708</v>
      </c>
      <c r="C380" s="86" t="s">
        <v>463</v>
      </c>
      <c r="D380" s="16">
        <v>131079.21707271901</v>
      </c>
      <c r="E380" s="17">
        <f t="shared" si="219"/>
        <v>137633.17792635495</v>
      </c>
      <c r="F380" s="57">
        <f>E380*1.045</f>
        <v>143826.67093304091</v>
      </c>
      <c r="G380" s="57">
        <f t="shared" si="213"/>
        <v>148831.83908151073</v>
      </c>
      <c r="H380" s="57">
        <f t="shared" si="214"/>
        <v>165370.03304024821</v>
      </c>
      <c r="I380" s="57">
        <f t="shared" si="215"/>
        <v>152850.2987367115</v>
      </c>
      <c r="J380" s="57">
        <f t="shared" si="215"/>
        <v>169835.02393233488</v>
      </c>
      <c r="K380" s="57">
        <f t="shared" si="216"/>
        <v>156518.70590639257</v>
      </c>
      <c r="L380" s="9">
        <f t="shared" si="216"/>
        <v>173911.06450671091</v>
      </c>
      <c r="M380" s="9">
        <f t="shared" si="217"/>
        <v>160744.71096586515</v>
      </c>
      <c r="N380" s="9">
        <f t="shared" si="217"/>
        <v>178606.66324839208</v>
      </c>
      <c r="O380" s="78">
        <f t="shared" si="218"/>
        <v>164281.09460711418</v>
      </c>
      <c r="P380" s="78">
        <f t="shared" si="218"/>
        <v>182536.00983985671</v>
      </c>
      <c r="Q380" s="1">
        <f t="shared" si="190"/>
        <v>168223.84087768491</v>
      </c>
      <c r="R380" s="78">
        <f t="shared" si="191"/>
        <v>186916.87407601328</v>
      </c>
      <c r="S380" s="1">
        <f t="shared" si="192"/>
        <v>174448.12299015923</v>
      </c>
      <c r="T380" s="78">
        <f t="shared" si="193"/>
        <v>193832.79841682577</v>
      </c>
      <c r="U380" s="1">
        <f t="shared" si="194"/>
        <v>179332.6704338837</v>
      </c>
      <c r="V380" s="99">
        <f t="shared" si="195"/>
        <v>199260.1167724969</v>
      </c>
      <c r="W380" s="78">
        <f t="shared" si="196"/>
        <v>182022.66049039195</v>
      </c>
      <c r="X380" s="78">
        <f t="shared" si="197"/>
        <v>202249.01852408433</v>
      </c>
      <c r="Y380" s="78">
        <f t="shared" si="198"/>
        <v>184935.02305823824</v>
      </c>
      <c r="Z380" s="78">
        <f t="shared" si="199"/>
        <v>205485.00282046967</v>
      </c>
      <c r="AA380" s="78">
        <f t="shared" si="200"/>
        <v>188448.78849634476</v>
      </c>
      <c r="AB380" s="78">
        <f t="shared" si="201"/>
        <v>209389.21787405858</v>
      </c>
      <c r="AC380" s="1">
        <f t="shared" si="202"/>
        <v>192029.31547777529</v>
      </c>
      <c r="AD380" s="78">
        <f t="shared" si="203"/>
        <v>213367.61301366569</v>
      </c>
      <c r="AE380" s="1">
        <f t="shared" si="204"/>
        <v>196061.93110280856</v>
      </c>
      <c r="AF380" s="78">
        <f t="shared" si="205"/>
        <v>217848.33288695264</v>
      </c>
      <c r="AG380" s="141">
        <f t="shared" si="181"/>
        <v>198610.73620714506</v>
      </c>
      <c r="AH380" s="140">
        <f t="shared" si="182"/>
        <v>220680.36121448301</v>
      </c>
      <c r="AI380" s="141">
        <f t="shared" si="183"/>
        <v>202582.95093128798</v>
      </c>
      <c r="AJ380" s="140">
        <f t="shared" si="184"/>
        <v>225093.96843877269</v>
      </c>
      <c r="AK380" s="141">
        <f t="shared" si="185"/>
        <v>208457.85650829531</v>
      </c>
      <c r="AL380" s="140">
        <f t="shared" si="186"/>
        <v>231621.69352349709</v>
      </c>
      <c r="AM380" s="141">
        <f t="shared" si="187"/>
        <v>221590.70146831791</v>
      </c>
      <c r="AN380" s="141">
        <f t="shared" si="188"/>
        <v>246213.86021547738</v>
      </c>
    </row>
    <row r="381" spans="1:40">
      <c r="B381" s="162">
        <v>84302709</v>
      </c>
      <c r="C381" s="86" t="s">
        <v>464</v>
      </c>
      <c r="D381" s="16">
        <v>131079.21707271901</v>
      </c>
      <c r="E381" s="17">
        <f t="shared" si="219"/>
        <v>137633.17792635495</v>
      </c>
      <c r="F381" s="57">
        <f>E381*1.045</f>
        <v>143826.67093304091</v>
      </c>
      <c r="G381" s="57">
        <f t="shared" si="213"/>
        <v>148831.83908151073</v>
      </c>
      <c r="H381" s="57">
        <f t="shared" si="214"/>
        <v>165370.03304024821</v>
      </c>
      <c r="I381" s="57">
        <f t="shared" si="215"/>
        <v>152850.2987367115</v>
      </c>
      <c r="J381" s="57">
        <f t="shared" si="215"/>
        <v>169835.02393233488</v>
      </c>
      <c r="K381" s="57">
        <f t="shared" si="216"/>
        <v>156518.70590639257</v>
      </c>
      <c r="L381" s="9">
        <f t="shared" si="216"/>
        <v>173911.06450671091</v>
      </c>
      <c r="M381" s="9">
        <f t="shared" si="217"/>
        <v>160744.71096586515</v>
      </c>
      <c r="N381" s="9">
        <f t="shared" si="217"/>
        <v>178606.66324839208</v>
      </c>
      <c r="O381" s="78">
        <f t="shared" si="218"/>
        <v>164281.09460711418</v>
      </c>
      <c r="P381" s="78">
        <f t="shared" si="218"/>
        <v>182536.00983985671</v>
      </c>
      <c r="Q381" s="1">
        <f t="shared" si="190"/>
        <v>168223.84087768491</v>
      </c>
      <c r="R381" s="78">
        <f t="shared" si="191"/>
        <v>186916.87407601328</v>
      </c>
      <c r="S381" s="1">
        <f t="shared" si="192"/>
        <v>174448.12299015923</v>
      </c>
      <c r="T381" s="78">
        <f t="shared" si="193"/>
        <v>193832.79841682577</v>
      </c>
      <c r="U381" s="1">
        <f t="shared" si="194"/>
        <v>179332.6704338837</v>
      </c>
      <c r="V381" s="99">
        <f t="shared" si="195"/>
        <v>199260.1167724969</v>
      </c>
      <c r="W381" s="78">
        <f t="shared" si="196"/>
        <v>182022.66049039195</v>
      </c>
      <c r="X381" s="78">
        <f t="shared" si="197"/>
        <v>202249.01852408433</v>
      </c>
      <c r="Y381" s="78">
        <f t="shared" si="198"/>
        <v>184935.02305823824</v>
      </c>
      <c r="Z381" s="78">
        <f t="shared" si="199"/>
        <v>205485.00282046967</v>
      </c>
      <c r="AA381" s="78">
        <f t="shared" si="200"/>
        <v>188448.78849634476</v>
      </c>
      <c r="AB381" s="78">
        <f t="shared" si="201"/>
        <v>209389.21787405858</v>
      </c>
      <c r="AC381" s="1">
        <f t="shared" si="202"/>
        <v>192029.31547777529</v>
      </c>
      <c r="AD381" s="78">
        <f t="shared" si="203"/>
        <v>213367.61301366569</v>
      </c>
      <c r="AE381" s="1">
        <f t="shared" si="204"/>
        <v>196061.93110280856</v>
      </c>
      <c r="AF381" s="78">
        <f t="shared" si="205"/>
        <v>217848.33288695264</v>
      </c>
      <c r="AG381" s="141">
        <f t="shared" si="181"/>
        <v>198610.73620714506</v>
      </c>
      <c r="AH381" s="140">
        <f t="shared" si="182"/>
        <v>220680.36121448301</v>
      </c>
      <c r="AI381" s="141">
        <f t="shared" si="183"/>
        <v>202582.95093128798</v>
      </c>
      <c r="AJ381" s="140">
        <f t="shared" si="184"/>
        <v>225093.96843877269</v>
      </c>
      <c r="AK381" s="141">
        <f t="shared" si="185"/>
        <v>208457.85650829531</v>
      </c>
      <c r="AL381" s="140">
        <f t="shared" si="186"/>
        <v>231621.69352349709</v>
      </c>
      <c r="AM381" s="141">
        <f t="shared" si="187"/>
        <v>221590.70146831791</v>
      </c>
      <c r="AN381" s="141">
        <f t="shared" si="188"/>
        <v>246213.86021547738</v>
      </c>
    </row>
    <row r="382" spans="1:40">
      <c r="B382" s="162">
        <v>84302801</v>
      </c>
      <c r="C382" s="86" t="s">
        <v>465</v>
      </c>
      <c r="D382" s="16">
        <v>131079.21707271901</v>
      </c>
      <c r="E382" s="17">
        <f t="shared" si="219"/>
        <v>137633.17792635495</v>
      </c>
      <c r="F382" s="57">
        <f>E382*1.045</f>
        <v>143826.67093304091</v>
      </c>
      <c r="G382" s="57">
        <f t="shared" ref="G382:G436" si="220">F382*1.0348</f>
        <v>148831.83908151073</v>
      </c>
      <c r="H382" s="57">
        <f t="shared" ref="H382:H436" si="221">G382*1.11112</f>
        <v>165370.03304024821</v>
      </c>
      <c r="I382" s="57">
        <f t="shared" ref="I382:J436" si="222">G382*1.027</f>
        <v>152850.2987367115</v>
      </c>
      <c r="J382" s="57">
        <f t="shared" si="222"/>
        <v>169835.02393233488</v>
      </c>
      <c r="K382" s="57">
        <f t="shared" ref="K382:L436" si="223">I382*1.024</f>
        <v>156518.70590639257</v>
      </c>
      <c r="L382" s="9">
        <f t="shared" si="223"/>
        <v>173911.06450671091</v>
      </c>
      <c r="M382" s="9">
        <f t="shared" ref="M382:N436" si="224">K382*1.027</f>
        <v>160744.71096586515</v>
      </c>
      <c r="N382" s="9">
        <f t="shared" si="224"/>
        <v>178606.66324839208</v>
      </c>
      <c r="O382" s="78">
        <f t="shared" ref="O382:P436" si="225">M382*1.022</f>
        <v>164281.09460711418</v>
      </c>
      <c r="P382" s="78">
        <f t="shared" si="225"/>
        <v>182536.00983985671</v>
      </c>
      <c r="Q382" s="1">
        <f t="shared" si="190"/>
        <v>168223.84087768491</v>
      </c>
      <c r="R382" s="78">
        <f t="shared" si="191"/>
        <v>186916.87407601328</v>
      </c>
      <c r="S382" s="1">
        <f t="shared" si="192"/>
        <v>174448.12299015923</v>
      </c>
      <c r="T382" s="78">
        <f t="shared" si="193"/>
        <v>193832.79841682577</v>
      </c>
      <c r="U382" s="1">
        <f t="shared" si="194"/>
        <v>179332.6704338837</v>
      </c>
      <c r="V382" s="99">
        <f t="shared" si="195"/>
        <v>199260.1167724969</v>
      </c>
      <c r="W382" s="78">
        <f t="shared" si="196"/>
        <v>182022.66049039195</v>
      </c>
      <c r="X382" s="78">
        <f t="shared" si="197"/>
        <v>202249.01852408433</v>
      </c>
      <c r="Y382" s="78">
        <f t="shared" si="198"/>
        <v>184935.02305823824</v>
      </c>
      <c r="Z382" s="78">
        <f t="shared" si="199"/>
        <v>205485.00282046967</v>
      </c>
      <c r="AA382" s="78">
        <f t="shared" si="200"/>
        <v>188448.78849634476</v>
      </c>
      <c r="AB382" s="78">
        <f t="shared" si="201"/>
        <v>209389.21787405858</v>
      </c>
      <c r="AC382" s="1">
        <f t="shared" si="202"/>
        <v>192029.31547777529</v>
      </c>
      <c r="AD382" s="78">
        <f t="shared" si="203"/>
        <v>213367.61301366569</v>
      </c>
      <c r="AE382" s="1">
        <f t="shared" si="204"/>
        <v>196061.93110280856</v>
      </c>
      <c r="AF382" s="78">
        <f t="shared" si="205"/>
        <v>217848.33288695264</v>
      </c>
      <c r="AG382" s="141">
        <f t="shared" si="181"/>
        <v>198610.73620714506</v>
      </c>
      <c r="AH382" s="140">
        <f t="shared" si="182"/>
        <v>220680.36121448301</v>
      </c>
      <c r="AI382" s="141">
        <f t="shared" si="183"/>
        <v>202582.95093128798</v>
      </c>
      <c r="AJ382" s="140">
        <f t="shared" si="184"/>
        <v>225093.96843877269</v>
      </c>
      <c r="AK382" s="141">
        <f t="shared" si="185"/>
        <v>208457.85650829531</v>
      </c>
      <c r="AL382" s="140">
        <f t="shared" si="186"/>
        <v>231621.69352349709</v>
      </c>
      <c r="AM382" s="141">
        <f t="shared" si="187"/>
        <v>221590.70146831791</v>
      </c>
      <c r="AN382" s="141">
        <f t="shared" si="188"/>
        <v>246213.86021547738</v>
      </c>
    </row>
    <row r="383" spans="1:40">
      <c r="B383" s="162">
        <v>84302900</v>
      </c>
      <c r="C383" s="86" t="s">
        <v>466</v>
      </c>
      <c r="D383" s="16">
        <v>85808.741440269587</v>
      </c>
      <c r="E383" s="17">
        <f t="shared" si="219"/>
        <v>90099.178512283077</v>
      </c>
      <c r="F383" s="57">
        <f>E383*1.045</f>
        <v>94153.641545335806</v>
      </c>
      <c r="G383" s="57">
        <f t="shared" si="220"/>
        <v>97430.188271113482</v>
      </c>
      <c r="H383" s="57">
        <f t="shared" si="221"/>
        <v>108256.63079179962</v>
      </c>
      <c r="I383" s="57">
        <f t="shared" si="222"/>
        <v>100060.80335443353</v>
      </c>
      <c r="J383" s="57">
        <f t="shared" si="222"/>
        <v>111179.55982317819</v>
      </c>
      <c r="K383" s="57">
        <f t="shared" si="223"/>
        <v>102462.26263493994</v>
      </c>
      <c r="L383" s="9">
        <f t="shared" si="223"/>
        <v>113847.86925893447</v>
      </c>
      <c r="M383" s="9">
        <f t="shared" si="224"/>
        <v>105228.74372608331</v>
      </c>
      <c r="N383" s="9">
        <f t="shared" si="224"/>
        <v>116921.76172892569</v>
      </c>
      <c r="O383" s="78">
        <f t="shared" si="225"/>
        <v>107543.77608805714</v>
      </c>
      <c r="P383" s="78">
        <f t="shared" si="225"/>
        <v>119494.04048696205</v>
      </c>
      <c r="Q383" s="1">
        <f t="shared" si="190"/>
        <v>110124.82671417051</v>
      </c>
      <c r="R383" s="78">
        <f t="shared" si="191"/>
        <v>122361.89745864915</v>
      </c>
      <c r="S383" s="1">
        <f t="shared" si="192"/>
        <v>114199.44530259482</v>
      </c>
      <c r="T383" s="78">
        <f t="shared" si="193"/>
        <v>126889.28766461916</v>
      </c>
      <c r="U383" s="1">
        <f t="shared" si="194"/>
        <v>117397.02977106748</v>
      </c>
      <c r="V383" s="99">
        <f t="shared" si="195"/>
        <v>130442.1877192285</v>
      </c>
      <c r="W383" s="78">
        <f t="shared" si="196"/>
        <v>119157.98521763348</v>
      </c>
      <c r="X383" s="78">
        <f t="shared" si="197"/>
        <v>132398.82053501692</v>
      </c>
      <c r="Y383" s="78">
        <f t="shared" si="198"/>
        <v>121064.51298111562</v>
      </c>
      <c r="Z383" s="78">
        <f t="shared" si="199"/>
        <v>134517.2016635772</v>
      </c>
      <c r="AA383" s="78">
        <f t="shared" si="200"/>
        <v>123364.73872775681</v>
      </c>
      <c r="AB383" s="78">
        <f t="shared" si="201"/>
        <v>137073.02849518516</v>
      </c>
      <c r="AC383" s="1">
        <f t="shared" si="202"/>
        <v>125708.66876358417</v>
      </c>
      <c r="AD383" s="78">
        <f t="shared" si="203"/>
        <v>139677.41603659367</v>
      </c>
      <c r="AE383" s="1">
        <f t="shared" si="204"/>
        <v>128348.55080761942</v>
      </c>
      <c r="AF383" s="78">
        <f t="shared" si="205"/>
        <v>142610.64177336212</v>
      </c>
      <c r="AG383" s="141">
        <f t="shared" si="181"/>
        <v>130017.08196811847</v>
      </c>
      <c r="AH383" s="140">
        <f t="shared" si="182"/>
        <v>144464.5801164158</v>
      </c>
      <c r="AI383" s="141">
        <f t="shared" si="183"/>
        <v>132617.42360748083</v>
      </c>
      <c r="AJ383" s="140">
        <f t="shared" si="184"/>
        <v>147353.87171874414</v>
      </c>
      <c r="AK383" s="141">
        <f t="shared" si="185"/>
        <v>136463.32889209775</v>
      </c>
      <c r="AL383" s="140">
        <f t="shared" si="186"/>
        <v>151627.1339985877</v>
      </c>
      <c r="AM383" s="141">
        <f t="shared" si="187"/>
        <v>145060.5186122999</v>
      </c>
      <c r="AN383" s="141">
        <f t="shared" si="188"/>
        <v>161179.64344049871</v>
      </c>
    </row>
    <row r="384" spans="1:40">
      <c r="A384" s="56">
        <v>180104</v>
      </c>
      <c r="B384" s="162">
        <v>18010400</v>
      </c>
      <c r="C384" s="44" t="s">
        <v>467</v>
      </c>
      <c r="D384" s="16">
        <v>19766.410486780991</v>
      </c>
      <c r="E384" s="17">
        <f t="shared" si="219"/>
        <v>20754.731011120042</v>
      </c>
      <c r="F384" s="57">
        <f>E384*1.045</f>
        <v>21688.693906620443</v>
      </c>
      <c r="G384" s="57">
        <f t="shared" si="220"/>
        <v>22443.460454570832</v>
      </c>
      <c r="H384" s="57">
        <f t="shared" si="221"/>
        <v>24937.377780282746</v>
      </c>
      <c r="I384" s="57">
        <f t="shared" si="222"/>
        <v>23049.433886844243</v>
      </c>
      <c r="J384" s="57">
        <f t="shared" si="222"/>
        <v>25610.68698035038</v>
      </c>
      <c r="K384" s="57">
        <f t="shared" si="223"/>
        <v>23602.620300128507</v>
      </c>
      <c r="L384" s="9">
        <f t="shared" si="223"/>
        <v>26225.343467878789</v>
      </c>
      <c r="M384" s="9">
        <f t="shared" si="224"/>
        <v>24239.891048231973</v>
      </c>
      <c r="N384" s="9">
        <f t="shared" si="224"/>
        <v>26933.427741511514</v>
      </c>
      <c r="O384" s="78">
        <f t="shared" si="225"/>
        <v>24773.168651293076</v>
      </c>
      <c r="P384" s="78">
        <f t="shared" si="225"/>
        <v>27525.963151824766</v>
      </c>
      <c r="Q384" s="1">
        <f t="shared" si="190"/>
        <v>25367.72469892411</v>
      </c>
      <c r="R384" s="78">
        <f t="shared" si="191"/>
        <v>28186.58626746856</v>
      </c>
      <c r="S384" s="1">
        <f t="shared" si="192"/>
        <v>26306.330512784301</v>
      </c>
      <c r="T384" s="78">
        <f t="shared" si="193"/>
        <v>29229.489959364895</v>
      </c>
      <c r="U384" s="1">
        <f t="shared" si="194"/>
        <v>27042.907767142264</v>
      </c>
      <c r="V384" s="99">
        <f t="shared" si="195"/>
        <v>30047.915678227113</v>
      </c>
      <c r="W384" s="78">
        <f t="shared" si="196"/>
        <v>27448.551383649396</v>
      </c>
      <c r="X384" s="78">
        <f t="shared" si="197"/>
        <v>30498.634413400516</v>
      </c>
      <c r="Y384" s="78">
        <f t="shared" si="198"/>
        <v>27887.728205787786</v>
      </c>
      <c r="Z384" s="78">
        <f t="shared" si="199"/>
        <v>30986.612564014926</v>
      </c>
      <c r="AA384" s="78">
        <f t="shared" si="200"/>
        <v>28417.59504169775</v>
      </c>
      <c r="AB384" s="78">
        <f t="shared" si="201"/>
        <v>31575.358202731208</v>
      </c>
      <c r="AC384" s="1">
        <f t="shared" si="202"/>
        <v>28957.529347490006</v>
      </c>
      <c r="AD384" s="78">
        <f t="shared" si="203"/>
        <v>32175.290008583099</v>
      </c>
      <c r="AE384" s="1">
        <f t="shared" si="204"/>
        <v>29565.637463787294</v>
      </c>
      <c r="AF384" s="78">
        <f t="shared" si="205"/>
        <v>32850.971098763344</v>
      </c>
      <c r="AG384" s="141">
        <f t="shared" si="181"/>
        <v>29949.990750816527</v>
      </c>
      <c r="AH384" s="140">
        <f t="shared" si="182"/>
        <v>33278.033723047265</v>
      </c>
      <c r="AI384" s="141">
        <f t="shared" si="183"/>
        <v>30548.990565832857</v>
      </c>
      <c r="AJ384" s="140">
        <f t="shared" si="184"/>
        <v>33943.594397508212</v>
      </c>
      <c r="AK384" s="141">
        <f t="shared" si="185"/>
        <v>31434.911292242006</v>
      </c>
      <c r="AL384" s="140">
        <f t="shared" si="186"/>
        <v>34927.958635035946</v>
      </c>
      <c r="AM384" s="141">
        <f t="shared" si="187"/>
        <v>33415.310703653253</v>
      </c>
      <c r="AN384" s="141">
        <f t="shared" si="188"/>
        <v>37128.420029043205</v>
      </c>
    </row>
    <row r="385" spans="1:40">
      <c r="A385" s="56">
        <v>180104</v>
      </c>
      <c r="B385" s="162">
        <v>18010408</v>
      </c>
      <c r="C385" s="44" t="s">
        <v>468</v>
      </c>
      <c r="D385" s="16">
        <v>19766.410486780991</v>
      </c>
      <c r="E385" s="17">
        <f t="shared" si="219"/>
        <v>20754.731011120042</v>
      </c>
      <c r="F385" s="57">
        <f>E385*1.045</f>
        <v>21688.693906620443</v>
      </c>
      <c r="G385" s="57">
        <f t="shared" si="220"/>
        <v>22443.460454570832</v>
      </c>
      <c r="H385" s="57">
        <f t="shared" si="221"/>
        <v>24937.377780282746</v>
      </c>
      <c r="I385" s="57">
        <f t="shared" si="222"/>
        <v>23049.433886844243</v>
      </c>
      <c r="J385" s="57">
        <f t="shared" si="222"/>
        <v>25610.68698035038</v>
      </c>
      <c r="K385" s="57">
        <f t="shared" si="223"/>
        <v>23602.620300128507</v>
      </c>
      <c r="L385" s="9">
        <f t="shared" si="223"/>
        <v>26225.343467878789</v>
      </c>
      <c r="M385" s="9">
        <f t="shared" si="224"/>
        <v>24239.891048231973</v>
      </c>
      <c r="N385" s="9">
        <f t="shared" si="224"/>
        <v>26933.427741511514</v>
      </c>
      <c r="O385" s="78">
        <f t="shared" si="225"/>
        <v>24773.168651293076</v>
      </c>
      <c r="P385" s="78">
        <f t="shared" si="225"/>
        <v>27525.963151824766</v>
      </c>
      <c r="Q385" s="1">
        <f t="shared" si="190"/>
        <v>25367.72469892411</v>
      </c>
      <c r="R385" s="78">
        <f t="shared" si="191"/>
        <v>28186.58626746856</v>
      </c>
      <c r="S385" s="1">
        <f t="shared" si="192"/>
        <v>26306.330512784301</v>
      </c>
      <c r="T385" s="78">
        <f t="shared" si="193"/>
        <v>29229.489959364895</v>
      </c>
      <c r="U385" s="1">
        <f t="shared" si="194"/>
        <v>27042.907767142264</v>
      </c>
      <c r="V385" s="99">
        <f t="shared" si="195"/>
        <v>30047.915678227113</v>
      </c>
      <c r="W385" s="78">
        <f t="shared" si="196"/>
        <v>27448.551383649396</v>
      </c>
      <c r="X385" s="78">
        <f t="shared" si="197"/>
        <v>30498.634413400516</v>
      </c>
      <c r="Y385" s="78">
        <f t="shared" si="198"/>
        <v>27887.728205787786</v>
      </c>
      <c r="Z385" s="78">
        <f t="shared" si="199"/>
        <v>30986.612564014926</v>
      </c>
      <c r="AA385" s="78">
        <f t="shared" si="200"/>
        <v>28417.59504169775</v>
      </c>
      <c r="AB385" s="78">
        <f t="shared" si="201"/>
        <v>31575.358202731208</v>
      </c>
      <c r="AC385" s="1">
        <f t="shared" si="202"/>
        <v>28957.529347490006</v>
      </c>
      <c r="AD385" s="78">
        <f t="shared" si="203"/>
        <v>32175.290008583099</v>
      </c>
      <c r="AE385" s="1">
        <f t="shared" si="204"/>
        <v>29565.637463787294</v>
      </c>
      <c r="AF385" s="78">
        <f t="shared" si="205"/>
        <v>32850.971098763344</v>
      </c>
      <c r="AG385" s="141">
        <f t="shared" si="181"/>
        <v>29949.990750816527</v>
      </c>
      <c r="AH385" s="140">
        <f t="shared" si="182"/>
        <v>33278.033723047265</v>
      </c>
      <c r="AI385" s="141">
        <f t="shared" si="183"/>
        <v>30548.990565832857</v>
      </c>
      <c r="AJ385" s="140">
        <f t="shared" si="184"/>
        <v>33943.594397508212</v>
      </c>
      <c r="AK385" s="141">
        <f t="shared" si="185"/>
        <v>31434.911292242006</v>
      </c>
      <c r="AL385" s="140">
        <f t="shared" si="186"/>
        <v>34927.958635035946</v>
      </c>
      <c r="AM385" s="141">
        <f t="shared" si="187"/>
        <v>33415.310703653253</v>
      </c>
      <c r="AN385" s="141">
        <f t="shared" si="188"/>
        <v>37128.420029043205</v>
      </c>
    </row>
    <row r="386" spans="1:40">
      <c r="A386" s="56">
        <v>180104</v>
      </c>
      <c r="B386" s="162">
        <v>18010411</v>
      </c>
      <c r="C386" s="44" t="s">
        <v>469</v>
      </c>
      <c r="D386" s="16">
        <v>19766.410486780991</v>
      </c>
      <c r="E386" s="17">
        <f t="shared" si="219"/>
        <v>20754.731011120042</v>
      </c>
      <c r="F386" s="57">
        <f>E386*1.045</f>
        <v>21688.693906620443</v>
      </c>
      <c r="G386" s="57">
        <f t="shared" si="220"/>
        <v>22443.460454570832</v>
      </c>
      <c r="H386" s="57">
        <f t="shared" si="221"/>
        <v>24937.377780282746</v>
      </c>
      <c r="I386" s="57">
        <f t="shared" si="222"/>
        <v>23049.433886844243</v>
      </c>
      <c r="J386" s="57">
        <f t="shared" si="222"/>
        <v>25610.68698035038</v>
      </c>
      <c r="K386" s="57">
        <f t="shared" si="223"/>
        <v>23602.620300128507</v>
      </c>
      <c r="L386" s="9">
        <f t="shared" si="223"/>
        <v>26225.343467878789</v>
      </c>
      <c r="M386" s="9">
        <f t="shared" si="224"/>
        <v>24239.891048231973</v>
      </c>
      <c r="N386" s="9">
        <f t="shared" si="224"/>
        <v>26933.427741511514</v>
      </c>
      <c r="O386" s="78">
        <f t="shared" si="225"/>
        <v>24773.168651293076</v>
      </c>
      <c r="P386" s="78">
        <f t="shared" si="225"/>
        <v>27525.963151824766</v>
      </c>
      <c r="Q386" s="1">
        <f t="shared" si="190"/>
        <v>25367.72469892411</v>
      </c>
      <c r="R386" s="78">
        <f t="shared" si="191"/>
        <v>28186.58626746856</v>
      </c>
      <c r="S386" s="1">
        <f t="shared" si="192"/>
        <v>26306.330512784301</v>
      </c>
      <c r="T386" s="78">
        <f t="shared" si="193"/>
        <v>29229.489959364895</v>
      </c>
      <c r="U386" s="1">
        <f t="shared" si="194"/>
        <v>27042.907767142264</v>
      </c>
      <c r="V386" s="99">
        <f t="shared" si="195"/>
        <v>30047.915678227113</v>
      </c>
      <c r="W386" s="78">
        <f t="shared" si="196"/>
        <v>27448.551383649396</v>
      </c>
      <c r="X386" s="78">
        <f t="shared" si="197"/>
        <v>30498.634413400516</v>
      </c>
      <c r="Y386" s="78">
        <f t="shared" si="198"/>
        <v>27887.728205787786</v>
      </c>
      <c r="Z386" s="78">
        <f t="shared" si="199"/>
        <v>30986.612564014926</v>
      </c>
      <c r="AA386" s="78">
        <f t="shared" si="200"/>
        <v>28417.59504169775</v>
      </c>
      <c r="AB386" s="78">
        <f t="shared" si="201"/>
        <v>31575.358202731208</v>
      </c>
      <c r="AC386" s="1">
        <f t="shared" si="202"/>
        <v>28957.529347490006</v>
      </c>
      <c r="AD386" s="78">
        <f t="shared" si="203"/>
        <v>32175.290008583099</v>
      </c>
      <c r="AE386" s="1">
        <f t="shared" si="204"/>
        <v>29565.637463787294</v>
      </c>
      <c r="AF386" s="78">
        <f t="shared" si="205"/>
        <v>32850.971098763344</v>
      </c>
      <c r="AG386" s="141">
        <f t="shared" si="181"/>
        <v>29949.990750816527</v>
      </c>
      <c r="AH386" s="140">
        <f t="shared" si="182"/>
        <v>33278.033723047265</v>
      </c>
      <c r="AI386" s="141">
        <f t="shared" si="183"/>
        <v>30548.990565832857</v>
      </c>
      <c r="AJ386" s="140">
        <f t="shared" si="184"/>
        <v>33943.594397508212</v>
      </c>
      <c r="AK386" s="141">
        <f t="shared" si="185"/>
        <v>31434.911292242006</v>
      </c>
      <c r="AL386" s="140">
        <f t="shared" si="186"/>
        <v>34927.958635035946</v>
      </c>
      <c r="AM386" s="141">
        <f t="shared" si="187"/>
        <v>33415.310703653253</v>
      </c>
      <c r="AN386" s="141">
        <f t="shared" si="188"/>
        <v>37128.420029043205</v>
      </c>
    </row>
    <row r="387" spans="1:40">
      <c r="A387" s="56">
        <v>180106</v>
      </c>
      <c r="B387" s="162">
        <v>18010600</v>
      </c>
      <c r="C387" s="44" t="s">
        <v>470</v>
      </c>
      <c r="D387" s="16">
        <v>17965.475190863563</v>
      </c>
      <c r="E387" s="17">
        <f t="shared" si="219"/>
        <v>18863.748950406742</v>
      </c>
      <c r="F387" s="57">
        <f>E387*1.045</f>
        <v>19712.617653175043</v>
      </c>
      <c r="G387" s="57">
        <f t="shared" si="220"/>
        <v>20398.616747505534</v>
      </c>
      <c r="H387" s="57">
        <f t="shared" si="221"/>
        <v>22665.311040488352</v>
      </c>
      <c r="I387" s="57">
        <f t="shared" si="222"/>
        <v>20949.37939968818</v>
      </c>
      <c r="J387" s="57">
        <f t="shared" si="222"/>
        <v>23277.274438581535</v>
      </c>
      <c r="K387" s="57">
        <f t="shared" si="223"/>
        <v>21452.164505280696</v>
      </c>
      <c r="L387" s="9">
        <f t="shared" si="223"/>
        <v>23835.929025107493</v>
      </c>
      <c r="M387" s="9">
        <f t="shared" si="224"/>
        <v>22031.372946923275</v>
      </c>
      <c r="N387" s="9">
        <f t="shared" si="224"/>
        <v>24479.499108785392</v>
      </c>
      <c r="O387" s="78">
        <f t="shared" si="225"/>
        <v>22516.063151755588</v>
      </c>
      <c r="P387" s="78">
        <f t="shared" si="225"/>
        <v>25018.048089178672</v>
      </c>
      <c r="Q387" s="1">
        <f t="shared" si="190"/>
        <v>23056.448667397723</v>
      </c>
      <c r="R387" s="78">
        <f t="shared" si="191"/>
        <v>25618.481243318962</v>
      </c>
      <c r="S387" s="1">
        <f t="shared" si="192"/>
        <v>23909.537268091437</v>
      </c>
      <c r="T387" s="78">
        <f t="shared" si="193"/>
        <v>26566.365049321761</v>
      </c>
      <c r="U387" s="1">
        <f t="shared" si="194"/>
        <v>24579.004311597997</v>
      </c>
      <c r="V387" s="99">
        <f t="shared" si="195"/>
        <v>27310.223270702772</v>
      </c>
      <c r="W387" s="78">
        <f t="shared" si="196"/>
        <v>24947.689376271963</v>
      </c>
      <c r="X387" s="78">
        <f t="shared" si="197"/>
        <v>27719.876619763312</v>
      </c>
      <c r="Y387" s="78">
        <f t="shared" si="198"/>
        <v>25346.852406292313</v>
      </c>
      <c r="Z387" s="78">
        <f t="shared" si="199"/>
        <v>28163.394645679524</v>
      </c>
      <c r="AA387" s="78">
        <f t="shared" si="200"/>
        <v>25828.442602011866</v>
      </c>
      <c r="AB387" s="78">
        <f t="shared" si="201"/>
        <v>28698.499143947432</v>
      </c>
      <c r="AC387" s="1">
        <f t="shared" si="202"/>
        <v>26319.183011450088</v>
      </c>
      <c r="AD387" s="78">
        <f t="shared" si="203"/>
        <v>29243.770627682432</v>
      </c>
      <c r="AE387" s="1">
        <f t="shared" si="204"/>
        <v>26871.885854690536</v>
      </c>
      <c r="AF387" s="78">
        <f t="shared" si="205"/>
        <v>29857.889810863759</v>
      </c>
      <c r="AG387" s="141">
        <f t="shared" si="181"/>
        <v>27221.220370801511</v>
      </c>
      <c r="AH387" s="140">
        <f t="shared" si="182"/>
        <v>30246.042378404985</v>
      </c>
      <c r="AI387" s="141">
        <f t="shared" si="183"/>
        <v>27765.644778217542</v>
      </c>
      <c r="AJ387" s="140">
        <f t="shared" si="184"/>
        <v>30850.963225973086</v>
      </c>
      <c r="AK387" s="141">
        <f t="shared" si="185"/>
        <v>28570.84847678585</v>
      </c>
      <c r="AL387" s="140">
        <f t="shared" si="186"/>
        <v>31745.641159526302</v>
      </c>
      <c r="AM387" s="141">
        <f t="shared" si="187"/>
        <v>30370.811930823358</v>
      </c>
      <c r="AN387" s="141">
        <f t="shared" si="188"/>
        <v>33745.616552576459</v>
      </c>
    </row>
    <row r="388" spans="1:40">
      <c r="A388" s="56">
        <v>180107</v>
      </c>
      <c r="B388" s="162">
        <v>18010700</v>
      </c>
      <c r="C388" s="44" t="s">
        <v>471</v>
      </c>
      <c r="D388" s="16">
        <v>17965.475190863563</v>
      </c>
      <c r="E388" s="17">
        <f t="shared" si="219"/>
        <v>18863.748950406742</v>
      </c>
      <c r="F388" s="57">
        <f>E388*1.045</f>
        <v>19712.617653175043</v>
      </c>
      <c r="G388" s="57">
        <f t="shared" si="220"/>
        <v>20398.616747505534</v>
      </c>
      <c r="H388" s="57">
        <f t="shared" si="221"/>
        <v>22665.311040488352</v>
      </c>
      <c r="I388" s="57">
        <f t="shared" si="222"/>
        <v>20949.37939968818</v>
      </c>
      <c r="J388" s="57">
        <f t="shared" si="222"/>
        <v>23277.274438581535</v>
      </c>
      <c r="K388" s="57">
        <f t="shared" si="223"/>
        <v>21452.164505280696</v>
      </c>
      <c r="L388" s="9">
        <f t="shared" si="223"/>
        <v>23835.929025107493</v>
      </c>
      <c r="M388" s="9">
        <f t="shared" si="224"/>
        <v>22031.372946923275</v>
      </c>
      <c r="N388" s="9">
        <f t="shared" si="224"/>
        <v>24479.499108785392</v>
      </c>
      <c r="O388" s="78">
        <f t="shared" si="225"/>
        <v>22516.063151755588</v>
      </c>
      <c r="P388" s="78">
        <f t="shared" si="225"/>
        <v>25018.048089178672</v>
      </c>
      <c r="Q388" s="1">
        <f t="shared" si="190"/>
        <v>23056.448667397723</v>
      </c>
      <c r="R388" s="78">
        <f t="shared" si="191"/>
        <v>25618.481243318962</v>
      </c>
      <c r="S388" s="1">
        <f t="shared" si="192"/>
        <v>23909.537268091437</v>
      </c>
      <c r="T388" s="78">
        <f t="shared" si="193"/>
        <v>26566.365049321761</v>
      </c>
      <c r="U388" s="1">
        <f t="shared" si="194"/>
        <v>24579.004311597997</v>
      </c>
      <c r="V388" s="99">
        <f t="shared" si="195"/>
        <v>27310.223270702772</v>
      </c>
      <c r="W388" s="78">
        <f t="shared" si="196"/>
        <v>24947.689376271963</v>
      </c>
      <c r="X388" s="78">
        <f t="shared" si="197"/>
        <v>27719.876619763312</v>
      </c>
      <c r="Y388" s="78">
        <f t="shared" si="198"/>
        <v>25346.852406292313</v>
      </c>
      <c r="Z388" s="78">
        <f t="shared" si="199"/>
        <v>28163.394645679524</v>
      </c>
      <c r="AA388" s="78">
        <f t="shared" si="200"/>
        <v>25828.442602011866</v>
      </c>
      <c r="AB388" s="78">
        <f t="shared" si="201"/>
        <v>28698.499143947432</v>
      </c>
      <c r="AC388" s="1">
        <f t="shared" si="202"/>
        <v>26319.183011450088</v>
      </c>
      <c r="AD388" s="78">
        <f t="shared" si="203"/>
        <v>29243.770627682432</v>
      </c>
      <c r="AE388" s="1">
        <f t="shared" si="204"/>
        <v>26871.885854690536</v>
      </c>
      <c r="AF388" s="78">
        <f t="shared" si="205"/>
        <v>29857.889810863759</v>
      </c>
      <c r="AG388" s="141">
        <f t="shared" si="181"/>
        <v>27221.220370801511</v>
      </c>
      <c r="AH388" s="140">
        <f t="shared" si="182"/>
        <v>30246.042378404985</v>
      </c>
      <c r="AI388" s="141">
        <f t="shared" si="183"/>
        <v>27765.644778217542</v>
      </c>
      <c r="AJ388" s="140">
        <f t="shared" si="184"/>
        <v>30850.963225973086</v>
      </c>
      <c r="AK388" s="141">
        <f t="shared" si="185"/>
        <v>28570.84847678585</v>
      </c>
      <c r="AL388" s="140">
        <f t="shared" si="186"/>
        <v>31745.641159526302</v>
      </c>
      <c r="AM388" s="141">
        <f t="shared" si="187"/>
        <v>30370.811930823358</v>
      </c>
      <c r="AN388" s="141">
        <f t="shared" si="188"/>
        <v>33745.616552576459</v>
      </c>
    </row>
    <row r="389" spans="1:40">
      <c r="A389" s="56">
        <v>180111</v>
      </c>
      <c r="B389" s="162">
        <v>18011000</v>
      </c>
      <c r="C389" s="44" t="s">
        <v>472</v>
      </c>
      <c r="D389" s="16">
        <v>11946.134244630342</v>
      </c>
      <c r="E389" s="17">
        <f t="shared" si="219"/>
        <v>12543.440956861859</v>
      </c>
      <c r="F389" s="57">
        <f>E389*1.045</f>
        <v>13107.895799920641</v>
      </c>
      <c r="G389" s="57">
        <f t="shared" si="220"/>
        <v>13564.050573757879</v>
      </c>
      <c r="H389" s="57">
        <f t="shared" si="221"/>
        <v>15071.287873513857</v>
      </c>
      <c r="I389" s="57">
        <f t="shared" si="222"/>
        <v>13930.27993924934</v>
      </c>
      <c r="J389" s="57">
        <f t="shared" si="222"/>
        <v>15478.212646098729</v>
      </c>
      <c r="K389" s="57">
        <f t="shared" si="223"/>
        <v>14264.606657791324</v>
      </c>
      <c r="L389" s="9">
        <f t="shared" si="223"/>
        <v>15849.689749605099</v>
      </c>
      <c r="M389" s="9">
        <f t="shared" si="224"/>
        <v>14649.751037551689</v>
      </c>
      <c r="N389" s="9">
        <f t="shared" si="224"/>
        <v>16277.631372844435</v>
      </c>
      <c r="O389" s="78">
        <f t="shared" si="225"/>
        <v>14972.045560377826</v>
      </c>
      <c r="P389" s="78">
        <f t="shared" si="225"/>
        <v>16635.739263047013</v>
      </c>
      <c r="Q389" s="1">
        <f t="shared" si="190"/>
        <v>15331.374653826895</v>
      </c>
      <c r="R389" s="78">
        <f t="shared" si="191"/>
        <v>17034.997005360143</v>
      </c>
      <c r="S389" s="1">
        <f t="shared" si="192"/>
        <v>15898.635516018488</v>
      </c>
      <c r="T389" s="78">
        <f t="shared" si="193"/>
        <v>17665.291894558468</v>
      </c>
      <c r="U389" s="1">
        <f t="shared" si="194"/>
        <v>16343.797310467007</v>
      </c>
      <c r="V389" s="99">
        <f t="shared" si="195"/>
        <v>18159.920067606105</v>
      </c>
      <c r="W389" s="78">
        <f t="shared" si="196"/>
        <v>16588.95427012401</v>
      </c>
      <c r="X389" s="78">
        <f t="shared" si="197"/>
        <v>18432.318868620194</v>
      </c>
      <c r="Y389" s="78">
        <f t="shared" si="198"/>
        <v>16854.377538445995</v>
      </c>
      <c r="Z389" s="78">
        <f t="shared" si="199"/>
        <v>18727.235970518119</v>
      </c>
      <c r="AA389" s="78">
        <f t="shared" si="200"/>
        <v>17174.610711676469</v>
      </c>
      <c r="AB389" s="78">
        <f t="shared" si="201"/>
        <v>19083.05345395796</v>
      </c>
      <c r="AC389" s="1">
        <f t="shared" si="202"/>
        <v>17500.928315198322</v>
      </c>
      <c r="AD389" s="78">
        <f t="shared" si="203"/>
        <v>19445.631469583161</v>
      </c>
      <c r="AE389" s="1">
        <f t="shared" si="204"/>
        <v>17868.447809817484</v>
      </c>
      <c r="AF389" s="78">
        <f t="shared" si="205"/>
        <v>19853.989730444406</v>
      </c>
      <c r="AG389" s="141">
        <f t="shared" si="181"/>
        <v>18100.73763134511</v>
      </c>
      <c r="AH389" s="140">
        <f t="shared" si="182"/>
        <v>20112.091596940179</v>
      </c>
      <c r="AI389" s="141">
        <f t="shared" si="183"/>
        <v>18462.752383972012</v>
      </c>
      <c r="AJ389" s="140">
        <f t="shared" si="184"/>
        <v>20514.333428878985</v>
      </c>
      <c r="AK389" s="141">
        <f t="shared" si="185"/>
        <v>18998.172203107199</v>
      </c>
      <c r="AL389" s="140">
        <f t="shared" si="186"/>
        <v>21109.249098316475</v>
      </c>
      <c r="AM389" s="141">
        <f t="shared" si="187"/>
        <v>20195.05705190295</v>
      </c>
      <c r="AN389" s="141">
        <f t="shared" si="188"/>
        <v>22439.131791510412</v>
      </c>
    </row>
    <row r="390" spans="1:40">
      <c r="B390" s="162">
        <v>18011004</v>
      </c>
      <c r="C390" s="44" t="s">
        <v>473</v>
      </c>
      <c r="D390" s="16">
        <v>11946.134244630342</v>
      </c>
      <c r="E390" s="17">
        <f t="shared" si="219"/>
        <v>12543.440956861859</v>
      </c>
      <c r="F390" s="57">
        <f>E390*1.045</f>
        <v>13107.895799920641</v>
      </c>
      <c r="G390" s="57">
        <f t="shared" si="220"/>
        <v>13564.050573757879</v>
      </c>
      <c r="H390" s="57">
        <f t="shared" si="221"/>
        <v>15071.287873513857</v>
      </c>
      <c r="I390" s="57">
        <f t="shared" si="222"/>
        <v>13930.27993924934</v>
      </c>
      <c r="J390" s="57">
        <f t="shared" si="222"/>
        <v>15478.212646098729</v>
      </c>
      <c r="K390" s="57">
        <f t="shared" si="223"/>
        <v>14264.606657791324</v>
      </c>
      <c r="L390" s="9">
        <f t="shared" si="223"/>
        <v>15849.689749605099</v>
      </c>
      <c r="M390" s="9">
        <f t="shared" si="224"/>
        <v>14649.751037551689</v>
      </c>
      <c r="N390" s="9">
        <f t="shared" si="224"/>
        <v>16277.631372844435</v>
      </c>
      <c r="O390" s="78">
        <f t="shared" si="225"/>
        <v>14972.045560377826</v>
      </c>
      <c r="P390" s="78">
        <f t="shared" si="225"/>
        <v>16635.739263047013</v>
      </c>
      <c r="Q390" s="1">
        <f t="shared" si="190"/>
        <v>15331.374653826895</v>
      </c>
      <c r="R390" s="78">
        <f t="shared" si="191"/>
        <v>17034.997005360143</v>
      </c>
      <c r="S390" s="1">
        <f t="shared" si="192"/>
        <v>15898.635516018488</v>
      </c>
      <c r="T390" s="78">
        <f t="shared" si="193"/>
        <v>17665.291894558468</v>
      </c>
      <c r="U390" s="1">
        <f t="shared" si="194"/>
        <v>16343.797310467007</v>
      </c>
      <c r="V390" s="99">
        <f t="shared" si="195"/>
        <v>18159.920067606105</v>
      </c>
      <c r="W390" s="78">
        <f t="shared" si="196"/>
        <v>16588.95427012401</v>
      </c>
      <c r="X390" s="78">
        <f t="shared" si="197"/>
        <v>18432.318868620194</v>
      </c>
      <c r="Y390" s="78">
        <f t="shared" si="198"/>
        <v>16854.377538445995</v>
      </c>
      <c r="Z390" s="78">
        <f t="shared" si="199"/>
        <v>18727.235970518119</v>
      </c>
      <c r="AA390" s="78">
        <f t="shared" si="200"/>
        <v>17174.610711676469</v>
      </c>
      <c r="AB390" s="78">
        <f t="shared" si="201"/>
        <v>19083.05345395796</v>
      </c>
      <c r="AC390" s="1">
        <f t="shared" si="202"/>
        <v>17500.928315198322</v>
      </c>
      <c r="AD390" s="78">
        <f t="shared" si="203"/>
        <v>19445.631469583161</v>
      </c>
      <c r="AE390" s="1">
        <f t="shared" si="204"/>
        <v>17868.447809817484</v>
      </c>
      <c r="AF390" s="78">
        <f t="shared" si="205"/>
        <v>19853.989730444406</v>
      </c>
      <c r="AG390" s="141">
        <f t="shared" si="181"/>
        <v>18100.73763134511</v>
      </c>
      <c r="AH390" s="140">
        <f t="shared" si="182"/>
        <v>20112.091596940179</v>
      </c>
      <c r="AI390" s="141">
        <f t="shared" si="183"/>
        <v>18462.752383972012</v>
      </c>
      <c r="AJ390" s="140">
        <f t="shared" si="184"/>
        <v>20514.333428878985</v>
      </c>
      <c r="AK390" s="141">
        <f t="shared" si="185"/>
        <v>18998.172203107199</v>
      </c>
      <c r="AL390" s="140">
        <f t="shared" si="186"/>
        <v>21109.249098316475</v>
      </c>
      <c r="AM390" s="141">
        <f t="shared" si="187"/>
        <v>20195.05705190295</v>
      </c>
      <c r="AN390" s="141">
        <f t="shared" si="188"/>
        <v>22439.131791510412</v>
      </c>
    </row>
    <row r="391" spans="1:40">
      <c r="A391" s="56">
        <v>180111</v>
      </c>
      <c r="B391" s="162">
        <v>18011100</v>
      </c>
      <c r="C391" s="44" t="s">
        <v>474</v>
      </c>
      <c r="D391" s="16">
        <v>9354.6503517440124</v>
      </c>
      <c r="E391" s="17">
        <f t="shared" si="219"/>
        <v>9822.3828693312134</v>
      </c>
      <c r="F391" s="57">
        <f>E391*1.045</f>
        <v>10264.390098451117</v>
      </c>
      <c r="G391" s="57">
        <f t="shared" si="220"/>
        <v>10621.590873877214</v>
      </c>
      <c r="H391" s="57">
        <f t="shared" si="221"/>
        <v>11801.862051782451</v>
      </c>
      <c r="I391" s="57">
        <f t="shared" si="222"/>
        <v>10908.373827471898</v>
      </c>
      <c r="J391" s="57">
        <f t="shared" si="222"/>
        <v>12120.512327180577</v>
      </c>
      <c r="K391" s="57">
        <f t="shared" si="223"/>
        <v>11170.174799331224</v>
      </c>
      <c r="L391" s="9">
        <f t="shared" si="223"/>
        <v>12411.404623032911</v>
      </c>
      <c r="M391" s="9">
        <f t="shared" si="224"/>
        <v>11471.769518913166</v>
      </c>
      <c r="N391" s="9">
        <f t="shared" si="224"/>
        <v>12746.512547854798</v>
      </c>
      <c r="O391" s="78">
        <f t="shared" si="225"/>
        <v>11724.148448329257</v>
      </c>
      <c r="P391" s="78">
        <f t="shared" si="225"/>
        <v>13026.935823907605</v>
      </c>
      <c r="Q391" s="1">
        <f t="shared" si="190"/>
        <v>12005.52801108916</v>
      </c>
      <c r="R391" s="78">
        <f t="shared" si="191"/>
        <v>13339.582283681388</v>
      </c>
      <c r="S391" s="1">
        <f t="shared" si="192"/>
        <v>12449.732547499458</v>
      </c>
      <c r="T391" s="78">
        <f t="shared" si="193"/>
        <v>13833.146828177598</v>
      </c>
      <c r="U391" s="1">
        <f t="shared" si="194"/>
        <v>12798.325058829443</v>
      </c>
      <c r="V391" s="99">
        <f t="shared" si="195"/>
        <v>14220.474939366572</v>
      </c>
      <c r="W391" s="78">
        <f t="shared" si="196"/>
        <v>12990.299934711884</v>
      </c>
      <c r="X391" s="78">
        <f t="shared" si="197"/>
        <v>14433.782063457069</v>
      </c>
      <c r="Y391" s="78">
        <f t="shared" si="198"/>
        <v>13198.144733667274</v>
      </c>
      <c r="Z391" s="78">
        <f t="shared" si="199"/>
        <v>14664.722576472383</v>
      </c>
      <c r="AA391" s="78">
        <f t="shared" si="200"/>
        <v>13448.909483606951</v>
      </c>
      <c r="AB391" s="78">
        <f t="shared" si="201"/>
        <v>14943.352305425356</v>
      </c>
      <c r="AC391" s="1">
        <f t="shared" si="202"/>
        <v>13704.438763795482</v>
      </c>
      <c r="AD391" s="78">
        <f t="shared" si="203"/>
        <v>15227.275999228437</v>
      </c>
      <c r="AE391" s="1">
        <f t="shared" si="204"/>
        <v>13992.231977835187</v>
      </c>
      <c r="AF391" s="78">
        <f t="shared" si="205"/>
        <v>15547.048795212233</v>
      </c>
      <c r="AG391" s="141">
        <f t="shared" si="181"/>
        <v>14174.130993547044</v>
      </c>
      <c r="AH391" s="140">
        <f t="shared" si="182"/>
        <v>15749.160429549991</v>
      </c>
      <c r="AI391" s="141">
        <f t="shared" si="183"/>
        <v>14457.613613417985</v>
      </c>
      <c r="AJ391" s="140">
        <f t="shared" si="184"/>
        <v>16064.143638140991</v>
      </c>
      <c r="AK391" s="141">
        <f t="shared" si="185"/>
        <v>14876.884408207105</v>
      </c>
      <c r="AL391" s="140">
        <f t="shared" si="186"/>
        <v>16530.00380364708</v>
      </c>
      <c r="AM391" s="141">
        <f t="shared" si="187"/>
        <v>15814.128125924151</v>
      </c>
      <c r="AN391" s="141">
        <f t="shared" si="188"/>
        <v>17571.394043276843</v>
      </c>
    </row>
    <row r="392" spans="1:40">
      <c r="A392" s="56">
        <v>180112</v>
      </c>
      <c r="B392" s="162">
        <v>18011200</v>
      </c>
      <c r="C392" s="44" t="s">
        <v>475</v>
      </c>
      <c r="D392" s="16">
        <v>25005.086565425856</v>
      </c>
      <c r="E392" s="17">
        <f t="shared" si="219"/>
        <v>26255.34089369715</v>
      </c>
      <c r="F392" s="57">
        <f>E392*1.045</f>
        <v>27436.831233913519</v>
      </c>
      <c r="G392" s="57">
        <f t="shared" si="220"/>
        <v>28391.632960853709</v>
      </c>
      <c r="H392" s="57">
        <f t="shared" si="221"/>
        <v>31546.511215463775</v>
      </c>
      <c r="I392" s="57">
        <f t="shared" si="222"/>
        <v>29158.207050796758</v>
      </c>
      <c r="J392" s="57">
        <f t="shared" si="222"/>
        <v>32398.267018281294</v>
      </c>
      <c r="K392" s="57">
        <f t="shared" si="223"/>
        <v>29858.00402001588</v>
      </c>
      <c r="L392" s="9">
        <f t="shared" si="223"/>
        <v>33175.825426720046</v>
      </c>
      <c r="M392" s="9">
        <f t="shared" si="224"/>
        <v>30664.170128556307</v>
      </c>
      <c r="N392" s="9">
        <f t="shared" si="224"/>
        <v>34071.572713241483</v>
      </c>
      <c r="O392" s="78">
        <f t="shared" si="225"/>
        <v>31338.781871384545</v>
      </c>
      <c r="P392" s="78">
        <f t="shared" si="225"/>
        <v>34821.147312932793</v>
      </c>
      <c r="Q392" s="1">
        <f t="shared" si="190"/>
        <v>32090.912636297773</v>
      </c>
      <c r="R392" s="78">
        <f t="shared" si="191"/>
        <v>35656.854848443181</v>
      </c>
      <c r="S392" s="1">
        <f t="shared" si="192"/>
        <v>33278.276403840791</v>
      </c>
      <c r="T392" s="78">
        <f t="shared" si="193"/>
        <v>36976.158477835575</v>
      </c>
      <c r="U392" s="1">
        <f t="shared" si="194"/>
        <v>34210.068143148332</v>
      </c>
      <c r="V392" s="99">
        <f t="shared" si="195"/>
        <v>38011.49091521497</v>
      </c>
      <c r="W392" s="78">
        <f t="shared" si="196"/>
        <v>34723.219165295552</v>
      </c>
      <c r="X392" s="78">
        <f t="shared" si="197"/>
        <v>38581.66327894319</v>
      </c>
      <c r="Y392" s="78">
        <f t="shared" si="198"/>
        <v>35278.790671940282</v>
      </c>
      <c r="Z392" s="78">
        <f t="shared" si="199"/>
        <v>39198.969891406283</v>
      </c>
      <c r="AA392" s="78">
        <f t="shared" si="200"/>
        <v>35949.087694707145</v>
      </c>
      <c r="AB392" s="78">
        <f t="shared" si="201"/>
        <v>39943.750319343002</v>
      </c>
      <c r="AC392" s="1">
        <f t="shared" si="202"/>
        <v>36632.120360906578</v>
      </c>
      <c r="AD392" s="78">
        <f t="shared" si="203"/>
        <v>40702.681575410512</v>
      </c>
      <c r="AE392" s="1">
        <f t="shared" si="204"/>
        <v>37401.394888485615</v>
      </c>
      <c r="AF392" s="78">
        <f t="shared" si="205"/>
        <v>41557.437888494132</v>
      </c>
      <c r="AG392" s="141">
        <f t="shared" si="181"/>
        <v>37887.613022035926</v>
      </c>
      <c r="AH392" s="140">
        <f t="shared" si="182"/>
        <v>42097.684581044552</v>
      </c>
      <c r="AI392" s="141">
        <f t="shared" si="183"/>
        <v>38645.365282476647</v>
      </c>
      <c r="AJ392" s="140">
        <f t="shared" si="184"/>
        <v>42939.638272665441</v>
      </c>
      <c r="AK392" s="141">
        <f t="shared" si="185"/>
        <v>39766.080875668464</v>
      </c>
      <c r="AL392" s="140">
        <f t="shared" si="186"/>
        <v>44184.887782572732</v>
      </c>
      <c r="AM392" s="141">
        <f t="shared" si="187"/>
        <v>42271.343970835573</v>
      </c>
      <c r="AN392" s="141">
        <f t="shared" si="188"/>
        <v>46968.535712874815</v>
      </c>
    </row>
    <row r="393" spans="1:40">
      <c r="A393" s="56">
        <v>180113</v>
      </c>
      <c r="B393" s="162">
        <v>18011300</v>
      </c>
      <c r="C393" s="44" t="s">
        <v>476</v>
      </c>
      <c r="D393" s="16">
        <v>23158.925719918625</v>
      </c>
      <c r="E393" s="17">
        <f t="shared" si="219"/>
        <v>24316.872005914556</v>
      </c>
      <c r="F393" s="57">
        <f>E393*1.045</f>
        <v>25411.13124618071</v>
      </c>
      <c r="G393" s="57">
        <f t="shared" si="220"/>
        <v>26295.438613547798</v>
      </c>
      <c r="H393" s="57">
        <f t="shared" si="221"/>
        <v>29217.387752285231</v>
      </c>
      <c r="I393" s="57">
        <f t="shared" si="222"/>
        <v>27005.415456113587</v>
      </c>
      <c r="J393" s="57">
        <f t="shared" si="222"/>
        <v>30006.25722159693</v>
      </c>
      <c r="K393" s="57">
        <f t="shared" si="223"/>
        <v>27653.545427060315</v>
      </c>
      <c r="L393" s="9">
        <f t="shared" si="223"/>
        <v>30726.407394915259</v>
      </c>
      <c r="M393" s="9">
        <f t="shared" si="224"/>
        <v>28400.191153590942</v>
      </c>
      <c r="N393" s="9">
        <f t="shared" si="224"/>
        <v>31556.020394577969</v>
      </c>
      <c r="O393" s="78">
        <f t="shared" si="225"/>
        <v>29024.995358969943</v>
      </c>
      <c r="P393" s="78">
        <f t="shared" si="225"/>
        <v>32250.252843258684</v>
      </c>
      <c r="Q393" s="1">
        <f t="shared" si="190"/>
        <v>29721.595247585221</v>
      </c>
      <c r="R393" s="78">
        <f t="shared" si="191"/>
        <v>33024.258911496894</v>
      </c>
      <c r="S393" s="1">
        <f t="shared" si="192"/>
        <v>30821.294271745872</v>
      </c>
      <c r="T393" s="78">
        <f t="shared" si="193"/>
        <v>34246.156491222275</v>
      </c>
      <c r="U393" s="1">
        <f t="shared" si="194"/>
        <v>31684.290511354757</v>
      </c>
      <c r="V393" s="99">
        <f t="shared" si="195"/>
        <v>35205.048872976498</v>
      </c>
      <c r="W393" s="78">
        <f t="shared" si="196"/>
        <v>32159.554869025076</v>
      </c>
      <c r="X393" s="78">
        <f t="shared" si="197"/>
        <v>35733.124606071142</v>
      </c>
      <c r="Y393" s="78">
        <f t="shared" si="198"/>
        <v>32674.10774692948</v>
      </c>
      <c r="Z393" s="78">
        <f t="shared" si="199"/>
        <v>36304.854599768281</v>
      </c>
      <c r="AA393" s="78">
        <f t="shared" si="200"/>
        <v>33294.915794121138</v>
      </c>
      <c r="AB393" s="78">
        <f t="shared" si="201"/>
        <v>36994.646837163877</v>
      </c>
      <c r="AC393" s="1">
        <f t="shared" si="202"/>
        <v>33927.519194209439</v>
      </c>
      <c r="AD393" s="78">
        <f t="shared" si="203"/>
        <v>37697.545127069985</v>
      </c>
      <c r="AE393" s="1">
        <f t="shared" si="204"/>
        <v>34639.997097287836</v>
      </c>
      <c r="AF393" s="78">
        <f t="shared" si="205"/>
        <v>38489.193574738449</v>
      </c>
      <c r="AG393" s="141">
        <f t="shared" ref="AG393:AG456" si="226">AE393*1.013</f>
        <v>35090.317059552573</v>
      </c>
      <c r="AH393" s="140">
        <f t="shared" ref="AH393:AH456" si="227">AF393*1.013</f>
        <v>38989.553091210044</v>
      </c>
      <c r="AI393" s="141">
        <f t="shared" ref="AI393:AI456" si="228">AG393*1.02</f>
        <v>35792.123400743629</v>
      </c>
      <c r="AJ393" s="140">
        <f t="shared" ref="AJ393:AJ456" si="229">AH393*1.02</f>
        <v>39769.344153034246</v>
      </c>
      <c r="AK393" s="141">
        <f t="shared" ref="AK393:AK456" si="230">AI393*1.029</f>
        <v>36830.094979365189</v>
      </c>
      <c r="AL393" s="140">
        <f t="shared" ref="AL393:AL456" si="231">AJ393*1.029</f>
        <v>40922.655133472239</v>
      </c>
      <c r="AM393" s="141">
        <f t="shared" ref="AM393:AM456" si="232">AK393*1.063</f>
        <v>39150.390963065191</v>
      </c>
      <c r="AN393" s="141">
        <f t="shared" ref="AN393:AN456" si="233">AL393*1.063</f>
        <v>43500.782406880986</v>
      </c>
    </row>
    <row r="394" spans="1:40">
      <c r="A394" s="56">
        <v>180114</v>
      </c>
      <c r="B394" s="162">
        <v>18011402</v>
      </c>
      <c r="C394" s="44" t="s">
        <v>477</v>
      </c>
      <c r="D394" s="16">
        <v>16401.449893128527</v>
      </c>
      <c r="E394" s="17">
        <f t="shared" si="219"/>
        <v>17221.522387784953</v>
      </c>
      <c r="F394" s="57">
        <f>E394*1.045</f>
        <v>17996.490895235274</v>
      </c>
      <c r="G394" s="57">
        <f t="shared" si="220"/>
        <v>18622.768778389462</v>
      </c>
      <c r="H394" s="57">
        <f t="shared" si="221"/>
        <v>20692.130845044099</v>
      </c>
      <c r="I394" s="57">
        <f t="shared" si="222"/>
        <v>19125.583535405975</v>
      </c>
      <c r="J394" s="57">
        <f t="shared" si="222"/>
        <v>21250.818377860287</v>
      </c>
      <c r="K394" s="57">
        <f t="shared" si="223"/>
        <v>19584.59754025572</v>
      </c>
      <c r="L394" s="9">
        <f t="shared" si="223"/>
        <v>21760.838018928935</v>
      </c>
      <c r="M394" s="9">
        <f t="shared" si="224"/>
        <v>20113.381673842621</v>
      </c>
      <c r="N394" s="9">
        <f t="shared" si="224"/>
        <v>22348.380645440015</v>
      </c>
      <c r="O394" s="78">
        <f t="shared" si="225"/>
        <v>20555.87607066716</v>
      </c>
      <c r="P394" s="78">
        <f t="shared" si="225"/>
        <v>22840.045019639696</v>
      </c>
      <c r="Q394" s="1">
        <f t="shared" si="190"/>
        <v>21049.217096363172</v>
      </c>
      <c r="R394" s="78">
        <f t="shared" si="191"/>
        <v>23388.206100111049</v>
      </c>
      <c r="S394" s="1">
        <f t="shared" si="192"/>
        <v>21828.038128928609</v>
      </c>
      <c r="T394" s="78">
        <f t="shared" si="193"/>
        <v>24253.569725815156</v>
      </c>
      <c r="U394" s="1">
        <f t="shared" si="194"/>
        <v>22439.223196538609</v>
      </c>
      <c r="V394" s="99">
        <f t="shared" si="195"/>
        <v>24932.66967813798</v>
      </c>
      <c r="W394" s="78">
        <f t="shared" si="196"/>
        <v>22775.811544486685</v>
      </c>
      <c r="X394" s="78">
        <f t="shared" si="197"/>
        <v>25306.659723310047</v>
      </c>
      <c r="Y394" s="78">
        <f t="shared" si="198"/>
        <v>23140.224529198473</v>
      </c>
      <c r="Z394" s="78">
        <f t="shared" si="199"/>
        <v>25711.566278883009</v>
      </c>
      <c r="AA394" s="78">
        <f t="shared" si="200"/>
        <v>23579.888795253242</v>
      </c>
      <c r="AB394" s="78">
        <f t="shared" si="201"/>
        <v>26200.086038181784</v>
      </c>
      <c r="AC394" s="1">
        <f t="shared" si="202"/>
        <v>24027.906682363053</v>
      </c>
      <c r="AD394" s="78">
        <f t="shared" si="203"/>
        <v>26697.887672907236</v>
      </c>
      <c r="AE394" s="1">
        <f t="shared" si="204"/>
        <v>24532.492722692674</v>
      </c>
      <c r="AF394" s="78">
        <f t="shared" si="205"/>
        <v>27258.543314038285</v>
      </c>
      <c r="AG394" s="141">
        <f t="shared" si="226"/>
        <v>24851.415128087676</v>
      </c>
      <c r="AH394" s="140">
        <f t="shared" si="227"/>
        <v>27612.90437712078</v>
      </c>
      <c r="AI394" s="141">
        <f t="shared" si="228"/>
        <v>25348.44343064943</v>
      </c>
      <c r="AJ394" s="140">
        <f t="shared" si="229"/>
        <v>28165.162464663197</v>
      </c>
      <c r="AK394" s="141">
        <f t="shared" si="230"/>
        <v>26083.54829013826</v>
      </c>
      <c r="AL394" s="140">
        <f t="shared" si="231"/>
        <v>28981.952176138428</v>
      </c>
      <c r="AM394" s="141">
        <f t="shared" si="232"/>
        <v>27726.81183241697</v>
      </c>
      <c r="AN394" s="141">
        <f t="shared" si="233"/>
        <v>30807.815163235147</v>
      </c>
    </row>
    <row r="395" spans="1:40">
      <c r="A395" s="56">
        <v>180114</v>
      </c>
      <c r="B395" s="162">
        <v>18011403</v>
      </c>
      <c r="C395" s="44" t="s">
        <v>478</v>
      </c>
      <c r="D395" s="16">
        <v>16401.449893128527</v>
      </c>
      <c r="E395" s="17">
        <f t="shared" si="219"/>
        <v>17221.522387784953</v>
      </c>
      <c r="F395" s="57">
        <f>E395*1.045</f>
        <v>17996.490895235274</v>
      </c>
      <c r="G395" s="57">
        <f t="shared" si="220"/>
        <v>18622.768778389462</v>
      </c>
      <c r="H395" s="57">
        <f t="shared" si="221"/>
        <v>20692.130845044099</v>
      </c>
      <c r="I395" s="57">
        <f t="shared" si="222"/>
        <v>19125.583535405975</v>
      </c>
      <c r="J395" s="57">
        <f t="shared" si="222"/>
        <v>21250.818377860287</v>
      </c>
      <c r="K395" s="57">
        <f t="shared" si="223"/>
        <v>19584.59754025572</v>
      </c>
      <c r="L395" s="9">
        <f t="shared" si="223"/>
        <v>21760.838018928935</v>
      </c>
      <c r="M395" s="9">
        <f t="shared" si="224"/>
        <v>20113.381673842621</v>
      </c>
      <c r="N395" s="9">
        <f t="shared" si="224"/>
        <v>22348.380645440015</v>
      </c>
      <c r="O395" s="78">
        <f t="shared" si="225"/>
        <v>20555.87607066716</v>
      </c>
      <c r="P395" s="78">
        <f t="shared" si="225"/>
        <v>22840.045019639696</v>
      </c>
      <c r="Q395" s="1">
        <f t="shared" si="190"/>
        <v>21049.217096363172</v>
      </c>
      <c r="R395" s="78">
        <f t="shared" si="191"/>
        <v>23388.206100111049</v>
      </c>
      <c r="S395" s="1">
        <f t="shared" si="192"/>
        <v>21828.038128928609</v>
      </c>
      <c r="T395" s="78">
        <f t="shared" si="193"/>
        <v>24253.569725815156</v>
      </c>
      <c r="U395" s="1">
        <f t="shared" si="194"/>
        <v>22439.223196538609</v>
      </c>
      <c r="V395" s="99">
        <f t="shared" si="195"/>
        <v>24932.66967813798</v>
      </c>
      <c r="W395" s="78">
        <f t="shared" si="196"/>
        <v>22775.811544486685</v>
      </c>
      <c r="X395" s="78">
        <f t="shared" si="197"/>
        <v>25306.659723310047</v>
      </c>
      <c r="Y395" s="78">
        <f t="shared" si="198"/>
        <v>23140.224529198473</v>
      </c>
      <c r="Z395" s="78">
        <f t="shared" si="199"/>
        <v>25711.566278883009</v>
      </c>
      <c r="AA395" s="78">
        <f t="shared" si="200"/>
        <v>23579.888795253242</v>
      </c>
      <c r="AB395" s="78">
        <f t="shared" si="201"/>
        <v>26200.086038181784</v>
      </c>
      <c r="AC395" s="1">
        <f t="shared" si="202"/>
        <v>24027.906682363053</v>
      </c>
      <c r="AD395" s="78">
        <f t="shared" si="203"/>
        <v>26697.887672907236</v>
      </c>
      <c r="AE395" s="1">
        <f t="shared" si="204"/>
        <v>24532.492722692674</v>
      </c>
      <c r="AF395" s="78">
        <f t="shared" si="205"/>
        <v>27258.543314038285</v>
      </c>
      <c r="AG395" s="141">
        <f t="shared" si="226"/>
        <v>24851.415128087676</v>
      </c>
      <c r="AH395" s="140">
        <f t="shared" si="227"/>
        <v>27612.90437712078</v>
      </c>
      <c r="AI395" s="141">
        <f t="shared" si="228"/>
        <v>25348.44343064943</v>
      </c>
      <c r="AJ395" s="140">
        <f t="shared" si="229"/>
        <v>28165.162464663197</v>
      </c>
      <c r="AK395" s="141">
        <f t="shared" si="230"/>
        <v>26083.54829013826</v>
      </c>
      <c r="AL395" s="140">
        <f t="shared" si="231"/>
        <v>28981.952176138428</v>
      </c>
      <c r="AM395" s="141">
        <f t="shared" si="232"/>
        <v>27726.81183241697</v>
      </c>
      <c r="AN395" s="141">
        <f t="shared" si="233"/>
        <v>30807.815163235147</v>
      </c>
    </row>
    <row r="396" spans="1:40">
      <c r="A396" s="56">
        <v>180114</v>
      </c>
      <c r="B396" s="162">
        <v>18011404</v>
      </c>
      <c r="C396" s="44" t="s">
        <v>479</v>
      </c>
      <c r="D396" s="16">
        <v>16401.449893128527</v>
      </c>
      <c r="E396" s="17">
        <f t="shared" ref="E396:E418" si="234">D396*1.05</f>
        <v>17221.522387784953</v>
      </c>
      <c r="F396" s="57">
        <f>E396*1.045</f>
        <v>17996.490895235274</v>
      </c>
      <c r="G396" s="57">
        <f t="shared" si="220"/>
        <v>18622.768778389462</v>
      </c>
      <c r="H396" s="57">
        <f t="shared" si="221"/>
        <v>20692.130845044099</v>
      </c>
      <c r="I396" s="57">
        <f t="shared" si="222"/>
        <v>19125.583535405975</v>
      </c>
      <c r="J396" s="57">
        <f t="shared" si="222"/>
        <v>21250.818377860287</v>
      </c>
      <c r="K396" s="57">
        <f t="shared" si="223"/>
        <v>19584.59754025572</v>
      </c>
      <c r="L396" s="9">
        <f t="shared" si="223"/>
        <v>21760.838018928935</v>
      </c>
      <c r="M396" s="9">
        <f t="shared" si="224"/>
        <v>20113.381673842621</v>
      </c>
      <c r="N396" s="9">
        <f t="shared" si="224"/>
        <v>22348.380645440015</v>
      </c>
      <c r="O396" s="78">
        <f t="shared" si="225"/>
        <v>20555.87607066716</v>
      </c>
      <c r="P396" s="78">
        <f t="shared" si="225"/>
        <v>22840.045019639696</v>
      </c>
      <c r="Q396" s="1">
        <f t="shared" si="190"/>
        <v>21049.217096363172</v>
      </c>
      <c r="R396" s="78">
        <f t="shared" si="191"/>
        <v>23388.206100111049</v>
      </c>
      <c r="S396" s="1">
        <f t="shared" si="192"/>
        <v>21828.038128928609</v>
      </c>
      <c r="T396" s="78">
        <f t="shared" si="193"/>
        <v>24253.569725815156</v>
      </c>
      <c r="U396" s="1">
        <f t="shared" si="194"/>
        <v>22439.223196538609</v>
      </c>
      <c r="V396" s="99">
        <f t="shared" si="195"/>
        <v>24932.66967813798</v>
      </c>
      <c r="W396" s="78">
        <f t="shared" si="196"/>
        <v>22775.811544486685</v>
      </c>
      <c r="X396" s="78">
        <f t="shared" si="197"/>
        <v>25306.659723310047</v>
      </c>
      <c r="Y396" s="78">
        <f t="shared" si="198"/>
        <v>23140.224529198473</v>
      </c>
      <c r="Z396" s="78">
        <f t="shared" si="199"/>
        <v>25711.566278883009</v>
      </c>
      <c r="AA396" s="78">
        <f t="shared" si="200"/>
        <v>23579.888795253242</v>
      </c>
      <c r="AB396" s="78">
        <f t="shared" si="201"/>
        <v>26200.086038181784</v>
      </c>
      <c r="AC396" s="1">
        <f t="shared" si="202"/>
        <v>24027.906682363053</v>
      </c>
      <c r="AD396" s="78">
        <f t="shared" si="203"/>
        <v>26697.887672907236</v>
      </c>
      <c r="AE396" s="1">
        <f t="shared" si="204"/>
        <v>24532.492722692674</v>
      </c>
      <c r="AF396" s="78">
        <f t="shared" si="205"/>
        <v>27258.543314038285</v>
      </c>
      <c r="AG396" s="141">
        <f t="shared" si="226"/>
        <v>24851.415128087676</v>
      </c>
      <c r="AH396" s="140">
        <f t="shared" si="227"/>
        <v>27612.90437712078</v>
      </c>
      <c r="AI396" s="141">
        <f t="shared" si="228"/>
        <v>25348.44343064943</v>
      </c>
      <c r="AJ396" s="140">
        <f t="shared" si="229"/>
        <v>28165.162464663197</v>
      </c>
      <c r="AK396" s="141">
        <f t="shared" si="230"/>
        <v>26083.54829013826</v>
      </c>
      <c r="AL396" s="140">
        <f t="shared" si="231"/>
        <v>28981.952176138428</v>
      </c>
      <c r="AM396" s="141">
        <f t="shared" si="232"/>
        <v>27726.81183241697</v>
      </c>
      <c r="AN396" s="141">
        <f t="shared" si="233"/>
        <v>30807.815163235147</v>
      </c>
    </row>
    <row r="397" spans="1:40">
      <c r="A397" s="56">
        <v>180116</v>
      </c>
      <c r="B397" s="162">
        <v>18011600</v>
      </c>
      <c r="C397" s="44" t="s">
        <v>480</v>
      </c>
      <c r="D397" s="16">
        <v>20556.959083749894</v>
      </c>
      <c r="E397" s="17">
        <f t="shared" si="234"/>
        <v>21584.807037937389</v>
      </c>
      <c r="F397" s="57">
        <f>E397*1.045</f>
        <v>22556.123354644569</v>
      </c>
      <c r="G397" s="57">
        <f t="shared" si="220"/>
        <v>23341.0764473862</v>
      </c>
      <c r="H397" s="57">
        <f t="shared" si="221"/>
        <v>25934.736862219757</v>
      </c>
      <c r="I397" s="57">
        <f t="shared" si="222"/>
        <v>23971.285511465627</v>
      </c>
      <c r="J397" s="57">
        <f t="shared" si="222"/>
        <v>26634.974757499687</v>
      </c>
      <c r="K397" s="57">
        <f t="shared" si="223"/>
        <v>24546.596363740802</v>
      </c>
      <c r="L397" s="9">
        <f t="shared" si="223"/>
        <v>27274.21415167968</v>
      </c>
      <c r="M397" s="9">
        <f t="shared" si="224"/>
        <v>25209.354465561802</v>
      </c>
      <c r="N397" s="9">
        <f t="shared" si="224"/>
        <v>28010.617933775029</v>
      </c>
      <c r="O397" s="78">
        <f t="shared" si="225"/>
        <v>25763.960263804162</v>
      </c>
      <c r="P397" s="78">
        <f t="shared" si="225"/>
        <v>28626.851528318079</v>
      </c>
      <c r="Q397" s="1">
        <f t="shared" ref="Q397:Q460" si="235">O397*1.024</f>
        <v>26382.295310135461</v>
      </c>
      <c r="R397" s="78">
        <f t="shared" ref="R397:R460" si="236">P397*1.024</f>
        <v>29313.895964997711</v>
      </c>
      <c r="S397" s="1">
        <f t="shared" ref="S397:S460" si="237">Q397*1.037</f>
        <v>27358.440236610473</v>
      </c>
      <c r="T397" s="78">
        <f t="shared" ref="T397:T460" si="238">R397*1.037</f>
        <v>30398.510115702626</v>
      </c>
      <c r="U397" s="1">
        <f t="shared" ref="U397:U460" si="239">S397*1.028</f>
        <v>28124.476563235567</v>
      </c>
      <c r="V397" s="99">
        <f t="shared" ref="V397:V460" si="240">T397*1.028</f>
        <v>31249.6683989423</v>
      </c>
      <c r="W397" s="78">
        <f t="shared" ref="W397:W460" si="241">U397*1.015</f>
        <v>28546.343711684098</v>
      </c>
      <c r="X397" s="78">
        <f t="shared" ref="X397:X460" si="242">V397*1.015</f>
        <v>31718.413424926432</v>
      </c>
      <c r="Y397" s="78">
        <f t="shared" ref="Y397:Y460" si="243">W397*1.016</f>
        <v>29003.085211071044</v>
      </c>
      <c r="Z397" s="78">
        <f t="shared" ref="Z397:Z460" si="244">X397*1.016</f>
        <v>32225.908039725255</v>
      </c>
      <c r="AA397" s="78">
        <f t="shared" ref="AA397:AA460" si="245">Y397*1.019</f>
        <v>29554.14383008139</v>
      </c>
      <c r="AB397" s="78">
        <f t="shared" ref="AB397:AB460" si="246">Z397*1.019</f>
        <v>32838.200292480033</v>
      </c>
      <c r="AC397" s="1">
        <f t="shared" ref="AC397:AC460" si="247">AA397*1.019</f>
        <v>30115.672562852935</v>
      </c>
      <c r="AD397" s="78">
        <f t="shared" ref="AD397:AD460" si="248">AB397*1.019</f>
        <v>33462.126098037152</v>
      </c>
      <c r="AE397" s="1">
        <f t="shared" ref="AE397:AE460" si="249">AC397*1.021</f>
        <v>30748.101686672842</v>
      </c>
      <c r="AF397" s="78">
        <f t="shared" ref="AF397:AF460" si="250">AD397*1.021</f>
        <v>34164.830746095926</v>
      </c>
      <c r="AG397" s="141">
        <f t="shared" si="226"/>
        <v>31147.827008599586</v>
      </c>
      <c r="AH397" s="140">
        <f t="shared" si="227"/>
        <v>34608.973545795168</v>
      </c>
      <c r="AI397" s="141">
        <f t="shared" si="228"/>
        <v>31770.783548771578</v>
      </c>
      <c r="AJ397" s="140">
        <f t="shared" si="229"/>
        <v>35301.153016711076</v>
      </c>
      <c r="AK397" s="141">
        <f t="shared" si="230"/>
        <v>32692.136271685951</v>
      </c>
      <c r="AL397" s="140">
        <f t="shared" si="231"/>
        <v>36324.886454195694</v>
      </c>
      <c r="AM397" s="141">
        <f t="shared" si="232"/>
        <v>34751.740856802164</v>
      </c>
      <c r="AN397" s="141">
        <f t="shared" si="233"/>
        <v>38613.354300810017</v>
      </c>
    </row>
    <row r="398" spans="1:40">
      <c r="A398" s="56">
        <v>180118</v>
      </c>
      <c r="B398" s="162">
        <v>18011800</v>
      </c>
      <c r="C398" s="44" t="s">
        <v>481</v>
      </c>
      <c r="D398" s="16">
        <v>19017.343602515317</v>
      </c>
      <c r="E398" s="17">
        <f t="shared" si="234"/>
        <v>19968.210782641083</v>
      </c>
      <c r="F398" s="57">
        <f>E398*1.045</f>
        <v>20866.780267859929</v>
      </c>
      <c r="G398" s="57">
        <f t="shared" si="220"/>
        <v>21592.944221181453</v>
      </c>
      <c r="H398" s="57">
        <f t="shared" si="221"/>
        <v>23992.35218303914</v>
      </c>
      <c r="I398" s="57">
        <f t="shared" si="222"/>
        <v>22175.953715153351</v>
      </c>
      <c r="J398" s="57">
        <f t="shared" si="222"/>
        <v>24640.145691981194</v>
      </c>
      <c r="K398" s="57">
        <f t="shared" si="223"/>
        <v>22708.176604317032</v>
      </c>
      <c r="L398" s="9">
        <f t="shared" si="223"/>
        <v>25231.509188588741</v>
      </c>
      <c r="M398" s="9">
        <f t="shared" si="224"/>
        <v>23321.297372633591</v>
      </c>
      <c r="N398" s="9">
        <f t="shared" si="224"/>
        <v>25912.759936680635</v>
      </c>
      <c r="O398" s="78">
        <f t="shared" si="225"/>
        <v>23834.365914831531</v>
      </c>
      <c r="P398" s="78">
        <f t="shared" si="225"/>
        <v>26482.840655287611</v>
      </c>
      <c r="Q398" s="1">
        <f t="shared" si="235"/>
        <v>24406.39069678749</v>
      </c>
      <c r="R398" s="78">
        <f t="shared" si="236"/>
        <v>27118.428831014513</v>
      </c>
      <c r="S398" s="1">
        <f t="shared" si="237"/>
        <v>25309.427152568624</v>
      </c>
      <c r="T398" s="78">
        <f t="shared" si="238"/>
        <v>28121.810697762048</v>
      </c>
      <c r="U398" s="1">
        <f t="shared" si="239"/>
        <v>26018.091112840546</v>
      </c>
      <c r="V398" s="99">
        <f t="shared" si="240"/>
        <v>28909.221397299385</v>
      </c>
      <c r="W398" s="78">
        <f t="shared" si="241"/>
        <v>26408.362479533153</v>
      </c>
      <c r="X398" s="78">
        <f t="shared" si="242"/>
        <v>29342.859718258875</v>
      </c>
      <c r="Y398" s="78">
        <f t="shared" si="243"/>
        <v>26830.896279205685</v>
      </c>
      <c r="Z398" s="78">
        <f t="shared" si="244"/>
        <v>29812.345473751018</v>
      </c>
      <c r="AA398" s="78">
        <f t="shared" si="245"/>
        <v>27340.68330851059</v>
      </c>
      <c r="AB398" s="78">
        <f t="shared" si="246"/>
        <v>30378.780037752284</v>
      </c>
      <c r="AC398" s="1">
        <f t="shared" si="247"/>
        <v>27860.156291372288</v>
      </c>
      <c r="AD398" s="78">
        <f t="shared" si="248"/>
        <v>30955.976858469574</v>
      </c>
      <c r="AE398" s="1">
        <f t="shared" si="249"/>
        <v>28445.219573491104</v>
      </c>
      <c r="AF398" s="78">
        <f t="shared" si="250"/>
        <v>31606.052372497434</v>
      </c>
      <c r="AG398" s="141">
        <f t="shared" si="226"/>
        <v>28815.007427946486</v>
      </c>
      <c r="AH398" s="140">
        <f t="shared" si="227"/>
        <v>32016.931053339897</v>
      </c>
      <c r="AI398" s="141">
        <f t="shared" si="228"/>
        <v>29391.307576505416</v>
      </c>
      <c r="AJ398" s="140">
        <f t="shared" si="229"/>
        <v>32657.269674406696</v>
      </c>
      <c r="AK398" s="141">
        <f t="shared" si="230"/>
        <v>30243.65549622407</v>
      </c>
      <c r="AL398" s="140">
        <f t="shared" si="231"/>
        <v>33604.330494964488</v>
      </c>
      <c r="AM398" s="141">
        <f t="shared" si="232"/>
        <v>32149.005792486183</v>
      </c>
      <c r="AN398" s="141">
        <f t="shared" si="233"/>
        <v>35721.403316147247</v>
      </c>
    </row>
    <row r="399" spans="1:40">
      <c r="A399" s="56">
        <v>180118</v>
      </c>
      <c r="B399" s="162">
        <v>18011803</v>
      </c>
      <c r="C399" s="44" t="s">
        <v>482</v>
      </c>
      <c r="D399" s="16">
        <v>19017.343602515317</v>
      </c>
      <c r="E399" s="17">
        <f t="shared" si="234"/>
        <v>19968.210782641083</v>
      </c>
      <c r="F399" s="57">
        <f>E399*1.045</f>
        <v>20866.780267859929</v>
      </c>
      <c r="G399" s="57">
        <f t="shared" si="220"/>
        <v>21592.944221181453</v>
      </c>
      <c r="H399" s="57">
        <f t="shared" si="221"/>
        <v>23992.35218303914</v>
      </c>
      <c r="I399" s="57">
        <f t="shared" si="222"/>
        <v>22175.953715153351</v>
      </c>
      <c r="J399" s="57">
        <f t="shared" si="222"/>
        <v>24640.145691981194</v>
      </c>
      <c r="K399" s="57">
        <f t="shared" si="223"/>
        <v>22708.176604317032</v>
      </c>
      <c r="L399" s="9">
        <f t="shared" si="223"/>
        <v>25231.509188588741</v>
      </c>
      <c r="M399" s="9">
        <f t="shared" si="224"/>
        <v>23321.297372633591</v>
      </c>
      <c r="N399" s="9">
        <f t="shared" si="224"/>
        <v>25912.759936680635</v>
      </c>
      <c r="O399" s="78">
        <f t="shared" si="225"/>
        <v>23834.365914831531</v>
      </c>
      <c r="P399" s="78">
        <f t="shared" si="225"/>
        <v>26482.840655287611</v>
      </c>
      <c r="Q399" s="1">
        <f t="shared" si="235"/>
        <v>24406.39069678749</v>
      </c>
      <c r="R399" s="78">
        <f t="shared" si="236"/>
        <v>27118.428831014513</v>
      </c>
      <c r="S399" s="1">
        <f t="shared" si="237"/>
        <v>25309.427152568624</v>
      </c>
      <c r="T399" s="78">
        <f t="shared" si="238"/>
        <v>28121.810697762048</v>
      </c>
      <c r="U399" s="1">
        <f t="shared" si="239"/>
        <v>26018.091112840546</v>
      </c>
      <c r="V399" s="99">
        <f t="shared" si="240"/>
        <v>28909.221397299385</v>
      </c>
      <c r="W399" s="78">
        <f t="shared" si="241"/>
        <v>26408.362479533153</v>
      </c>
      <c r="X399" s="78">
        <f t="shared" si="242"/>
        <v>29342.859718258875</v>
      </c>
      <c r="Y399" s="78">
        <f t="shared" si="243"/>
        <v>26830.896279205685</v>
      </c>
      <c r="Z399" s="78">
        <f t="shared" si="244"/>
        <v>29812.345473751018</v>
      </c>
      <c r="AA399" s="78">
        <f t="shared" si="245"/>
        <v>27340.68330851059</v>
      </c>
      <c r="AB399" s="78">
        <f t="shared" si="246"/>
        <v>30378.780037752284</v>
      </c>
      <c r="AC399" s="1">
        <f t="shared" si="247"/>
        <v>27860.156291372288</v>
      </c>
      <c r="AD399" s="78">
        <f t="shared" si="248"/>
        <v>30955.976858469574</v>
      </c>
      <c r="AE399" s="1">
        <f t="shared" si="249"/>
        <v>28445.219573491104</v>
      </c>
      <c r="AF399" s="78">
        <f t="shared" si="250"/>
        <v>31606.052372497434</v>
      </c>
      <c r="AG399" s="141">
        <f t="shared" si="226"/>
        <v>28815.007427946486</v>
      </c>
      <c r="AH399" s="140">
        <f t="shared" si="227"/>
        <v>32016.931053339897</v>
      </c>
      <c r="AI399" s="141">
        <f t="shared" si="228"/>
        <v>29391.307576505416</v>
      </c>
      <c r="AJ399" s="140">
        <f t="shared" si="229"/>
        <v>32657.269674406696</v>
      </c>
      <c r="AK399" s="141">
        <f t="shared" si="230"/>
        <v>30243.65549622407</v>
      </c>
      <c r="AL399" s="140">
        <f t="shared" si="231"/>
        <v>33604.330494964488</v>
      </c>
      <c r="AM399" s="141">
        <f t="shared" si="232"/>
        <v>32149.005792486183</v>
      </c>
      <c r="AN399" s="141">
        <f t="shared" si="233"/>
        <v>35721.403316147247</v>
      </c>
    </row>
    <row r="400" spans="1:40">
      <c r="B400" s="162">
        <v>18060102</v>
      </c>
      <c r="C400" s="44" t="s">
        <v>483</v>
      </c>
      <c r="D400" s="16">
        <v>59661.784624438769</v>
      </c>
      <c r="E400" s="17">
        <f t="shared" si="234"/>
        <v>62644.873855660713</v>
      </c>
      <c r="F400" s="57">
        <f>E400*1.045</f>
        <v>65463.89317916544</v>
      </c>
      <c r="G400" s="57">
        <f t="shared" si="220"/>
        <v>67742.03666180039</v>
      </c>
      <c r="H400" s="57">
        <f t="shared" si="221"/>
        <v>75269.531775659663</v>
      </c>
      <c r="I400" s="57">
        <f t="shared" si="222"/>
        <v>69571.071651669001</v>
      </c>
      <c r="J400" s="57">
        <f t="shared" si="222"/>
        <v>77301.809133602466</v>
      </c>
      <c r="K400" s="57">
        <f t="shared" si="223"/>
        <v>71240.777371309057</v>
      </c>
      <c r="L400" s="9">
        <f t="shared" si="223"/>
        <v>79157.05255280892</v>
      </c>
      <c r="M400" s="9">
        <f t="shared" si="224"/>
        <v>73164.2783603344</v>
      </c>
      <c r="N400" s="9">
        <f t="shared" si="224"/>
        <v>81294.292971734758</v>
      </c>
      <c r="O400" s="78">
        <f t="shared" si="225"/>
        <v>74773.892484261756</v>
      </c>
      <c r="P400" s="78">
        <f t="shared" si="225"/>
        <v>83082.767417112918</v>
      </c>
      <c r="Q400" s="1">
        <f t="shared" si="235"/>
        <v>76568.465903884033</v>
      </c>
      <c r="R400" s="78">
        <f t="shared" si="236"/>
        <v>85076.753835123629</v>
      </c>
      <c r="S400" s="1">
        <f t="shared" si="237"/>
        <v>79401.499142327739</v>
      </c>
      <c r="T400" s="78">
        <f t="shared" si="238"/>
        <v>88224.593727023195</v>
      </c>
      <c r="U400" s="1">
        <f t="shared" si="239"/>
        <v>81624.741118312915</v>
      </c>
      <c r="V400" s="99">
        <f t="shared" si="240"/>
        <v>90694.882351379842</v>
      </c>
      <c r="W400" s="78">
        <f t="shared" si="241"/>
        <v>82849.112235087596</v>
      </c>
      <c r="X400" s="78">
        <f t="shared" si="242"/>
        <v>92055.305586650531</v>
      </c>
      <c r="Y400" s="78">
        <f t="shared" si="243"/>
        <v>84174.698030849002</v>
      </c>
      <c r="Z400" s="78">
        <f t="shared" si="244"/>
        <v>93528.190476036936</v>
      </c>
      <c r="AA400" s="78">
        <f t="shared" si="245"/>
        <v>85774.017293435129</v>
      </c>
      <c r="AB400" s="78">
        <f t="shared" si="246"/>
        <v>95305.226095081627</v>
      </c>
      <c r="AC400" s="1">
        <f t="shared" si="247"/>
        <v>87403.723622010395</v>
      </c>
      <c r="AD400" s="78">
        <f t="shared" si="248"/>
        <v>97116.025390888171</v>
      </c>
      <c r="AE400" s="1">
        <f t="shared" si="249"/>
        <v>89239.201818072601</v>
      </c>
      <c r="AF400" s="78">
        <f t="shared" si="250"/>
        <v>99155.461924096817</v>
      </c>
      <c r="AG400" s="141">
        <f t="shared" si="226"/>
        <v>90399.311441707541</v>
      </c>
      <c r="AH400" s="140">
        <f t="shared" si="227"/>
        <v>100444.48292911006</v>
      </c>
      <c r="AI400" s="141">
        <f t="shared" si="228"/>
        <v>92207.297670541695</v>
      </c>
      <c r="AJ400" s="140">
        <f t="shared" si="229"/>
        <v>102453.37258769227</v>
      </c>
      <c r="AK400" s="141">
        <f t="shared" si="230"/>
        <v>94881.3093029874</v>
      </c>
      <c r="AL400" s="140">
        <f t="shared" si="231"/>
        <v>105424.52039273534</v>
      </c>
      <c r="AM400" s="141">
        <f t="shared" si="232"/>
        <v>100858.8317890756</v>
      </c>
      <c r="AN400" s="141">
        <f t="shared" si="233"/>
        <v>112066.26517747766</v>
      </c>
    </row>
    <row r="401" spans="2:40">
      <c r="B401" s="162">
        <v>18060103</v>
      </c>
      <c r="C401" s="44" t="s">
        <v>484</v>
      </c>
      <c r="D401" s="16">
        <v>59661.784624438769</v>
      </c>
      <c r="E401" s="17">
        <f t="shared" si="234"/>
        <v>62644.873855660713</v>
      </c>
      <c r="F401" s="57">
        <f>E401*1.045</f>
        <v>65463.89317916544</v>
      </c>
      <c r="G401" s="57">
        <f t="shared" si="220"/>
        <v>67742.03666180039</v>
      </c>
      <c r="H401" s="57">
        <f t="shared" si="221"/>
        <v>75269.531775659663</v>
      </c>
      <c r="I401" s="57">
        <f t="shared" si="222"/>
        <v>69571.071651669001</v>
      </c>
      <c r="J401" s="57">
        <f t="shared" si="222"/>
        <v>77301.809133602466</v>
      </c>
      <c r="K401" s="57">
        <f t="shared" si="223"/>
        <v>71240.777371309057</v>
      </c>
      <c r="L401" s="9">
        <f t="shared" si="223"/>
        <v>79157.05255280892</v>
      </c>
      <c r="M401" s="9">
        <f t="shared" si="224"/>
        <v>73164.2783603344</v>
      </c>
      <c r="N401" s="9">
        <f t="shared" si="224"/>
        <v>81294.292971734758</v>
      </c>
      <c r="O401" s="78">
        <f t="shared" si="225"/>
        <v>74773.892484261756</v>
      </c>
      <c r="P401" s="78">
        <f t="shared" si="225"/>
        <v>83082.767417112918</v>
      </c>
      <c r="Q401" s="1">
        <f t="shared" si="235"/>
        <v>76568.465903884033</v>
      </c>
      <c r="R401" s="78">
        <f t="shared" si="236"/>
        <v>85076.753835123629</v>
      </c>
      <c r="S401" s="1">
        <f t="shared" si="237"/>
        <v>79401.499142327739</v>
      </c>
      <c r="T401" s="78">
        <f t="shared" si="238"/>
        <v>88224.593727023195</v>
      </c>
      <c r="U401" s="1">
        <f t="shared" si="239"/>
        <v>81624.741118312915</v>
      </c>
      <c r="V401" s="99">
        <f t="shared" si="240"/>
        <v>90694.882351379842</v>
      </c>
      <c r="W401" s="78">
        <f t="shared" si="241"/>
        <v>82849.112235087596</v>
      </c>
      <c r="X401" s="78">
        <f t="shared" si="242"/>
        <v>92055.305586650531</v>
      </c>
      <c r="Y401" s="78">
        <f t="shared" si="243"/>
        <v>84174.698030849002</v>
      </c>
      <c r="Z401" s="78">
        <f t="shared" si="244"/>
        <v>93528.190476036936</v>
      </c>
      <c r="AA401" s="78">
        <f t="shared" si="245"/>
        <v>85774.017293435129</v>
      </c>
      <c r="AB401" s="78">
        <f t="shared" si="246"/>
        <v>95305.226095081627</v>
      </c>
      <c r="AC401" s="1">
        <f t="shared" si="247"/>
        <v>87403.723622010395</v>
      </c>
      <c r="AD401" s="78">
        <f t="shared" si="248"/>
        <v>97116.025390888171</v>
      </c>
      <c r="AE401" s="1">
        <f t="shared" si="249"/>
        <v>89239.201818072601</v>
      </c>
      <c r="AF401" s="78">
        <f t="shared" si="250"/>
        <v>99155.461924096817</v>
      </c>
      <c r="AG401" s="141">
        <f t="shared" si="226"/>
        <v>90399.311441707541</v>
      </c>
      <c r="AH401" s="140">
        <f t="shared" si="227"/>
        <v>100444.48292911006</v>
      </c>
      <c r="AI401" s="141">
        <f t="shared" si="228"/>
        <v>92207.297670541695</v>
      </c>
      <c r="AJ401" s="140">
        <f t="shared" si="229"/>
        <v>102453.37258769227</v>
      </c>
      <c r="AK401" s="141">
        <f t="shared" si="230"/>
        <v>94881.3093029874</v>
      </c>
      <c r="AL401" s="140">
        <f t="shared" si="231"/>
        <v>105424.52039273534</v>
      </c>
      <c r="AM401" s="141">
        <f t="shared" si="232"/>
        <v>100858.8317890756</v>
      </c>
      <c r="AN401" s="141">
        <f t="shared" si="233"/>
        <v>112066.26517747766</v>
      </c>
    </row>
    <row r="402" spans="2:40">
      <c r="B402" s="162">
        <v>68010334</v>
      </c>
      <c r="C402" s="44" t="s">
        <v>485</v>
      </c>
      <c r="D402" s="16">
        <v>35791.080635644736</v>
      </c>
      <c r="E402" s="17">
        <f t="shared" si="234"/>
        <v>37580.634667426973</v>
      </c>
      <c r="F402" s="57">
        <f>E402*1.045</f>
        <v>39271.763227461182</v>
      </c>
      <c r="G402" s="57">
        <f t="shared" si="220"/>
        <v>40638.420587776833</v>
      </c>
      <c r="H402" s="57">
        <f t="shared" si="221"/>
        <v>45154.161883490597</v>
      </c>
      <c r="I402" s="57">
        <f t="shared" si="222"/>
        <v>41735.657943646802</v>
      </c>
      <c r="J402" s="57">
        <f t="shared" si="222"/>
        <v>46373.324254344836</v>
      </c>
      <c r="K402" s="57">
        <f t="shared" si="223"/>
        <v>42737.313734294323</v>
      </c>
      <c r="L402" s="9">
        <f t="shared" si="223"/>
        <v>47486.284036449113</v>
      </c>
      <c r="M402" s="9">
        <f t="shared" si="224"/>
        <v>43891.221205120266</v>
      </c>
      <c r="N402" s="9">
        <f t="shared" si="224"/>
        <v>48768.413705433231</v>
      </c>
      <c r="O402" s="78">
        <f t="shared" si="225"/>
        <v>44856.82807163291</v>
      </c>
      <c r="P402" s="78">
        <f t="shared" si="225"/>
        <v>49841.31880695276</v>
      </c>
      <c r="Q402" s="1">
        <f t="shared" si="235"/>
        <v>45933.391945352101</v>
      </c>
      <c r="R402" s="78">
        <f t="shared" si="236"/>
        <v>51037.51045831963</v>
      </c>
      <c r="S402" s="1">
        <f t="shared" si="237"/>
        <v>47632.927447330127</v>
      </c>
      <c r="T402" s="78">
        <f t="shared" si="238"/>
        <v>52925.898345277456</v>
      </c>
      <c r="U402" s="1">
        <f t="shared" si="239"/>
        <v>48966.649415855369</v>
      </c>
      <c r="V402" s="99">
        <f t="shared" si="240"/>
        <v>54407.823498945225</v>
      </c>
      <c r="W402" s="78">
        <f t="shared" si="241"/>
        <v>49701.149157093198</v>
      </c>
      <c r="X402" s="78">
        <f t="shared" si="242"/>
        <v>55223.940851429397</v>
      </c>
      <c r="Y402" s="78">
        <f t="shared" si="243"/>
        <v>50496.367543606691</v>
      </c>
      <c r="Z402" s="78">
        <f t="shared" si="244"/>
        <v>56107.523905052265</v>
      </c>
      <c r="AA402" s="78">
        <f t="shared" si="245"/>
        <v>51455.798526935214</v>
      </c>
      <c r="AB402" s="78">
        <f t="shared" si="246"/>
        <v>57173.566859248254</v>
      </c>
      <c r="AC402" s="1">
        <f t="shared" si="247"/>
        <v>52433.458698946975</v>
      </c>
      <c r="AD402" s="78">
        <f t="shared" si="248"/>
        <v>58259.864629573967</v>
      </c>
      <c r="AE402" s="1">
        <f t="shared" si="249"/>
        <v>53534.561331624856</v>
      </c>
      <c r="AF402" s="78">
        <f t="shared" si="250"/>
        <v>59483.321786795015</v>
      </c>
      <c r="AG402" s="141">
        <f t="shared" si="226"/>
        <v>54230.510628935976</v>
      </c>
      <c r="AH402" s="140">
        <f t="shared" si="227"/>
        <v>60256.604970023342</v>
      </c>
      <c r="AI402" s="141">
        <f t="shared" si="228"/>
        <v>55315.120841514698</v>
      </c>
      <c r="AJ402" s="140">
        <f t="shared" si="229"/>
        <v>61461.737069423812</v>
      </c>
      <c r="AK402" s="141">
        <f t="shared" si="230"/>
        <v>56919.259345918617</v>
      </c>
      <c r="AL402" s="140">
        <f t="shared" si="231"/>
        <v>63244.127444437101</v>
      </c>
      <c r="AM402" s="141">
        <f t="shared" si="232"/>
        <v>60505.172684711484</v>
      </c>
      <c r="AN402" s="141">
        <f t="shared" si="233"/>
        <v>67228.507473436635</v>
      </c>
    </row>
    <row r="403" spans="2:40">
      <c r="B403" s="162">
        <v>68010402</v>
      </c>
      <c r="C403" s="44" t="s">
        <v>486</v>
      </c>
      <c r="D403" s="16">
        <v>35791.080635644736</v>
      </c>
      <c r="E403" s="17">
        <f t="shared" si="234"/>
        <v>37580.634667426973</v>
      </c>
      <c r="F403" s="57">
        <f>E403*1.045</f>
        <v>39271.763227461182</v>
      </c>
      <c r="G403" s="57">
        <f t="shared" si="220"/>
        <v>40638.420587776833</v>
      </c>
      <c r="H403" s="57">
        <f t="shared" si="221"/>
        <v>45154.161883490597</v>
      </c>
      <c r="I403" s="57">
        <f t="shared" si="222"/>
        <v>41735.657943646802</v>
      </c>
      <c r="J403" s="57">
        <f t="shared" si="222"/>
        <v>46373.324254344836</v>
      </c>
      <c r="K403" s="57">
        <f t="shared" si="223"/>
        <v>42737.313734294323</v>
      </c>
      <c r="L403" s="9">
        <f t="shared" si="223"/>
        <v>47486.284036449113</v>
      </c>
      <c r="M403" s="9">
        <f t="shared" si="224"/>
        <v>43891.221205120266</v>
      </c>
      <c r="N403" s="9">
        <f t="shared" si="224"/>
        <v>48768.413705433231</v>
      </c>
      <c r="O403" s="78">
        <f t="shared" si="225"/>
        <v>44856.82807163291</v>
      </c>
      <c r="P403" s="78">
        <f t="shared" si="225"/>
        <v>49841.31880695276</v>
      </c>
      <c r="Q403" s="1">
        <f t="shared" si="235"/>
        <v>45933.391945352101</v>
      </c>
      <c r="R403" s="78">
        <f t="shared" si="236"/>
        <v>51037.51045831963</v>
      </c>
      <c r="S403" s="1">
        <f t="shared" si="237"/>
        <v>47632.927447330127</v>
      </c>
      <c r="T403" s="78">
        <f t="shared" si="238"/>
        <v>52925.898345277456</v>
      </c>
      <c r="U403" s="1">
        <f t="shared" si="239"/>
        <v>48966.649415855369</v>
      </c>
      <c r="V403" s="99">
        <f t="shared" si="240"/>
        <v>54407.823498945225</v>
      </c>
      <c r="W403" s="78">
        <f t="shared" si="241"/>
        <v>49701.149157093198</v>
      </c>
      <c r="X403" s="78">
        <f t="shared" si="242"/>
        <v>55223.940851429397</v>
      </c>
      <c r="Y403" s="78">
        <f t="shared" si="243"/>
        <v>50496.367543606691</v>
      </c>
      <c r="Z403" s="78">
        <f t="shared" si="244"/>
        <v>56107.523905052265</v>
      </c>
      <c r="AA403" s="78">
        <f t="shared" si="245"/>
        <v>51455.798526935214</v>
      </c>
      <c r="AB403" s="78">
        <f t="shared" si="246"/>
        <v>57173.566859248254</v>
      </c>
      <c r="AC403" s="1">
        <f t="shared" si="247"/>
        <v>52433.458698946975</v>
      </c>
      <c r="AD403" s="78">
        <f t="shared" si="248"/>
        <v>58259.864629573967</v>
      </c>
      <c r="AE403" s="1">
        <f t="shared" si="249"/>
        <v>53534.561331624856</v>
      </c>
      <c r="AF403" s="78">
        <f t="shared" si="250"/>
        <v>59483.321786795015</v>
      </c>
      <c r="AG403" s="141">
        <f t="shared" si="226"/>
        <v>54230.510628935976</v>
      </c>
      <c r="AH403" s="140">
        <f t="shared" si="227"/>
        <v>60256.604970023342</v>
      </c>
      <c r="AI403" s="141">
        <f t="shared" si="228"/>
        <v>55315.120841514698</v>
      </c>
      <c r="AJ403" s="140">
        <f t="shared" si="229"/>
        <v>61461.737069423812</v>
      </c>
      <c r="AK403" s="141">
        <f t="shared" si="230"/>
        <v>56919.259345918617</v>
      </c>
      <c r="AL403" s="140">
        <f t="shared" si="231"/>
        <v>63244.127444437101</v>
      </c>
      <c r="AM403" s="141">
        <f t="shared" si="232"/>
        <v>60505.172684711484</v>
      </c>
      <c r="AN403" s="141">
        <f t="shared" si="233"/>
        <v>67228.507473436635</v>
      </c>
    </row>
    <row r="404" spans="2:40">
      <c r="B404" s="162">
        <v>68010404</v>
      </c>
      <c r="C404" s="44" t="s">
        <v>487</v>
      </c>
      <c r="D404" s="16">
        <v>35791.080635644736</v>
      </c>
      <c r="E404" s="17">
        <f t="shared" si="234"/>
        <v>37580.634667426973</v>
      </c>
      <c r="F404" s="57">
        <f>E404*1.045</f>
        <v>39271.763227461182</v>
      </c>
      <c r="G404" s="57">
        <f t="shared" si="220"/>
        <v>40638.420587776833</v>
      </c>
      <c r="H404" s="57">
        <f t="shared" si="221"/>
        <v>45154.161883490597</v>
      </c>
      <c r="I404" s="57">
        <f t="shared" si="222"/>
        <v>41735.657943646802</v>
      </c>
      <c r="J404" s="57">
        <f t="shared" si="222"/>
        <v>46373.324254344836</v>
      </c>
      <c r="K404" s="57">
        <f t="shared" si="223"/>
        <v>42737.313734294323</v>
      </c>
      <c r="L404" s="9">
        <f t="shared" si="223"/>
        <v>47486.284036449113</v>
      </c>
      <c r="M404" s="9">
        <f t="shared" si="224"/>
        <v>43891.221205120266</v>
      </c>
      <c r="N404" s="9">
        <f t="shared" si="224"/>
        <v>48768.413705433231</v>
      </c>
      <c r="O404" s="78">
        <f t="shared" si="225"/>
        <v>44856.82807163291</v>
      </c>
      <c r="P404" s="78">
        <f t="shared" si="225"/>
        <v>49841.31880695276</v>
      </c>
      <c r="Q404" s="1">
        <f t="shared" si="235"/>
        <v>45933.391945352101</v>
      </c>
      <c r="R404" s="78">
        <f t="shared" si="236"/>
        <v>51037.51045831963</v>
      </c>
      <c r="S404" s="1">
        <f t="shared" si="237"/>
        <v>47632.927447330127</v>
      </c>
      <c r="T404" s="78">
        <f t="shared" si="238"/>
        <v>52925.898345277456</v>
      </c>
      <c r="U404" s="1">
        <f t="shared" si="239"/>
        <v>48966.649415855369</v>
      </c>
      <c r="V404" s="99">
        <f t="shared" si="240"/>
        <v>54407.823498945225</v>
      </c>
      <c r="W404" s="78">
        <f t="shared" si="241"/>
        <v>49701.149157093198</v>
      </c>
      <c r="X404" s="78">
        <f t="shared" si="242"/>
        <v>55223.940851429397</v>
      </c>
      <c r="Y404" s="78">
        <f t="shared" si="243"/>
        <v>50496.367543606691</v>
      </c>
      <c r="Z404" s="78">
        <f t="shared" si="244"/>
        <v>56107.523905052265</v>
      </c>
      <c r="AA404" s="78">
        <f t="shared" si="245"/>
        <v>51455.798526935214</v>
      </c>
      <c r="AB404" s="78">
        <f t="shared" si="246"/>
        <v>57173.566859248254</v>
      </c>
      <c r="AC404" s="1">
        <f t="shared" si="247"/>
        <v>52433.458698946975</v>
      </c>
      <c r="AD404" s="78">
        <f t="shared" si="248"/>
        <v>58259.864629573967</v>
      </c>
      <c r="AE404" s="1">
        <f t="shared" si="249"/>
        <v>53534.561331624856</v>
      </c>
      <c r="AF404" s="78">
        <f t="shared" si="250"/>
        <v>59483.321786795015</v>
      </c>
      <c r="AG404" s="141">
        <f t="shared" si="226"/>
        <v>54230.510628935976</v>
      </c>
      <c r="AH404" s="140">
        <f t="shared" si="227"/>
        <v>60256.604970023342</v>
      </c>
      <c r="AI404" s="141">
        <f t="shared" si="228"/>
        <v>55315.120841514698</v>
      </c>
      <c r="AJ404" s="140">
        <f t="shared" si="229"/>
        <v>61461.737069423812</v>
      </c>
      <c r="AK404" s="141">
        <f t="shared" si="230"/>
        <v>56919.259345918617</v>
      </c>
      <c r="AL404" s="140">
        <f t="shared" si="231"/>
        <v>63244.127444437101</v>
      </c>
      <c r="AM404" s="141">
        <f t="shared" si="232"/>
        <v>60505.172684711484</v>
      </c>
      <c r="AN404" s="141">
        <f t="shared" si="233"/>
        <v>67228.507473436635</v>
      </c>
    </row>
    <row r="405" spans="2:40">
      <c r="B405" s="162">
        <v>68010405</v>
      </c>
      <c r="C405" s="44" t="s">
        <v>488</v>
      </c>
      <c r="D405" s="16">
        <v>35791.080635644736</v>
      </c>
      <c r="E405" s="17">
        <f t="shared" si="234"/>
        <v>37580.634667426973</v>
      </c>
      <c r="F405" s="57">
        <f>E405*1.045</f>
        <v>39271.763227461182</v>
      </c>
      <c r="G405" s="57">
        <f t="shared" si="220"/>
        <v>40638.420587776833</v>
      </c>
      <c r="H405" s="57">
        <f t="shared" si="221"/>
        <v>45154.161883490597</v>
      </c>
      <c r="I405" s="57">
        <f t="shared" si="222"/>
        <v>41735.657943646802</v>
      </c>
      <c r="J405" s="57">
        <f t="shared" si="222"/>
        <v>46373.324254344836</v>
      </c>
      <c r="K405" s="57">
        <f t="shared" si="223"/>
        <v>42737.313734294323</v>
      </c>
      <c r="L405" s="9">
        <f t="shared" si="223"/>
        <v>47486.284036449113</v>
      </c>
      <c r="M405" s="9">
        <f t="shared" si="224"/>
        <v>43891.221205120266</v>
      </c>
      <c r="N405" s="9">
        <f t="shared" si="224"/>
        <v>48768.413705433231</v>
      </c>
      <c r="O405" s="78">
        <f t="shared" si="225"/>
        <v>44856.82807163291</v>
      </c>
      <c r="P405" s="78">
        <f t="shared" si="225"/>
        <v>49841.31880695276</v>
      </c>
      <c r="Q405" s="1">
        <f t="shared" si="235"/>
        <v>45933.391945352101</v>
      </c>
      <c r="R405" s="78">
        <f t="shared" si="236"/>
        <v>51037.51045831963</v>
      </c>
      <c r="S405" s="1">
        <f t="shared" si="237"/>
        <v>47632.927447330127</v>
      </c>
      <c r="T405" s="78">
        <f t="shared" si="238"/>
        <v>52925.898345277456</v>
      </c>
      <c r="U405" s="1">
        <f t="shared" si="239"/>
        <v>48966.649415855369</v>
      </c>
      <c r="V405" s="99">
        <f t="shared" si="240"/>
        <v>54407.823498945225</v>
      </c>
      <c r="W405" s="78">
        <f t="shared" si="241"/>
        <v>49701.149157093198</v>
      </c>
      <c r="X405" s="78">
        <f t="shared" si="242"/>
        <v>55223.940851429397</v>
      </c>
      <c r="Y405" s="78">
        <f t="shared" si="243"/>
        <v>50496.367543606691</v>
      </c>
      <c r="Z405" s="78">
        <f t="shared" si="244"/>
        <v>56107.523905052265</v>
      </c>
      <c r="AA405" s="78">
        <f t="shared" si="245"/>
        <v>51455.798526935214</v>
      </c>
      <c r="AB405" s="78">
        <f t="shared" si="246"/>
        <v>57173.566859248254</v>
      </c>
      <c r="AC405" s="1">
        <f t="shared" si="247"/>
        <v>52433.458698946975</v>
      </c>
      <c r="AD405" s="78">
        <f t="shared" si="248"/>
        <v>58259.864629573967</v>
      </c>
      <c r="AE405" s="1">
        <f t="shared" si="249"/>
        <v>53534.561331624856</v>
      </c>
      <c r="AF405" s="78">
        <f t="shared" si="250"/>
        <v>59483.321786795015</v>
      </c>
      <c r="AG405" s="141">
        <f t="shared" si="226"/>
        <v>54230.510628935976</v>
      </c>
      <c r="AH405" s="140">
        <f t="shared" si="227"/>
        <v>60256.604970023342</v>
      </c>
      <c r="AI405" s="141">
        <f t="shared" si="228"/>
        <v>55315.120841514698</v>
      </c>
      <c r="AJ405" s="140">
        <f t="shared" si="229"/>
        <v>61461.737069423812</v>
      </c>
      <c r="AK405" s="141">
        <f t="shared" si="230"/>
        <v>56919.259345918617</v>
      </c>
      <c r="AL405" s="140">
        <f t="shared" si="231"/>
        <v>63244.127444437101</v>
      </c>
      <c r="AM405" s="141">
        <f t="shared" si="232"/>
        <v>60505.172684711484</v>
      </c>
      <c r="AN405" s="141">
        <f t="shared" si="233"/>
        <v>67228.507473436635</v>
      </c>
    </row>
    <row r="406" spans="2:40">
      <c r="B406" s="162">
        <v>68010407</v>
      </c>
      <c r="C406" s="44" t="s">
        <v>489</v>
      </c>
      <c r="D406" s="16">
        <v>35791.080635644736</v>
      </c>
      <c r="E406" s="17">
        <f t="shared" si="234"/>
        <v>37580.634667426973</v>
      </c>
      <c r="F406" s="57">
        <f>E406*1.045</f>
        <v>39271.763227461182</v>
      </c>
      <c r="G406" s="57">
        <f t="shared" si="220"/>
        <v>40638.420587776833</v>
      </c>
      <c r="H406" s="57">
        <f t="shared" si="221"/>
        <v>45154.161883490597</v>
      </c>
      <c r="I406" s="57">
        <f t="shared" si="222"/>
        <v>41735.657943646802</v>
      </c>
      <c r="J406" s="57">
        <f t="shared" si="222"/>
        <v>46373.324254344836</v>
      </c>
      <c r="K406" s="57">
        <f t="shared" si="223"/>
        <v>42737.313734294323</v>
      </c>
      <c r="L406" s="9">
        <f t="shared" si="223"/>
        <v>47486.284036449113</v>
      </c>
      <c r="M406" s="9">
        <f t="shared" si="224"/>
        <v>43891.221205120266</v>
      </c>
      <c r="N406" s="9">
        <f t="shared" si="224"/>
        <v>48768.413705433231</v>
      </c>
      <c r="O406" s="78">
        <f t="shared" si="225"/>
        <v>44856.82807163291</v>
      </c>
      <c r="P406" s="78">
        <f t="shared" si="225"/>
        <v>49841.31880695276</v>
      </c>
      <c r="Q406" s="1">
        <f t="shared" si="235"/>
        <v>45933.391945352101</v>
      </c>
      <c r="R406" s="78">
        <f t="shared" si="236"/>
        <v>51037.51045831963</v>
      </c>
      <c r="S406" s="1">
        <f t="shared" si="237"/>
        <v>47632.927447330127</v>
      </c>
      <c r="T406" s="78">
        <f t="shared" si="238"/>
        <v>52925.898345277456</v>
      </c>
      <c r="U406" s="1">
        <f t="shared" si="239"/>
        <v>48966.649415855369</v>
      </c>
      <c r="V406" s="99">
        <f t="shared" si="240"/>
        <v>54407.823498945225</v>
      </c>
      <c r="W406" s="78">
        <f t="shared" si="241"/>
        <v>49701.149157093198</v>
      </c>
      <c r="X406" s="78">
        <f t="shared" si="242"/>
        <v>55223.940851429397</v>
      </c>
      <c r="Y406" s="78">
        <f t="shared" si="243"/>
        <v>50496.367543606691</v>
      </c>
      <c r="Z406" s="78">
        <f t="shared" si="244"/>
        <v>56107.523905052265</v>
      </c>
      <c r="AA406" s="78">
        <f t="shared" si="245"/>
        <v>51455.798526935214</v>
      </c>
      <c r="AB406" s="78">
        <f t="shared" si="246"/>
        <v>57173.566859248254</v>
      </c>
      <c r="AC406" s="1">
        <f t="shared" si="247"/>
        <v>52433.458698946975</v>
      </c>
      <c r="AD406" s="78">
        <f t="shared" si="248"/>
        <v>58259.864629573967</v>
      </c>
      <c r="AE406" s="1">
        <f t="shared" si="249"/>
        <v>53534.561331624856</v>
      </c>
      <c r="AF406" s="78">
        <f t="shared" si="250"/>
        <v>59483.321786795015</v>
      </c>
      <c r="AG406" s="141">
        <f t="shared" si="226"/>
        <v>54230.510628935976</v>
      </c>
      <c r="AH406" s="140">
        <f t="shared" si="227"/>
        <v>60256.604970023342</v>
      </c>
      <c r="AI406" s="141">
        <f t="shared" si="228"/>
        <v>55315.120841514698</v>
      </c>
      <c r="AJ406" s="140">
        <f t="shared" si="229"/>
        <v>61461.737069423812</v>
      </c>
      <c r="AK406" s="141">
        <f t="shared" si="230"/>
        <v>56919.259345918617</v>
      </c>
      <c r="AL406" s="140">
        <f t="shared" si="231"/>
        <v>63244.127444437101</v>
      </c>
      <c r="AM406" s="141">
        <f t="shared" si="232"/>
        <v>60505.172684711484</v>
      </c>
      <c r="AN406" s="141">
        <f t="shared" si="233"/>
        <v>67228.507473436635</v>
      </c>
    </row>
    <row r="407" spans="2:40">
      <c r="B407" s="162">
        <v>68010408</v>
      </c>
      <c r="C407" s="44" t="s">
        <v>490</v>
      </c>
      <c r="D407" s="16">
        <v>35791.080635644736</v>
      </c>
      <c r="E407" s="17">
        <f t="shared" si="234"/>
        <v>37580.634667426973</v>
      </c>
      <c r="F407" s="57">
        <f>E407*1.045</f>
        <v>39271.763227461182</v>
      </c>
      <c r="G407" s="57">
        <f t="shared" si="220"/>
        <v>40638.420587776833</v>
      </c>
      <c r="H407" s="57">
        <f t="shared" si="221"/>
        <v>45154.161883490597</v>
      </c>
      <c r="I407" s="57">
        <f t="shared" si="222"/>
        <v>41735.657943646802</v>
      </c>
      <c r="J407" s="57">
        <f t="shared" si="222"/>
        <v>46373.324254344836</v>
      </c>
      <c r="K407" s="57">
        <f t="shared" si="223"/>
        <v>42737.313734294323</v>
      </c>
      <c r="L407" s="9">
        <f t="shared" si="223"/>
        <v>47486.284036449113</v>
      </c>
      <c r="M407" s="9">
        <f t="shared" si="224"/>
        <v>43891.221205120266</v>
      </c>
      <c r="N407" s="9">
        <f t="shared" si="224"/>
        <v>48768.413705433231</v>
      </c>
      <c r="O407" s="78">
        <f t="shared" si="225"/>
        <v>44856.82807163291</v>
      </c>
      <c r="P407" s="78">
        <f t="shared" si="225"/>
        <v>49841.31880695276</v>
      </c>
      <c r="Q407" s="1">
        <f t="shared" si="235"/>
        <v>45933.391945352101</v>
      </c>
      <c r="R407" s="78">
        <f t="shared" si="236"/>
        <v>51037.51045831963</v>
      </c>
      <c r="S407" s="1">
        <f t="shared" si="237"/>
        <v>47632.927447330127</v>
      </c>
      <c r="T407" s="78">
        <f t="shared" si="238"/>
        <v>52925.898345277456</v>
      </c>
      <c r="U407" s="1">
        <f t="shared" si="239"/>
        <v>48966.649415855369</v>
      </c>
      <c r="V407" s="99">
        <f t="shared" si="240"/>
        <v>54407.823498945225</v>
      </c>
      <c r="W407" s="78">
        <f t="shared" si="241"/>
        <v>49701.149157093198</v>
      </c>
      <c r="X407" s="78">
        <f t="shared" si="242"/>
        <v>55223.940851429397</v>
      </c>
      <c r="Y407" s="78">
        <f t="shared" si="243"/>
        <v>50496.367543606691</v>
      </c>
      <c r="Z407" s="78">
        <f t="shared" si="244"/>
        <v>56107.523905052265</v>
      </c>
      <c r="AA407" s="78">
        <f t="shared" si="245"/>
        <v>51455.798526935214</v>
      </c>
      <c r="AB407" s="78">
        <f t="shared" si="246"/>
        <v>57173.566859248254</v>
      </c>
      <c r="AC407" s="1">
        <f t="shared" si="247"/>
        <v>52433.458698946975</v>
      </c>
      <c r="AD407" s="78">
        <f t="shared" si="248"/>
        <v>58259.864629573967</v>
      </c>
      <c r="AE407" s="1">
        <f t="shared" si="249"/>
        <v>53534.561331624856</v>
      </c>
      <c r="AF407" s="78">
        <f t="shared" si="250"/>
        <v>59483.321786795015</v>
      </c>
      <c r="AG407" s="141">
        <f t="shared" si="226"/>
        <v>54230.510628935976</v>
      </c>
      <c r="AH407" s="140">
        <f t="shared" si="227"/>
        <v>60256.604970023342</v>
      </c>
      <c r="AI407" s="141">
        <f t="shared" si="228"/>
        <v>55315.120841514698</v>
      </c>
      <c r="AJ407" s="140">
        <f t="shared" si="229"/>
        <v>61461.737069423812</v>
      </c>
      <c r="AK407" s="141">
        <f t="shared" si="230"/>
        <v>56919.259345918617</v>
      </c>
      <c r="AL407" s="140">
        <f t="shared" si="231"/>
        <v>63244.127444437101</v>
      </c>
      <c r="AM407" s="141">
        <f t="shared" si="232"/>
        <v>60505.172684711484</v>
      </c>
      <c r="AN407" s="141">
        <f t="shared" si="233"/>
        <v>67228.507473436635</v>
      </c>
    </row>
    <row r="408" spans="2:40">
      <c r="B408" s="162">
        <v>68010409</v>
      </c>
      <c r="C408" s="44" t="s">
        <v>491</v>
      </c>
      <c r="D408" s="16">
        <v>35791.080635644736</v>
      </c>
      <c r="E408" s="17">
        <f t="shared" si="234"/>
        <v>37580.634667426973</v>
      </c>
      <c r="F408" s="57">
        <f>E408*1.045</f>
        <v>39271.763227461182</v>
      </c>
      <c r="G408" s="57">
        <f t="shared" si="220"/>
        <v>40638.420587776833</v>
      </c>
      <c r="H408" s="57">
        <f t="shared" si="221"/>
        <v>45154.161883490597</v>
      </c>
      <c r="I408" s="57">
        <f t="shared" si="222"/>
        <v>41735.657943646802</v>
      </c>
      <c r="J408" s="57">
        <f t="shared" si="222"/>
        <v>46373.324254344836</v>
      </c>
      <c r="K408" s="57">
        <f t="shared" si="223"/>
        <v>42737.313734294323</v>
      </c>
      <c r="L408" s="9">
        <f t="shared" si="223"/>
        <v>47486.284036449113</v>
      </c>
      <c r="M408" s="9">
        <f t="shared" si="224"/>
        <v>43891.221205120266</v>
      </c>
      <c r="N408" s="9">
        <f t="shared" si="224"/>
        <v>48768.413705433231</v>
      </c>
      <c r="O408" s="78">
        <f t="shared" si="225"/>
        <v>44856.82807163291</v>
      </c>
      <c r="P408" s="78">
        <f t="shared" si="225"/>
        <v>49841.31880695276</v>
      </c>
      <c r="Q408" s="1">
        <f t="shared" si="235"/>
        <v>45933.391945352101</v>
      </c>
      <c r="R408" s="78">
        <f t="shared" si="236"/>
        <v>51037.51045831963</v>
      </c>
      <c r="S408" s="1">
        <f t="shared" si="237"/>
        <v>47632.927447330127</v>
      </c>
      <c r="T408" s="78">
        <f t="shared" si="238"/>
        <v>52925.898345277456</v>
      </c>
      <c r="U408" s="1">
        <f t="shared" si="239"/>
        <v>48966.649415855369</v>
      </c>
      <c r="V408" s="99">
        <f t="shared" si="240"/>
        <v>54407.823498945225</v>
      </c>
      <c r="W408" s="78">
        <f t="shared" si="241"/>
        <v>49701.149157093198</v>
      </c>
      <c r="X408" s="78">
        <f t="shared" si="242"/>
        <v>55223.940851429397</v>
      </c>
      <c r="Y408" s="78">
        <f t="shared" si="243"/>
        <v>50496.367543606691</v>
      </c>
      <c r="Z408" s="78">
        <f t="shared" si="244"/>
        <v>56107.523905052265</v>
      </c>
      <c r="AA408" s="78">
        <f t="shared" si="245"/>
        <v>51455.798526935214</v>
      </c>
      <c r="AB408" s="78">
        <f t="shared" si="246"/>
        <v>57173.566859248254</v>
      </c>
      <c r="AC408" s="1">
        <f t="shared" si="247"/>
        <v>52433.458698946975</v>
      </c>
      <c r="AD408" s="78">
        <f t="shared" si="248"/>
        <v>58259.864629573967</v>
      </c>
      <c r="AE408" s="1">
        <f t="shared" si="249"/>
        <v>53534.561331624856</v>
      </c>
      <c r="AF408" s="78">
        <f t="shared" si="250"/>
        <v>59483.321786795015</v>
      </c>
      <c r="AG408" s="141">
        <f t="shared" si="226"/>
        <v>54230.510628935976</v>
      </c>
      <c r="AH408" s="140">
        <f t="shared" si="227"/>
        <v>60256.604970023342</v>
      </c>
      <c r="AI408" s="141">
        <f t="shared" si="228"/>
        <v>55315.120841514698</v>
      </c>
      <c r="AJ408" s="140">
        <f t="shared" si="229"/>
        <v>61461.737069423812</v>
      </c>
      <c r="AK408" s="141">
        <f t="shared" si="230"/>
        <v>56919.259345918617</v>
      </c>
      <c r="AL408" s="140">
        <f t="shared" si="231"/>
        <v>63244.127444437101</v>
      </c>
      <c r="AM408" s="141">
        <f t="shared" si="232"/>
        <v>60505.172684711484</v>
      </c>
      <c r="AN408" s="141">
        <f t="shared" si="233"/>
        <v>67228.507473436635</v>
      </c>
    </row>
    <row r="409" spans="2:40">
      <c r="B409" s="162">
        <v>68010410</v>
      </c>
      <c r="C409" s="44" t="s">
        <v>492</v>
      </c>
      <c r="D409" s="16">
        <v>35791.080635644736</v>
      </c>
      <c r="E409" s="17">
        <f t="shared" si="234"/>
        <v>37580.634667426973</v>
      </c>
      <c r="F409" s="57">
        <f>E409*1.045</f>
        <v>39271.763227461182</v>
      </c>
      <c r="G409" s="57">
        <f t="shared" si="220"/>
        <v>40638.420587776833</v>
      </c>
      <c r="H409" s="57">
        <f t="shared" si="221"/>
        <v>45154.161883490597</v>
      </c>
      <c r="I409" s="57">
        <f t="shared" si="222"/>
        <v>41735.657943646802</v>
      </c>
      <c r="J409" s="57">
        <f t="shared" si="222"/>
        <v>46373.324254344836</v>
      </c>
      <c r="K409" s="57">
        <f t="shared" si="223"/>
        <v>42737.313734294323</v>
      </c>
      <c r="L409" s="9">
        <f t="shared" si="223"/>
        <v>47486.284036449113</v>
      </c>
      <c r="M409" s="9">
        <f t="shared" si="224"/>
        <v>43891.221205120266</v>
      </c>
      <c r="N409" s="9">
        <f t="shared" si="224"/>
        <v>48768.413705433231</v>
      </c>
      <c r="O409" s="78">
        <f t="shared" si="225"/>
        <v>44856.82807163291</v>
      </c>
      <c r="P409" s="78">
        <f t="shared" si="225"/>
        <v>49841.31880695276</v>
      </c>
      <c r="Q409" s="1">
        <f t="shared" si="235"/>
        <v>45933.391945352101</v>
      </c>
      <c r="R409" s="78">
        <f t="shared" si="236"/>
        <v>51037.51045831963</v>
      </c>
      <c r="S409" s="1">
        <f t="shared" si="237"/>
        <v>47632.927447330127</v>
      </c>
      <c r="T409" s="78">
        <f t="shared" si="238"/>
        <v>52925.898345277456</v>
      </c>
      <c r="U409" s="1">
        <f t="shared" si="239"/>
        <v>48966.649415855369</v>
      </c>
      <c r="V409" s="99">
        <f t="shared" si="240"/>
        <v>54407.823498945225</v>
      </c>
      <c r="W409" s="78">
        <f t="shared" si="241"/>
        <v>49701.149157093198</v>
      </c>
      <c r="X409" s="78">
        <f t="shared" si="242"/>
        <v>55223.940851429397</v>
      </c>
      <c r="Y409" s="78">
        <f t="shared" si="243"/>
        <v>50496.367543606691</v>
      </c>
      <c r="Z409" s="78">
        <f t="shared" si="244"/>
        <v>56107.523905052265</v>
      </c>
      <c r="AA409" s="78">
        <f t="shared" si="245"/>
        <v>51455.798526935214</v>
      </c>
      <c r="AB409" s="78">
        <f t="shared" si="246"/>
        <v>57173.566859248254</v>
      </c>
      <c r="AC409" s="1">
        <f t="shared" si="247"/>
        <v>52433.458698946975</v>
      </c>
      <c r="AD409" s="78">
        <f t="shared" si="248"/>
        <v>58259.864629573967</v>
      </c>
      <c r="AE409" s="1">
        <f t="shared" si="249"/>
        <v>53534.561331624856</v>
      </c>
      <c r="AF409" s="78">
        <f t="shared" si="250"/>
        <v>59483.321786795015</v>
      </c>
      <c r="AG409" s="141">
        <f t="shared" si="226"/>
        <v>54230.510628935976</v>
      </c>
      <c r="AH409" s="140">
        <f t="shared" si="227"/>
        <v>60256.604970023342</v>
      </c>
      <c r="AI409" s="141">
        <f t="shared" si="228"/>
        <v>55315.120841514698</v>
      </c>
      <c r="AJ409" s="140">
        <f t="shared" si="229"/>
        <v>61461.737069423812</v>
      </c>
      <c r="AK409" s="141">
        <f t="shared" si="230"/>
        <v>56919.259345918617</v>
      </c>
      <c r="AL409" s="140">
        <f t="shared" si="231"/>
        <v>63244.127444437101</v>
      </c>
      <c r="AM409" s="141">
        <f t="shared" si="232"/>
        <v>60505.172684711484</v>
      </c>
      <c r="AN409" s="141">
        <f t="shared" si="233"/>
        <v>67228.507473436635</v>
      </c>
    </row>
    <row r="410" spans="2:40">
      <c r="B410" s="162">
        <v>68011200</v>
      </c>
      <c r="C410" s="44" t="s">
        <v>493</v>
      </c>
      <c r="D410" s="16">
        <v>35791.080635644736</v>
      </c>
      <c r="E410" s="17">
        <f t="shared" si="234"/>
        <v>37580.634667426973</v>
      </c>
      <c r="F410" s="57">
        <f>E410*1.045</f>
        <v>39271.763227461182</v>
      </c>
      <c r="G410" s="57">
        <f t="shared" si="220"/>
        <v>40638.420587776833</v>
      </c>
      <c r="H410" s="57">
        <f t="shared" si="221"/>
        <v>45154.161883490597</v>
      </c>
      <c r="I410" s="57">
        <f t="shared" si="222"/>
        <v>41735.657943646802</v>
      </c>
      <c r="J410" s="57">
        <f t="shared" si="222"/>
        <v>46373.324254344836</v>
      </c>
      <c r="K410" s="57">
        <f t="shared" si="223"/>
        <v>42737.313734294323</v>
      </c>
      <c r="L410" s="9">
        <f t="shared" si="223"/>
        <v>47486.284036449113</v>
      </c>
      <c r="M410" s="9">
        <f t="shared" si="224"/>
        <v>43891.221205120266</v>
      </c>
      <c r="N410" s="9">
        <f t="shared" si="224"/>
        <v>48768.413705433231</v>
      </c>
      <c r="O410" s="78">
        <f t="shared" si="225"/>
        <v>44856.82807163291</v>
      </c>
      <c r="P410" s="78">
        <f t="shared" si="225"/>
        <v>49841.31880695276</v>
      </c>
      <c r="Q410" s="1">
        <f t="shared" si="235"/>
        <v>45933.391945352101</v>
      </c>
      <c r="R410" s="78">
        <f t="shared" si="236"/>
        <v>51037.51045831963</v>
      </c>
      <c r="S410" s="1">
        <f t="shared" si="237"/>
        <v>47632.927447330127</v>
      </c>
      <c r="T410" s="78">
        <f t="shared" si="238"/>
        <v>52925.898345277456</v>
      </c>
      <c r="U410" s="1">
        <f t="shared" si="239"/>
        <v>48966.649415855369</v>
      </c>
      <c r="V410" s="99">
        <f t="shared" si="240"/>
        <v>54407.823498945225</v>
      </c>
      <c r="W410" s="78">
        <f t="shared" si="241"/>
        <v>49701.149157093198</v>
      </c>
      <c r="X410" s="78">
        <f t="shared" si="242"/>
        <v>55223.940851429397</v>
      </c>
      <c r="Y410" s="78">
        <f t="shared" si="243"/>
        <v>50496.367543606691</v>
      </c>
      <c r="Z410" s="78">
        <f t="shared" si="244"/>
        <v>56107.523905052265</v>
      </c>
      <c r="AA410" s="78">
        <f t="shared" si="245"/>
        <v>51455.798526935214</v>
      </c>
      <c r="AB410" s="78">
        <f t="shared" si="246"/>
        <v>57173.566859248254</v>
      </c>
      <c r="AC410" s="1">
        <f t="shared" si="247"/>
        <v>52433.458698946975</v>
      </c>
      <c r="AD410" s="78">
        <f t="shared" si="248"/>
        <v>58259.864629573967</v>
      </c>
      <c r="AE410" s="1">
        <f t="shared" si="249"/>
        <v>53534.561331624856</v>
      </c>
      <c r="AF410" s="78">
        <f t="shared" si="250"/>
        <v>59483.321786795015</v>
      </c>
      <c r="AG410" s="141">
        <f t="shared" si="226"/>
        <v>54230.510628935976</v>
      </c>
      <c r="AH410" s="140">
        <f t="shared" si="227"/>
        <v>60256.604970023342</v>
      </c>
      <c r="AI410" s="141">
        <f t="shared" si="228"/>
        <v>55315.120841514698</v>
      </c>
      <c r="AJ410" s="140">
        <f t="shared" si="229"/>
        <v>61461.737069423812</v>
      </c>
      <c r="AK410" s="141">
        <f t="shared" si="230"/>
        <v>56919.259345918617</v>
      </c>
      <c r="AL410" s="140">
        <f t="shared" si="231"/>
        <v>63244.127444437101</v>
      </c>
      <c r="AM410" s="141">
        <f t="shared" si="232"/>
        <v>60505.172684711484</v>
      </c>
      <c r="AN410" s="141">
        <f t="shared" si="233"/>
        <v>67228.507473436635</v>
      </c>
    </row>
    <row r="411" spans="2:40">
      <c r="B411" s="162">
        <v>68011201</v>
      </c>
      <c r="C411" s="44" t="s">
        <v>494</v>
      </c>
      <c r="D411" s="16">
        <v>35791.080635644736</v>
      </c>
      <c r="E411" s="17">
        <f t="shared" si="234"/>
        <v>37580.634667426973</v>
      </c>
      <c r="F411" s="57">
        <f>E411*1.045</f>
        <v>39271.763227461182</v>
      </c>
      <c r="G411" s="57">
        <f t="shared" si="220"/>
        <v>40638.420587776833</v>
      </c>
      <c r="H411" s="57">
        <f t="shared" si="221"/>
        <v>45154.161883490597</v>
      </c>
      <c r="I411" s="57">
        <f t="shared" si="222"/>
        <v>41735.657943646802</v>
      </c>
      <c r="J411" s="57">
        <f t="shared" si="222"/>
        <v>46373.324254344836</v>
      </c>
      <c r="K411" s="57">
        <f t="shared" si="223"/>
        <v>42737.313734294323</v>
      </c>
      <c r="L411" s="9">
        <f t="shared" si="223"/>
        <v>47486.284036449113</v>
      </c>
      <c r="M411" s="9">
        <f t="shared" si="224"/>
        <v>43891.221205120266</v>
      </c>
      <c r="N411" s="9">
        <f t="shared" si="224"/>
        <v>48768.413705433231</v>
      </c>
      <c r="O411" s="78">
        <f t="shared" si="225"/>
        <v>44856.82807163291</v>
      </c>
      <c r="P411" s="78">
        <f t="shared" si="225"/>
        <v>49841.31880695276</v>
      </c>
      <c r="Q411" s="1">
        <f t="shared" si="235"/>
        <v>45933.391945352101</v>
      </c>
      <c r="R411" s="78">
        <f t="shared" si="236"/>
        <v>51037.51045831963</v>
      </c>
      <c r="S411" s="1">
        <f t="shared" si="237"/>
        <v>47632.927447330127</v>
      </c>
      <c r="T411" s="78">
        <f t="shared" si="238"/>
        <v>52925.898345277456</v>
      </c>
      <c r="U411" s="1">
        <f t="shared" si="239"/>
        <v>48966.649415855369</v>
      </c>
      <c r="V411" s="99">
        <f t="shared" si="240"/>
        <v>54407.823498945225</v>
      </c>
      <c r="W411" s="78">
        <f t="shared" si="241"/>
        <v>49701.149157093198</v>
      </c>
      <c r="X411" s="78">
        <f t="shared" si="242"/>
        <v>55223.940851429397</v>
      </c>
      <c r="Y411" s="78">
        <f t="shared" si="243"/>
        <v>50496.367543606691</v>
      </c>
      <c r="Z411" s="78">
        <f t="shared" si="244"/>
        <v>56107.523905052265</v>
      </c>
      <c r="AA411" s="78">
        <f t="shared" si="245"/>
        <v>51455.798526935214</v>
      </c>
      <c r="AB411" s="78">
        <f t="shared" si="246"/>
        <v>57173.566859248254</v>
      </c>
      <c r="AC411" s="1">
        <f t="shared" si="247"/>
        <v>52433.458698946975</v>
      </c>
      <c r="AD411" s="78">
        <f t="shared" si="248"/>
        <v>58259.864629573967</v>
      </c>
      <c r="AE411" s="1">
        <f t="shared" si="249"/>
        <v>53534.561331624856</v>
      </c>
      <c r="AF411" s="78">
        <f t="shared" si="250"/>
        <v>59483.321786795015</v>
      </c>
      <c r="AG411" s="141">
        <f t="shared" si="226"/>
        <v>54230.510628935976</v>
      </c>
      <c r="AH411" s="140">
        <f t="shared" si="227"/>
        <v>60256.604970023342</v>
      </c>
      <c r="AI411" s="141">
        <f t="shared" si="228"/>
        <v>55315.120841514698</v>
      </c>
      <c r="AJ411" s="140">
        <f t="shared" si="229"/>
        <v>61461.737069423812</v>
      </c>
      <c r="AK411" s="141">
        <f t="shared" si="230"/>
        <v>56919.259345918617</v>
      </c>
      <c r="AL411" s="140">
        <f t="shared" si="231"/>
        <v>63244.127444437101</v>
      </c>
      <c r="AM411" s="141">
        <f t="shared" si="232"/>
        <v>60505.172684711484</v>
      </c>
      <c r="AN411" s="141">
        <f t="shared" si="233"/>
        <v>67228.507473436635</v>
      </c>
    </row>
    <row r="412" spans="2:40">
      <c r="B412" s="162">
        <v>68011300</v>
      </c>
      <c r="C412" s="44" t="s">
        <v>495</v>
      </c>
      <c r="D412" s="16">
        <v>35791.080635644736</v>
      </c>
      <c r="E412" s="17">
        <f t="shared" si="234"/>
        <v>37580.634667426973</v>
      </c>
      <c r="F412" s="57">
        <f>E412*1.045</f>
        <v>39271.763227461182</v>
      </c>
      <c r="G412" s="57">
        <f t="shared" si="220"/>
        <v>40638.420587776833</v>
      </c>
      <c r="H412" s="57">
        <f t="shared" si="221"/>
        <v>45154.161883490597</v>
      </c>
      <c r="I412" s="57">
        <f t="shared" si="222"/>
        <v>41735.657943646802</v>
      </c>
      <c r="J412" s="57">
        <f t="shared" si="222"/>
        <v>46373.324254344836</v>
      </c>
      <c r="K412" s="57">
        <f t="shared" si="223"/>
        <v>42737.313734294323</v>
      </c>
      <c r="L412" s="9">
        <f t="shared" si="223"/>
        <v>47486.284036449113</v>
      </c>
      <c r="M412" s="9">
        <f t="shared" si="224"/>
        <v>43891.221205120266</v>
      </c>
      <c r="N412" s="9">
        <f t="shared" si="224"/>
        <v>48768.413705433231</v>
      </c>
      <c r="O412" s="78">
        <f t="shared" si="225"/>
        <v>44856.82807163291</v>
      </c>
      <c r="P412" s="78">
        <f t="shared" si="225"/>
        <v>49841.31880695276</v>
      </c>
      <c r="Q412" s="1">
        <f t="shared" si="235"/>
        <v>45933.391945352101</v>
      </c>
      <c r="R412" s="78">
        <f t="shared" si="236"/>
        <v>51037.51045831963</v>
      </c>
      <c r="S412" s="1">
        <f t="shared" si="237"/>
        <v>47632.927447330127</v>
      </c>
      <c r="T412" s="78">
        <f t="shared" si="238"/>
        <v>52925.898345277456</v>
      </c>
      <c r="U412" s="1">
        <f t="shared" si="239"/>
        <v>48966.649415855369</v>
      </c>
      <c r="V412" s="99">
        <f t="shared" si="240"/>
        <v>54407.823498945225</v>
      </c>
      <c r="W412" s="78">
        <f t="shared" si="241"/>
        <v>49701.149157093198</v>
      </c>
      <c r="X412" s="78">
        <f t="shared" si="242"/>
        <v>55223.940851429397</v>
      </c>
      <c r="Y412" s="78">
        <f t="shared" si="243"/>
        <v>50496.367543606691</v>
      </c>
      <c r="Z412" s="78">
        <f t="shared" si="244"/>
        <v>56107.523905052265</v>
      </c>
      <c r="AA412" s="78">
        <f t="shared" si="245"/>
        <v>51455.798526935214</v>
      </c>
      <c r="AB412" s="78">
        <f t="shared" si="246"/>
        <v>57173.566859248254</v>
      </c>
      <c r="AC412" s="1">
        <f t="shared" si="247"/>
        <v>52433.458698946975</v>
      </c>
      <c r="AD412" s="78">
        <f t="shared" si="248"/>
        <v>58259.864629573967</v>
      </c>
      <c r="AE412" s="1">
        <f t="shared" si="249"/>
        <v>53534.561331624856</v>
      </c>
      <c r="AF412" s="78">
        <f t="shared" si="250"/>
        <v>59483.321786795015</v>
      </c>
      <c r="AG412" s="141">
        <f t="shared" si="226"/>
        <v>54230.510628935976</v>
      </c>
      <c r="AH412" s="140">
        <f t="shared" si="227"/>
        <v>60256.604970023342</v>
      </c>
      <c r="AI412" s="141">
        <f t="shared" si="228"/>
        <v>55315.120841514698</v>
      </c>
      <c r="AJ412" s="140">
        <f t="shared" si="229"/>
        <v>61461.737069423812</v>
      </c>
      <c r="AK412" s="141">
        <f t="shared" si="230"/>
        <v>56919.259345918617</v>
      </c>
      <c r="AL412" s="140">
        <f t="shared" si="231"/>
        <v>63244.127444437101</v>
      </c>
      <c r="AM412" s="141">
        <f t="shared" si="232"/>
        <v>60505.172684711484</v>
      </c>
      <c r="AN412" s="141">
        <f t="shared" si="233"/>
        <v>67228.507473436635</v>
      </c>
    </row>
    <row r="413" spans="2:40">
      <c r="B413" s="162">
        <v>68013010</v>
      </c>
      <c r="C413" s="44" t="s">
        <v>496</v>
      </c>
      <c r="D413" s="16">
        <v>35791.080635644736</v>
      </c>
      <c r="E413" s="17">
        <f t="shared" si="234"/>
        <v>37580.634667426973</v>
      </c>
      <c r="F413" s="57">
        <f>E413*1.045</f>
        <v>39271.763227461182</v>
      </c>
      <c r="G413" s="57">
        <f t="shared" si="220"/>
        <v>40638.420587776833</v>
      </c>
      <c r="H413" s="57">
        <f t="shared" si="221"/>
        <v>45154.161883490597</v>
      </c>
      <c r="I413" s="57">
        <f t="shared" si="222"/>
        <v>41735.657943646802</v>
      </c>
      <c r="J413" s="57">
        <f t="shared" si="222"/>
        <v>46373.324254344836</v>
      </c>
      <c r="K413" s="57">
        <f t="shared" si="223"/>
        <v>42737.313734294323</v>
      </c>
      <c r="L413" s="9">
        <f t="shared" si="223"/>
        <v>47486.284036449113</v>
      </c>
      <c r="M413" s="9">
        <f t="shared" si="224"/>
        <v>43891.221205120266</v>
      </c>
      <c r="N413" s="9">
        <f t="shared" si="224"/>
        <v>48768.413705433231</v>
      </c>
      <c r="O413" s="78">
        <f t="shared" si="225"/>
        <v>44856.82807163291</v>
      </c>
      <c r="P413" s="78">
        <f t="shared" si="225"/>
        <v>49841.31880695276</v>
      </c>
      <c r="Q413" s="1">
        <f t="shared" si="235"/>
        <v>45933.391945352101</v>
      </c>
      <c r="R413" s="78">
        <f t="shared" si="236"/>
        <v>51037.51045831963</v>
      </c>
      <c r="S413" s="1">
        <f t="shared" si="237"/>
        <v>47632.927447330127</v>
      </c>
      <c r="T413" s="78">
        <f t="shared" si="238"/>
        <v>52925.898345277456</v>
      </c>
      <c r="U413" s="1">
        <f t="shared" si="239"/>
        <v>48966.649415855369</v>
      </c>
      <c r="V413" s="99">
        <f t="shared" si="240"/>
        <v>54407.823498945225</v>
      </c>
      <c r="W413" s="78">
        <f t="shared" si="241"/>
        <v>49701.149157093198</v>
      </c>
      <c r="X413" s="78">
        <f t="shared" si="242"/>
        <v>55223.940851429397</v>
      </c>
      <c r="Y413" s="78">
        <f t="shared" si="243"/>
        <v>50496.367543606691</v>
      </c>
      <c r="Z413" s="78">
        <f t="shared" si="244"/>
        <v>56107.523905052265</v>
      </c>
      <c r="AA413" s="78">
        <f t="shared" si="245"/>
        <v>51455.798526935214</v>
      </c>
      <c r="AB413" s="78">
        <f t="shared" si="246"/>
        <v>57173.566859248254</v>
      </c>
      <c r="AC413" s="1">
        <f t="shared" si="247"/>
        <v>52433.458698946975</v>
      </c>
      <c r="AD413" s="78">
        <f t="shared" si="248"/>
        <v>58259.864629573967</v>
      </c>
      <c r="AE413" s="1">
        <f t="shared" si="249"/>
        <v>53534.561331624856</v>
      </c>
      <c r="AF413" s="78">
        <f t="shared" si="250"/>
        <v>59483.321786795015</v>
      </c>
      <c r="AG413" s="141">
        <f t="shared" si="226"/>
        <v>54230.510628935976</v>
      </c>
      <c r="AH413" s="140">
        <f t="shared" si="227"/>
        <v>60256.604970023342</v>
      </c>
      <c r="AI413" s="141">
        <f t="shared" si="228"/>
        <v>55315.120841514698</v>
      </c>
      <c r="AJ413" s="140">
        <f t="shared" si="229"/>
        <v>61461.737069423812</v>
      </c>
      <c r="AK413" s="141">
        <f t="shared" si="230"/>
        <v>56919.259345918617</v>
      </c>
      <c r="AL413" s="140">
        <f t="shared" si="231"/>
        <v>63244.127444437101</v>
      </c>
      <c r="AM413" s="141">
        <f t="shared" si="232"/>
        <v>60505.172684711484</v>
      </c>
      <c r="AN413" s="141">
        <f t="shared" si="233"/>
        <v>67228.507473436635</v>
      </c>
    </row>
    <row r="414" spans="2:40">
      <c r="B414" s="163">
        <v>68013022</v>
      </c>
      <c r="C414" s="47" t="s">
        <v>497</v>
      </c>
      <c r="D414" s="54">
        <v>35791.080635644736</v>
      </c>
      <c r="E414" s="55">
        <f t="shared" si="234"/>
        <v>37580.634667426973</v>
      </c>
      <c r="F414" s="75">
        <f>E414*1.045</f>
        <v>39271.763227461182</v>
      </c>
      <c r="G414" s="75">
        <f t="shared" si="220"/>
        <v>40638.420587776833</v>
      </c>
      <c r="H414" s="75">
        <f t="shared" si="221"/>
        <v>45154.161883490597</v>
      </c>
      <c r="I414" s="75">
        <f t="shared" si="222"/>
        <v>41735.657943646802</v>
      </c>
      <c r="J414" s="75">
        <f t="shared" si="222"/>
        <v>46373.324254344836</v>
      </c>
      <c r="K414" s="75">
        <f t="shared" si="223"/>
        <v>42737.313734294323</v>
      </c>
      <c r="L414" s="71">
        <f t="shared" si="223"/>
        <v>47486.284036449113</v>
      </c>
      <c r="M414" s="71">
        <f t="shared" si="224"/>
        <v>43891.221205120266</v>
      </c>
      <c r="N414" s="71">
        <f t="shared" si="224"/>
        <v>48768.413705433231</v>
      </c>
      <c r="O414" s="79">
        <f t="shared" si="225"/>
        <v>44856.82807163291</v>
      </c>
      <c r="P414" s="79">
        <f t="shared" si="225"/>
        <v>49841.31880695276</v>
      </c>
      <c r="Q414" s="100">
        <f t="shared" si="235"/>
        <v>45933.391945352101</v>
      </c>
      <c r="R414" s="79">
        <f t="shared" si="236"/>
        <v>51037.51045831963</v>
      </c>
      <c r="S414" s="100">
        <f t="shared" si="237"/>
        <v>47632.927447330127</v>
      </c>
      <c r="T414" s="79">
        <f t="shared" si="238"/>
        <v>52925.898345277456</v>
      </c>
      <c r="U414" s="100">
        <f t="shared" si="239"/>
        <v>48966.649415855369</v>
      </c>
      <c r="V414" s="119">
        <f t="shared" si="240"/>
        <v>54407.823498945225</v>
      </c>
      <c r="W414" s="79">
        <f t="shared" si="241"/>
        <v>49701.149157093198</v>
      </c>
      <c r="X414" s="79">
        <f t="shared" si="242"/>
        <v>55223.940851429397</v>
      </c>
      <c r="Y414" s="79">
        <f t="shared" si="243"/>
        <v>50496.367543606691</v>
      </c>
      <c r="Z414" s="79">
        <f t="shared" si="244"/>
        <v>56107.523905052265</v>
      </c>
      <c r="AA414" s="79">
        <f t="shared" si="245"/>
        <v>51455.798526935214</v>
      </c>
      <c r="AB414" s="79">
        <f t="shared" si="246"/>
        <v>57173.566859248254</v>
      </c>
      <c r="AC414" s="100">
        <f t="shared" si="247"/>
        <v>52433.458698946975</v>
      </c>
      <c r="AD414" s="79">
        <f t="shared" si="248"/>
        <v>58259.864629573967</v>
      </c>
      <c r="AE414" s="100">
        <f t="shared" si="249"/>
        <v>53534.561331624856</v>
      </c>
      <c r="AF414" s="79">
        <f t="shared" si="250"/>
        <v>59483.321786795015</v>
      </c>
      <c r="AG414" s="142">
        <f t="shared" si="226"/>
        <v>54230.510628935976</v>
      </c>
      <c r="AH414" s="174">
        <f t="shared" si="227"/>
        <v>60256.604970023342</v>
      </c>
      <c r="AI414" s="142">
        <f t="shared" si="228"/>
        <v>55315.120841514698</v>
      </c>
      <c r="AJ414" s="174">
        <f t="shared" si="229"/>
        <v>61461.737069423812</v>
      </c>
      <c r="AK414" s="142">
        <f t="shared" si="230"/>
        <v>56919.259345918617</v>
      </c>
      <c r="AL414" s="174">
        <f t="shared" si="231"/>
        <v>63244.127444437101</v>
      </c>
      <c r="AM414" s="142">
        <f t="shared" si="232"/>
        <v>60505.172684711484</v>
      </c>
      <c r="AN414" s="142">
        <f t="shared" si="233"/>
        <v>67228.507473436635</v>
      </c>
    </row>
    <row r="415" spans="2:40" ht="15" customHeight="1">
      <c r="B415" s="180" t="s">
        <v>498</v>
      </c>
      <c r="C415" s="181"/>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c r="AC415" s="182"/>
      <c r="AD415" s="182"/>
      <c r="AE415" s="182"/>
      <c r="AF415" s="182"/>
      <c r="AG415" s="182"/>
      <c r="AH415" s="182"/>
      <c r="AI415" s="182"/>
      <c r="AJ415" s="182"/>
      <c r="AK415" s="180"/>
      <c r="AL415" s="183"/>
      <c r="AM415" s="183"/>
      <c r="AN415" s="181"/>
    </row>
    <row r="416" spans="2:40">
      <c r="B416" s="156">
        <v>255002</v>
      </c>
      <c r="C416" s="27" t="s">
        <v>499</v>
      </c>
      <c r="D416" s="112">
        <v>6800</v>
      </c>
      <c r="E416" s="118">
        <f t="shared" si="234"/>
        <v>7140</v>
      </c>
      <c r="F416" s="70">
        <f>E416*1.045</f>
        <v>7461.2999999999993</v>
      </c>
      <c r="G416" s="70">
        <f t="shared" si="220"/>
        <v>7720.9532399999989</v>
      </c>
      <c r="H416" s="70">
        <f t="shared" si="221"/>
        <v>8578.9055640287988</v>
      </c>
      <c r="I416" s="70">
        <f t="shared" si="222"/>
        <v>7929.4189774799979</v>
      </c>
      <c r="J416" s="70">
        <f t="shared" si="222"/>
        <v>8810.5360142575755</v>
      </c>
      <c r="K416" s="70">
        <f t="shared" si="223"/>
        <v>8119.7250329395183</v>
      </c>
      <c r="L416" s="58">
        <f t="shared" si="223"/>
        <v>9021.9888785997573</v>
      </c>
      <c r="M416" s="58">
        <f t="shared" si="224"/>
        <v>8338.957608828885</v>
      </c>
      <c r="N416" s="58">
        <f t="shared" si="224"/>
        <v>9265.5825783219498</v>
      </c>
      <c r="O416" s="80">
        <f t="shared" si="225"/>
        <v>8522.4146762231212</v>
      </c>
      <c r="P416" s="80">
        <f t="shared" si="225"/>
        <v>9469.4253950450329</v>
      </c>
      <c r="Q416" s="101">
        <f t="shared" si="235"/>
        <v>8726.9526284524763</v>
      </c>
      <c r="R416" s="80">
        <f t="shared" si="236"/>
        <v>9696.6916045261132</v>
      </c>
      <c r="S416" s="101">
        <f t="shared" si="237"/>
        <v>9049.8498757052166</v>
      </c>
      <c r="T416" s="80">
        <f t="shared" si="238"/>
        <v>10055.469193893579</v>
      </c>
      <c r="U416" s="101">
        <f t="shared" si="239"/>
        <v>9303.2456722249626</v>
      </c>
      <c r="V416" s="114">
        <f t="shared" si="240"/>
        <v>10337.0223313226</v>
      </c>
      <c r="W416" s="80">
        <f t="shared" si="241"/>
        <v>9442.7943573083357</v>
      </c>
      <c r="X416" s="80">
        <f t="shared" si="242"/>
        <v>10492.077666292438</v>
      </c>
      <c r="Y416" s="80">
        <f t="shared" si="243"/>
        <v>9593.8790670252693</v>
      </c>
      <c r="Z416" s="80">
        <f t="shared" si="244"/>
        <v>10659.950908953117</v>
      </c>
      <c r="AA416" s="80">
        <f t="shared" si="245"/>
        <v>9776.1627692987477</v>
      </c>
      <c r="AB416" s="80">
        <f t="shared" si="246"/>
        <v>10862.489976223225</v>
      </c>
      <c r="AC416" s="101">
        <f t="shared" si="247"/>
        <v>9961.9098619154229</v>
      </c>
      <c r="AD416" s="80">
        <f t="shared" si="248"/>
        <v>11068.877285771465</v>
      </c>
      <c r="AE416" s="101">
        <f t="shared" si="249"/>
        <v>10171.109969015646</v>
      </c>
      <c r="AF416" s="80">
        <f t="shared" si="250"/>
        <v>11301.323708772665</v>
      </c>
      <c r="AG416" s="143">
        <f t="shared" si="226"/>
        <v>10303.334398612849</v>
      </c>
      <c r="AH416" s="152">
        <f t="shared" si="227"/>
        <v>11448.240916986708</v>
      </c>
      <c r="AI416" s="143">
        <f t="shared" si="228"/>
        <v>10509.401086585107</v>
      </c>
      <c r="AJ416" s="152">
        <f t="shared" si="229"/>
        <v>11677.205735326443</v>
      </c>
      <c r="AK416" s="143">
        <f t="shared" si="230"/>
        <v>10814.173718096074</v>
      </c>
      <c r="AL416" s="152">
        <f t="shared" si="231"/>
        <v>12015.844701650909</v>
      </c>
      <c r="AM416" s="143">
        <f t="shared" si="232"/>
        <v>11495.466662336126</v>
      </c>
      <c r="AN416" s="143">
        <f t="shared" si="233"/>
        <v>12772.842917854916</v>
      </c>
    </row>
    <row r="417" spans="2:40">
      <c r="B417" s="19">
        <v>255003</v>
      </c>
      <c r="C417" s="18" t="s">
        <v>500</v>
      </c>
      <c r="D417" s="16">
        <v>8500</v>
      </c>
      <c r="E417" s="17">
        <f t="shared" si="234"/>
        <v>8925</v>
      </c>
      <c r="F417" s="57">
        <f>E417*1.045</f>
        <v>9326.625</v>
      </c>
      <c r="G417" s="57">
        <f t="shared" si="220"/>
        <v>9651.1915499999996</v>
      </c>
      <c r="H417" s="57">
        <f t="shared" si="221"/>
        <v>10723.631955036</v>
      </c>
      <c r="I417" s="57">
        <f t="shared" si="222"/>
        <v>9911.7737218499988</v>
      </c>
      <c r="J417" s="57">
        <f t="shared" si="222"/>
        <v>11013.170017821971</v>
      </c>
      <c r="K417" s="57">
        <f t="shared" si="223"/>
        <v>10149.656291174399</v>
      </c>
      <c r="L417" s="9">
        <f t="shared" si="223"/>
        <v>11277.486098249698</v>
      </c>
      <c r="M417" s="9">
        <f t="shared" si="224"/>
        <v>10423.697011036107</v>
      </c>
      <c r="N417" s="9">
        <f t="shared" si="224"/>
        <v>11581.978222902439</v>
      </c>
      <c r="O417" s="78">
        <f t="shared" si="225"/>
        <v>10653.018345278902</v>
      </c>
      <c r="P417" s="78">
        <f t="shared" si="225"/>
        <v>11836.781743806292</v>
      </c>
      <c r="Q417" s="1">
        <f t="shared" si="235"/>
        <v>10908.690785565595</v>
      </c>
      <c r="R417" s="78">
        <f t="shared" si="236"/>
        <v>12120.864505657642</v>
      </c>
      <c r="S417" s="1">
        <f t="shared" si="237"/>
        <v>11312.312344631522</v>
      </c>
      <c r="T417" s="78">
        <f t="shared" si="238"/>
        <v>12569.336492366974</v>
      </c>
      <c r="U417" s="1">
        <f t="shared" si="239"/>
        <v>11629.057090281205</v>
      </c>
      <c r="V417" s="99">
        <f t="shared" si="240"/>
        <v>12921.27791415325</v>
      </c>
      <c r="W417" s="78">
        <f t="shared" si="241"/>
        <v>11803.492946635422</v>
      </c>
      <c r="X417" s="78">
        <f t="shared" si="242"/>
        <v>13115.097082865548</v>
      </c>
      <c r="Y417" s="78">
        <f t="shared" si="243"/>
        <v>11992.348833781589</v>
      </c>
      <c r="Z417" s="78">
        <f t="shared" si="244"/>
        <v>13324.938636191397</v>
      </c>
      <c r="AA417" s="78">
        <f t="shared" si="245"/>
        <v>12220.203461623438</v>
      </c>
      <c r="AB417" s="78">
        <f t="shared" si="246"/>
        <v>13578.112470279031</v>
      </c>
      <c r="AC417" s="1">
        <f t="shared" si="247"/>
        <v>12452.387327394283</v>
      </c>
      <c r="AD417" s="78">
        <f t="shared" si="248"/>
        <v>13836.096607214331</v>
      </c>
      <c r="AE417" s="1">
        <f t="shared" si="249"/>
        <v>12713.887461269562</v>
      </c>
      <c r="AF417" s="78">
        <f t="shared" si="250"/>
        <v>14126.654635965831</v>
      </c>
      <c r="AG417" s="141">
        <f t="shared" si="226"/>
        <v>12879.167998266064</v>
      </c>
      <c r="AH417" s="140">
        <f t="shared" si="227"/>
        <v>14310.301146233385</v>
      </c>
      <c r="AI417" s="141">
        <f t="shared" si="228"/>
        <v>13136.751358231386</v>
      </c>
      <c r="AJ417" s="140">
        <f t="shared" si="229"/>
        <v>14596.507169158052</v>
      </c>
      <c r="AK417" s="141">
        <f t="shared" si="230"/>
        <v>13517.717147620095</v>
      </c>
      <c r="AL417" s="140">
        <f t="shared" si="231"/>
        <v>15019.805877063634</v>
      </c>
      <c r="AM417" s="141">
        <f t="shared" si="232"/>
        <v>14369.33332792016</v>
      </c>
      <c r="AN417" s="141">
        <f t="shared" si="233"/>
        <v>15966.053647318642</v>
      </c>
    </row>
    <row r="418" spans="2:40">
      <c r="B418" s="155">
        <v>250104</v>
      </c>
      <c r="C418" s="25" t="s">
        <v>501</v>
      </c>
      <c r="D418" s="54">
        <v>11050</v>
      </c>
      <c r="E418" s="55">
        <f t="shared" si="234"/>
        <v>11602.5</v>
      </c>
      <c r="F418" s="75">
        <f>E418*1.045</f>
        <v>12124.612499999999</v>
      </c>
      <c r="G418" s="75">
        <f t="shared" si="220"/>
        <v>12546.549014999999</v>
      </c>
      <c r="H418" s="75">
        <f t="shared" si="221"/>
        <v>13940.7215415468</v>
      </c>
      <c r="I418" s="75">
        <f t="shared" si="222"/>
        <v>12885.305838404998</v>
      </c>
      <c r="J418" s="75">
        <f t="shared" si="222"/>
        <v>14317.121023168562</v>
      </c>
      <c r="K418" s="75">
        <f t="shared" si="223"/>
        <v>13194.553178526718</v>
      </c>
      <c r="L418" s="71">
        <f t="shared" si="223"/>
        <v>14660.731927724608</v>
      </c>
      <c r="M418" s="71">
        <f t="shared" si="224"/>
        <v>13550.806114346939</v>
      </c>
      <c r="N418" s="71">
        <f t="shared" si="224"/>
        <v>15056.571689773171</v>
      </c>
      <c r="O418" s="79">
        <f t="shared" si="225"/>
        <v>13848.923848862571</v>
      </c>
      <c r="P418" s="79">
        <f t="shared" si="225"/>
        <v>15387.816266948181</v>
      </c>
      <c r="Q418" s="100">
        <f t="shared" si="235"/>
        <v>14181.298021235272</v>
      </c>
      <c r="R418" s="79">
        <f t="shared" si="236"/>
        <v>15757.123857354938</v>
      </c>
      <c r="S418" s="100">
        <f t="shared" si="237"/>
        <v>14706.006048020976</v>
      </c>
      <c r="T418" s="79">
        <f t="shared" si="238"/>
        <v>16340.137440077069</v>
      </c>
      <c r="U418" s="100">
        <f t="shared" si="239"/>
        <v>15117.774217365564</v>
      </c>
      <c r="V418" s="119">
        <f t="shared" si="240"/>
        <v>16797.661288399227</v>
      </c>
      <c r="W418" s="79">
        <f t="shared" si="241"/>
        <v>15344.540830626047</v>
      </c>
      <c r="X418" s="79">
        <f t="shared" si="242"/>
        <v>17049.626207725214</v>
      </c>
      <c r="Y418" s="79">
        <f t="shared" si="243"/>
        <v>15590.053483916065</v>
      </c>
      <c r="Z418" s="79">
        <f t="shared" si="244"/>
        <v>17322.420227048817</v>
      </c>
      <c r="AA418" s="79">
        <f t="shared" si="245"/>
        <v>15886.264500110468</v>
      </c>
      <c r="AB418" s="79">
        <f t="shared" si="246"/>
        <v>17651.546211362744</v>
      </c>
      <c r="AC418" s="100">
        <f t="shared" si="247"/>
        <v>16188.103525612565</v>
      </c>
      <c r="AD418" s="79">
        <f t="shared" si="248"/>
        <v>17986.925589378636</v>
      </c>
      <c r="AE418" s="100">
        <f t="shared" si="249"/>
        <v>16528.053699650427</v>
      </c>
      <c r="AF418" s="79">
        <f t="shared" si="250"/>
        <v>18364.651026755586</v>
      </c>
      <c r="AG418" s="142">
        <f t="shared" si="226"/>
        <v>16742.918397745882</v>
      </c>
      <c r="AH418" s="174">
        <f t="shared" si="227"/>
        <v>18603.391490103408</v>
      </c>
      <c r="AI418" s="142">
        <f t="shared" si="228"/>
        <v>17077.776765700801</v>
      </c>
      <c r="AJ418" s="174">
        <f t="shared" si="229"/>
        <v>18975.459319905476</v>
      </c>
      <c r="AK418" s="142">
        <f t="shared" si="230"/>
        <v>17573.032291906122</v>
      </c>
      <c r="AL418" s="174">
        <f t="shared" si="231"/>
        <v>19525.747640182733</v>
      </c>
      <c r="AM418" s="142">
        <f t="shared" si="232"/>
        <v>18680.133326296207</v>
      </c>
      <c r="AN418" s="142">
        <f t="shared" si="233"/>
        <v>20755.869741514245</v>
      </c>
    </row>
    <row r="419" spans="2:40" ht="15" customHeight="1">
      <c r="B419" s="180" t="s">
        <v>502</v>
      </c>
      <c r="C419" s="181"/>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c r="AC419" s="182"/>
      <c r="AD419" s="182"/>
      <c r="AE419" s="182"/>
      <c r="AF419" s="182"/>
      <c r="AG419" s="182"/>
      <c r="AH419" s="182"/>
      <c r="AI419" s="182"/>
      <c r="AJ419" s="182"/>
      <c r="AK419" s="180"/>
      <c r="AL419" s="183"/>
      <c r="AM419" s="183"/>
      <c r="AN419" s="181"/>
    </row>
    <row r="420" spans="2:40">
      <c r="B420" s="156">
        <v>365010</v>
      </c>
      <c r="C420" s="27" t="s">
        <v>503</v>
      </c>
      <c r="D420" s="116" t="s">
        <v>101</v>
      </c>
      <c r="E420" s="117" t="s">
        <v>101</v>
      </c>
      <c r="F420" s="125" t="s">
        <v>101</v>
      </c>
      <c r="G420" s="125" t="s">
        <v>101</v>
      </c>
      <c r="H420" s="125" t="s">
        <v>101</v>
      </c>
      <c r="I420" s="125" t="s">
        <v>101</v>
      </c>
      <c r="J420" s="125" t="s">
        <v>101</v>
      </c>
      <c r="K420" s="125" t="s">
        <v>101</v>
      </c>
      <c r="L420" s="125" t="s">
        <v>101</v>
      </c>
      <c r="M420" s="125" t="s">
        <v>101</v>
      </c>
      <c r="N420" s="108" t="s">
        <v>101</v>
      </c>
      <c r="O420" s="125" t="s">
        <v>101</v>
      </c>
      <c r="P420" s="125" t="s">
        <v>101</v>
      </c>
      <c r="Q420" s="125" t="s">
        <v>101</v>
      </c>
      <c r="R420" s="125" t="s">
        <v>101</v>
      </c>
      <c r="S420" s="108" t="s">
        <v>101</v>
      </c>
      <c r="T420" s="125" t="s">
        <v>101</v>
      </c>
      <c r="U420" s="108" t="s">
        <v>101</v>
      </c>
      <c r="V420" s="125" t="s">
        <v>101</v>
      </c>
      <c r="W420" s="108" t="s">
        <v>101</v>
      </c>
      <c r="X420" s="125" t="s">
        <v>101</v>
      </c>
      <c r="Y420" s="108" t="s">
        <v>101</v>
      </c>
      <c r="Z420" s="125" t="s">
        <v>101</v>
      </c>
      <c r="AA420" s="108" t="s">
        <v>101</v>
      </c>
      <c r="AB420" s="125" t="s">
        <v>101</v>
      </c>
      <c r="AC420" s="108" t="s">
        <v>101</v>
      </c>
      <c r="AD420" s="125" t="s">
        <v>101</v>
      </c>
      <c r="AE420" s="108" t="s">
        <v>101</v>
      </c>
      <c r="AF420" s="125" t="s">
        <v>101</v>
      </c>
      <c r="AG420" s="108" t="s">
        <v>101</v>
      </c>
      <c r="AH420" s="125" t="s">
        <v>101</v>
      </c>
      <c r="AI420" s="108" t="s">
        <v>101</v>
      </c>
      <c r="AJ420" s="125" t="s">
        <v>101</v>
      </c>
      <c r="AK420" s="125" t="s">
        <v>101</v>
      </c>
      <c r="AL420" s="108" t="s">
        <v>101</v>
      </c>
      <c r="AM420" s="108" t="s">
        <v>101</v>
      </c>
      <c r="AN420" s="108" t="s">
        <v>101</v>
      </c>
    </row>
    <row r="421" spans="2:40" ht="24.75">
      <c r="B421" s="19" t="s">
        <v>504</v>
      </c>
      <c r="C421" s="18" t="s">
        <v>505</v>
      </c>
      <c r="D421" s="16">
        <v>9560.3155000000006</v>
      </c>
      <c r="E421" s="17">
        <f t="shared" ref="E421:E423" si="251">D421*1.05</f>
        <v>10038.331275</v>
      </c>
      <c r="F421" s="57">
        <f>E421*1.045</f>
        <v>10490.056182374999</v>
      </c>
      <c r="G421" s="57">
        <f t="shared" si="220"/>
        <v>10855.110137521649</v>
      </c>
      <c r="H421" s="57">
        <f t="shared" si="221"/>
        <v>12061.329976003057</v>
      </c>
      <c r="I421" s="57">
        <f t="shared" si="222"/>
        <v>11148.198111234733</v>
      </c>
      <c r="J421" s="57">
        <f t="shared" si="222"/>
        <v>12386.985885355138</v>
      </c>
      <c r="K421" s="57">
        <f t="shared" si="223"/>
        <v>11415.754865904366</v>
      </c>
      <c r="L421" s="9">
        <f t="shared" si="223"/>
        <v>12684.273546603661</v>
      </c>
      <c r="M421" s="9">
        <f t="shared" si="224"/>
        <v>11723.980247283784</v>
      </c>
      <c r="N421" s="58">
        <f t="shared" si="224"/>
        <v>13026.748932361959</v>
      </c>
      <c r="O421" s="80">
        <f t="shared" si="225"/>
        <v>11981.907812724026</v>
      </c>
      <c r="P421" s="78">
        <f t="shared" si="225"/>
        <v>13313.337408873922</v>
      </c>
      <c r="Q421" s="1">
        <f t="shared" si="235"/>
        <v>12269.473600229403</v>
      </c>
      <c r="R421" s="80">
        <f t="shared" si="236"/>
        <v>13632.857506686896</v>
      </c>
      <c r="S421" s="1">
        <f t="shared" si="237"/>
        <v>12723.44412343789</v>
      </c>
      <c r="T421" s="78">
        <f t="shared" si="238"/>
        <v>14137.273234434309</v>
      </c>
      <c r="U421" s="1">
        <f t="shared" si="239"/>
        <v>13079.700558894152</v>
      </c>
      <c r="V421" s="99">
        <f t="shared" si="240"/>
        <v>14533.11688499847</v>
      </c>
      <c r="W421" s="80">
        <f t="shared" si="241"/>
        <v>13275.896067277563</v>
      </c>
      <c r="X421" s="80">
        <f t="shared" si="242"/>
        <v>14751.113638273446</v>
      </c>
      <c r="Y421" s="80">
        <f t="shared" si="243"/>
        <v>13488.310404354004</v>
      </c>
      <c r="Z421" s="80">
        <f t="shared" si="244"/>
        <v>14987.13145648582</v>
      </c>
      <c r="AA421" s="80">
        <f t="shared" si="245"/>
        <v>13744.588302036729</v>
      </c>
      <c r="AB421" s="80">
        <f t="shared" si="246"/>
        <v>15271.88695415905</v>
      </c>
      <c r="AC421" s="101">
        <f t="shared" si="247"/>
        <v>14005.735479775425</v>
      </c>
      <c r="AD421" s="80">
        <f t="shared" si="248"/>
        <v>15562.052806288071</v>
      </c>
      <c r="AE421" s="101">
        <f t="shared" si="249"/>
        <v>14299.855924850708</v>
      </c>
      <c r="AF421" s="80">
        <f t="shared" si="250"/>
        <v>15888.85591522012</v>
      </c>
      <c r="AG421" s="143">
        <f t="shared" si="226"/>
        <v>14485.754051873766</v>
      </c>
      <c r="AH421" s="152">
        <f t="shared" si="227"/>
        <v>16095.411042117979</v>
      </c>
      <c r="AI421" s="143">
        <f t="shared" si="228"/>
        <v>14775.469132911241</v>
      </c>
      <c r="AJ421" s="152">
        <f t="shared" si="229"/>
        <v>16417.31926296034</v>
      </c>
      <c r="AK421" s="143">
        <f t="shared" si="230"/>
        <v>15203.957737765666</v>
      </c>
      <c r="AL421" s="152">
        <f t="shared" si="231"/>
        <v>16893.421521586188</v>
      </c>
      <c r="AM421" s="143">
        <f t="shared" si="232"/>
        <v>16161.807075244902</v>
      </c>
      <c r="AN421" s="143">
        <f t="shared" si="233"/>
        <v>17957.707077446117</v>
      </c>
    </row>
    <row r="422" spans="2:40">
      <c r="B422" s="164">
        <v>360111</v>
      </c>
      <c r="C422" s="145" t="s">
        <v>506</v>
      </c>
      <c r="D422" s="146">
        <v>78193.718500000003</v>
      </c>
      <c r="E422" s="147">
        <f t="shared" si="251"/>
        <v>82103.404425000001</v>
      </c>
      <c r="F422" s="148">
        <f>E422*1.045</f>
        <v>85798.057624124995</v>
      </c>
      <c r="G422" s="148">
        <f t="shared" si="220"/>
        <v>88783.830029444536</v>
      </c>
      <c r="H422" s="148">
        <f t="shared" si="221"/>
        <v>98649.489222316421</v>
      </c>
      <c r="I422" s="148">
        <f t="shared" si="222"/>
        <v>91180.99344023953</v>
      </c>
      <c r="J422" s="148">
        <f t="shared" si="222"/>
        <v>101313.02543131895</v>
      </c>
      <c r="K422" s="148">
        <f t="shared" si="223"/>
        <v>93369.337282805282</v>
      </c>
      <c r="L422" s="149">
        <f t="shared" si="223"/>
        <v>103744.5380416706</v>
      </c>
      <c r="M422" s="149">
        <f t="shared" si="224"/>
        <v>95890.309389441012</v>
      </c>
      <c r="N422" s="149">
        <f t="shared" si="224"/>
        <v>106545.6405687957</v>
      </c>
      <c r="O422" s="91">
        <f t="shared" si="225"/>
        <v>97999.896196008718</v>
      </c>
      <c r="P422" s="91">
        <f t="shared" si="225"/>
        <v>108889.64466130921</v>
      </c>
      <c r="Q422" s="107">
        <f t="shared" si="235"/>
        <v>100351.89370471293</v>
      </c>
      <c r="R422" s="91">
        <f t="shared" si="236"/>
        <v>111502.99613318064</v>
      </c>
      <c r="S422" s="107">
        <f t="shared" si="237"/>
        <v>104064.91377178729</v>
      </c>
      <c r="T422" s="91">
        <f t="shared" si="238"/>
        <v>115628.60699010831</v>
      </c>
      <c r="U422" s="107">
        <f t="shared" si="239"/>
        <v>106978.73135739734</v>
      </c>
      <c r="V422" s="150">
        <f t="shared" si="240"/>
        <v>118866.20798583135</v>
      </c>
      <c r="W422" s="91">
        <f t="shared" si="241"/>
        <v>108583.41232775828</v>
      </c>
      <c r="X422" s="91">
        <f t="shared" si="242"/>
        <v>120649.20110561881</v>
      </c>
      <c r="Y422" s="91">
        <f t="shared" si="243"/>
        <v>110320.74692500242</v>
      </c>
      <c r="Z422" s="91">
        <f t="shared" si="244"/>
        <v>122579.58832330871</v>
      </c>
      <c r="AA422" s="91">
        <f t="shared" si="245"/>
        <v>112416.84111657745</v>
      </c>
      <c r="AB422" s="91">
        <f t="shared" si="246"/>
        <v>124908.60050145157</v>
      </c>
      <c r="AC422" s="107">
        <f t="shared" si="247"/>
        <v>114552.76109779241</v>
      </c>
      <c r="AD422" s="91">
        <f t="shared" si="248"/>
        <v>127281.86391097914</v>
      </c>
      <c r="AE422" s="107">
        <f t="shared" si="249"/>
        <v>116958.36908084604</v>
      </c>
      <c r="AF422" s="91">
        <f t="shared" si="250"/>
        <v>129954.78305310968</v>
      </c>
      <c r="AG422" s="151">
        <f t="shared" si="226"/>
        <v>118478.82787889702</v>
      </c>
      <c r="AH422" s="176">
        <f t="shared" si="227"/>
        <v>131644.19523280009</v>
      </c>
      <c r="AI422" s="151">
        <f t="shared" si="228"/>
        <v>120848.40443647496</v>
      </c>
      <c r="AJ422" s="176">
        <f t="shared" si="229"/>
        <v>134277.07913745611</v>
      </c>
      <c r="AK422" s="151">
        <f t="shared" si="230"/>
        <v>124353.00816513272</v>
      </c>
      <c r="AL422" s="176">
        <f t="shared" si="231"/>
        <v>138171.11443244232</v>
      </c>
      <c r="AM422" s="151">
        <f t="shared" si="232"/>
        <v>132187.24767953609</v>
      </c>
      <c r="AN422" s="151">
        <f t="shared" si="233"/>
        <v>146875.89464168617</v>
      </c>
    </row>
    <row r="423" spans="2:40">
      <c r="B423" s="19">
        <v>360113</v>
      </c>
      <c r="C423" s="18" t="s">
        <v>507</v>
      </c>
      <c r="D423" s="16">
        <v>17494.487499999999</v>
      </c>
      <c r="E423" s="17">
        <f t="shared" si="251"/>
        <v>18369.211875000001</v>
      </c>
      <c r="F423" s="57">
        <f>E423*1.045</f>
        <v>19195.826409375</v>
      </c>
      <c r="G423" s="57">
        <f t="shared" si="220"/>
        <v>19863.841168421248</v>
      </c>
      <c r="H423" s="57">
        <f t="shared" si="221"/>
        <v>22071.11119905622</v>
      </c>
      <c r="I423" s="57">
        <f t="shared" si="222"/>
        <v>20400.164879968619</v>
      </c>
      <c r="J423" s="57">
        <f t="shared" si="222"/>
        <v>22667.031201430735</v>
      </c>
      <c r="K423" s="57">
        <f t="shared" si="223"/>
        <v>20889.768837087868</v>
      </c>
      <c r="L423" s="9">
        <f t="shared" si="223"/>
        <v>23211.039950265073</v>
      </c>
      <c r="M423" s="9">
        <f t="shared" si="224"/>
        <v>21453.79259568924</v>
      </c>
      <c r="N423" s="71">
        <f t="shared" si="224"/>
        <v>23837.738028922227</v>
      </c>
      <c r="O423" s="79">
        <f t="shared" si="225"/>
        <v>21925.776032794402</v>
      </c>
      <c r="P423" s="78">
        <f t="shared" si="225"/>
        <v>24362.168265558517</v>
      </c>
      <c r="Q423" s="1">
        <f t="shared" si="235"/>
        <v>22451.994657581468</v>
      </c>
      <c r="R423" s="79">
        <f t="shared" si="236"/>
        <v>24946.86030393192</v>
      </c>
      <c r="S423" s="1">
        <f t="shared" si="237"/>
        <v>23282.718459911979</v>
      </c>
      <c r="T423" s="78">
        <f t="shared" si="238"/>
        <v>25869.894135177401</v>
      </c>
      <c r="U423" s="1">
        <f t="shared" si="239"/>
        <v>23934.634576789515</v>
      </c>
      <c r="V423" s="99">
        <f t="shared" si="240"/>
        <v>26594.251170962369</v>
      </c>
      <c r="W423" s="79">
        <f t="shared" si="241"/>
        <v>24293.654095441354</v>
      </c>
      <c r="X423" s="79">
        <f t="shared" si="242"/>
        <v>26993.164938526803</v>
      </c>
      <c r="Y423" s="79">
        <f t="shared" si="243"/>
        <v>24682.352560968415</v>
      </c>
      <c r="Z423" s="79">
        <f t="shared" si="244"/>
        <v>27425.055577543233</v>
      </c>
      <c r="AA423" s="79">
        <f t="shared" si="245"/>
        <v>25151.317259626812</v>
      </c>
      <c r="AB423" s="79">
        <f t="shared" si="246"/>
        <v>27946.13163351655</v>
      </c>
      <c r="AC423" s="100">
        <f t="shared" si="247"/>
        <v>25629.192287559719</v>
      </c>
      <c r="AD423" s="79">
        <f t="shared" si="248"/>
        <v>28477.10813455336</v>
      </c>
      <c r="AE423" s="100">
        <f t="shared" si="249"/>
        <v>26167.405325598473</v>
      </c>
      <c r="AF423" s="79">
        <f t="shared" si="250"/>
        <v>29075.127405378978</v>
      </c>
      <c r="AG423" s="142">
        <f t="shared" si="226"/>
        <v>26507.581594831252</v>
      </c>
      <c r="AH423" s="174">
        <f t="shared" si="227"/>
        <v>29453.104061648901</v>
      </c>
      <c r="AI423" s="142">
        <f t="shared" si="228"/>
        <v>27037.733226727876</v>
      </c>
      <c r="AJ423" s="174">
        <f t="shared" si="229"/>
        <v>30042.166142881881</v>
      </c>
      <c r="AK423" s="142">
        <f t="shared" si="230"/>
        <v>27821.827490302981</v>
      </c>
      <c r="AL423" s="174">
        <f t="shared" si="231"/>
        <v>30913.388961025452</v>
      </c>
      <c r="AM423" s="142">
        <f t="shared" si="232"/>
        <v>29574.602622192069</v>
      </c>
      <c r="AN423" s="142">
        <f t="shared" si="233"/>
        <v>32860.932465570055</v>
      </c>
    </row>
    <row r="424" spans="2:40">
      <c r="B424" s="19">
        <v>365011</v>
      </c>
      <c r="C424" s="18" t="s">
        <v>508</v>
      </c>
      <c r="D424" s="23" t="s">
        <v>101</v>
      </c>
      <c r="E424" s="28" t="s">
        <v>101</v>
      </c>
      <c r="F424" s="3" t="s">
        <v>101</v>
      </c>
      <c r="G424" s="3" t="s">
        <v>101</v>
      </c>
      <c r="H424" s="3" t="s">
        <v>101</v>
      </c>
      <c r="I424" s="3" t="s">
        <v>101</v>
      </c>
      <c r="J424" s="3" t="s">
        <v>101</v>
      </c>
      <c r="K424" s="3" t="s">
        <v>101</v>
      </c>
      <c r="L424" s="3" t="s">
        <v>101</v>
      </c>
      <c r="M424" s="3" t="s">
        <v>101</v>
      </c>
      <c r="N424" s="29" t="s">
        <v>101</v>
      </c>
      <c r="O424" s="3" t="s">
        <v>101</v>
      </c>
      <c r="P424" s="3" t="s">
        <v>101</v>
      </c>
      <c r="Q424" s="3" t="s">
        <v>101</v>
      </c>
      <c r="R424" s="3" t="s">
        <v>101</v>
      </c>
      <c r="S424" s="29" t="s">
        <v>101</v>
      </c>
      <c r="T424" s="3" t="s">
        <v>101</v>
      </c>
      <c r="U424" s="29" t="s">
        <v>101</v>
      </c>
      <c r="V424" s="3" t="s">
        <v>101</v>
      </c>
      <c r="W424" s="29" t="s">
        <v>101</v>
      </c>
      <c r="X424" s="3" t="s">
        <v>101</v>
      </c>
      <c r="Y424" s="29" t="s">
        <v>101</v>
      </c>
      <c r="Z424" s="3" t="s">
        <v>101</v>
      </c>
      <c r="AA424" s="29" t="s">
        <v>101</v>
      </c>
      <c r="AB424" s="3" t="s">
        <v>101</v>
      </c>
      <c r="AC424" s="29" t="s">
        <v>101</v>
      </c>
      <c r="AD424" s="3" t="s">
        <v>101</v>
      </c>
      <c r="AE424" s="29" t="s">
        <v>101</v>
      </c>
      <c r="AF424" s="3" t="s">
        <v>101</v>
      </c>
      <c r="AG424" s="29" t="s">
        <v>101</v>
      </c>
      <c r="AH424" s="3" t="s">
        <v>101</v>
      </c>
      <c r="AI424" s="29" t="s">
        <v>101</v>
      </c>
      <c r="AJ424" s="3" t="s">
        <v>101</v>
      </c>
      <c r="AK424" s="3" t="s">
        <v>101</v>
      </c>
      <c r="AL424" s="29" t="s">
        <v>101</v>
      </c>
      <c r="AM424" s="29" t="s">
        <v>101</v>
      </c>
      <c r="AN424" s="29" t="s">
        <v>101</v>
      </c>
    </row>
    <row r="425" spans="2:40">
      <c r="B425" s="19">
        <v>360115</v>
      </c>
      <c r="C425" s="18" t="s">
        <v>509</v>
      </c>
      <c r="D425" s="23" t="s">
        <v>101</v>
      </c>
      <c r="E425" s="28" t="s">
        <v>101</v>
      </c>
      <c r="F425" s="3" t="s">
        <v>101</v>
      </c>
      <c r="G425" s="3" t="s">
        <v>101</v>
      </c>
      <c r="H425" s="3" t="s">
        <v>101</v>
      </c>
      <c r="I425" s="3" t="s">
        <v>101</v>
      </c>
      <c r="J425" s="3" t="s">
        <v>101</v>
      </c>
      <c r="K425" s="3" t="s">
        <v>101</v>
      </c>
      <c r="L425" s="3" t="s">
        <v>101</v>
      </c>
      <c r="M425" s="3" t="s">
        <v>101</v>
      </c>
      <c r="N425" s="29" t="s">
        <v>101</v>
      </c>
      <c r="O425" s="3" t="s">
        <v>101</v>
      </c>
      <c r="P425" s="3" t="s">
        <v>101</v>
      </c>
      <c r="Q425" s="3" t="s">
        <v>101</v>
      </c>
      <c r="R425" s="3" t="s">
        <v>101</v>
      </c>
      <c r="S425" s="29" t="s">
        <v>101</v>
      </c>
      <c r="T425" s="3" t="s">
        <v>101</v>
      </c>
      <c r="U425" s="29" t="s">
        <v>101</v>
      </c>
      <c r="V425" s="3" t="s">
        <v>101</v>
      </c>
      <c r="W425" s="29" t="s">
        <v>101</v>
      </c>
      <c r="X425" s="3" t="s">
        <v>101</v>
      </c>
      <c r="Y425" s="29" t="s">
        <v>101</v>
      </c>
      <c r="Z425" s="3" t="s">
        <v>101</v>
      </c>
      <c r="AA425" s="29" t="s">
        <v>101</v>
      </c>
      <c r="AB425" s="3" t="s">
        <v>101</v>
      </c>
      <c r="AC425" s="29" t="s">
        <v>101</v>
      </c>
      <c r="AD425" s="3" t="s">
        <v>101</v>
      </c>
      <c r="AE425" s="29" t="s">
        <v>101</v>
      </c>
      <c r="AF425" s="3" t="s">
        <v>101</v>
      </c>
      <c r="AG425" s="29" t="s">
        <v>101</v>
      </c>
      <c r="AH425" s="3" t="s">
        <v>101</v>
      </c>
      <c r="AI425" s="29" t="s">
        <v>101</v>
      </c>
      <c r="AJ425" s="3" t="s">
        <v>101</v>
      </c>
      <c r="AK425" s="3" t="s">
        <v>101</v>
      </c>
      <c r="AL425" s="29" t="s">
        <v>101</v>
      </c>
      <c r="AM425" s="29" t="s">
        <v>101</v>
      </c>
      <c r="AN425" s="29" t="s">
        <v>101</v>
      </c>
    </row>
    <row r="426" spans="2:40">
      <c r="B426" s="19">
        <v>365012</v>
      </c>
      <c r="C426" s="18" t="s">
        <v>510</v>
      </c>
      <c r="D426" s="23" t="s">
        <v>101</v>
      </c>
      <c r="E426" s="28" t="s">
        <v>101</v>
      </c>
      <c r="F426" s="3" t="s">
        <v>101</v>
      </c>
      <c r="G426" s="3" t="s">
        <v>101</v>
      </c>
      <c r="H426" s="3" t="s">
        <v>101</v>
      </c>
      <c r="I426" s="3" t="s">
        <v>101</v>
      </c>
      <c r="J426" s="3" t="s">
        <v>101</v>
      </c>
      <c r="K426" s="3" t="s">
        <v>101</v>
      </c>
      <c r="L426" s="3" t="s">
        <v>101</v>
      </c>
      <c r="M426" s="3" t="s">
        <v>101</v>
      </c>
      <c r="N426" s="29" t="s">
        <v>101</v>
      </c>
      <c r="O426" s="3" t="s">
        <v>101</v>
      </c>
      <c r="P426" s="3" t="s">
        <v>101</v>
      </c>
      <c r="Q426" s="3" t="s">
        <v>101</v>
      </c>
      <c r="R426" s="3" t="s">
        <v>101</v>
      </c>
      <c r="S426" s="29" t="s">
        <v>101</v>
      </c>
      <c r="T426" s="3" t="s">
        <v>101</v>
      </c>
      <c r="U426" s="29" t="s">
        <v>101</v>
      </c>
      <c r="V426" s="3" t="s">
        <v>101</v>
      </c>
      <c r="W426" s="29" t="s">
        <v>101</v>
      </c>
      <c r="X426" s="3" t="s">
        <v>101</v>
      </c>
      <c r="Y426" s="29" t="s">
        <v>101</v>
      </c>
      <c r="Z426" s="3" t="s">
        <v>101</v>
      </c>
      <c r="AA426" s="29" t="s">
        <v>101</v>
      </c>
      <c r="AB426" s="3" t="s">
        <v>101</v>
      </c>
      <c r="AC426" s="29" t="s">
        <v>101</v>
      </c>
      <c r="AD426" s="3" t="s">
        <v>101</v>
      </c>
      <c r="AE426" s="29" t="s">
        <v>101</v>
      </c>
      <c r="AF426" s="3" t="s">
        <v>101</v>
      </c>
      <c r="AG426" s="29" t="s">
        <v>101</v>
      </c>
      <c r="AH426" s="3" t="s">
        <v>101</v>
      </c>
      <c r="AI426" s="29" t="s">
        <v>101</v>
      </c>
      <c r="AJ426" s="3" t="s">
        <v>101</v>
      </c>
      <c r="AK426" s="3" t="s">
        <v>101</v>
      </c>
      <c r="AL426" s="29" t="s">
        <v>101</v>
      </c>
      <c r="AM426" s="29" t="s">
        <v>101</v>
      </c>
      <c r="AN426" s="29" t="s">
        <v>101</v>
      </c>
    </row>
    <row r="427" spans="2:40">
      <c r="B427" s="155">
        <v>365013</v>
      </c>
      <c r="C427" s="25" t="s">
        <v>511</v>
      </c>
      <c r="D427" s="109" t="s">
        <v>101</v>
      </c>
      <c r="E427" s="115" t="s">
        <v>101</v>
      </c>
      <c r="F427" s="89" t="s">
        <v>101</v>
      </c>
      <c r="G427" s="89" t="s">
        <v>101</v>
      </c>
      <c r="H427" s="89" t="s">
        <v>101</v>
      </c>
      <c r="I427" s="89" t="s">
        <v>101</v>
      </c>
      <c r="J427" s="89" t="s">
        <v>101</v>
      </c>
      <c r="K427" s="89" t="s">
        <v>101</v>
      </c>
      <c r="L427" s="89" t="s">
        <v>101</v>
      </c>
      <c r="M427" s="89" t="s">
        <v>101</v>
      </c>
      <c r="N427" s="90" t="s">
        <v>101</v>
      </c>
      <c r="O427" s="89" t="s">
        <v>101</v>
      </c>
      <c r="P427" s="89" t="s">
        <v>101</v>
      </c>
      <c r="Q427" s="89" t="s">
        <v>101</v>
      </c>
      <c r="R427" s="89" t="s">
        <v>101</v>
      </c>
      <c r="S427" s="90" t="s">
        <v>101</v>
      </c>
      <c r="T427" s="89" t="s">
        <v>101</v>
      </c>
      <c r="U427" s="90" t="s">
        <v>101</v>
      </c>
      <c r="V427" s="89" t="s">
        <v>101</v>
      </c>
      <c r="W427" s="90" t="s">
        <v>101</v>
      </c>
      <c r="X427" s="89" t="s">
        <v>101</v>
      </c>
      <c r="Y427" s="90" t="s">
        <v>101</v>
      </c>
      <c r="Z427" s="89" t="s">
        <v>101</v>
      </c>
      <c r="AA427" s="90" t="s">
        <v>101</v>
      </c>
      <c r="AB427" s="89" t="s">
        <v>101</v>
      </c>
      <c r="AC427" s="90" t="s">
        <v>101</v>
      </c>
      <c r="AD427" s="89" t="s">
        <v>101</v>
      </c>
      <c r="AE427" s="90" t="s">
        <v>101</v>
      </c>
      <c r="AF427" s="89" t="s">
        <v>101</v>
      </c>
      <c r="AG427" s="90" t="s">
        <v>101</v>
      </c>
      <c r="AH427" s="89" t="s">
        <v>101</v>
      </c>
      <c r="AI427" s="90" t="s">
        <v>101</v>
      </c>
      <c r="AJ427" s="89" t="s">
        <v>101</v>
      </c>
      <c r="AK427" s="89" t="s">
        <v>101</v>
      </c>
      <c r="AL427" s="90" t="s">
        <v>101</v>
      </c>
      <c r="AM427" s="90" t="s">
        <v>101</v>
      </c>
      <c r="AN427" s="90" t="s">
        <v>101</v>
      </c>
    </row>
    <row r="428" spans="2:40" ht="15" customHeight="1">
      <c r="B428" s="180" t="s">
        <v>512</v>
      </c>
      <c r="C428" s="181"/>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c r="AD428" s="182"/>
      <c r="AE428" s="182"/>
      <c r="AF428" s="182"/>
      <c r="AG428" s="182"/>
      <c r="AH428" s="182"/>
      <c r="AI428" s="182"/>
      <c r="AJ428" s="182"/>
      <c r="AK428" s="180"/>
      <c r="AL428" s="183"/>
      <c r="AM428" s="183"/>
      <c r="AN428" s="181"/>
    </row>
    <row r="429" spans="2:40">
      <c r="B429" s="156">
        <v>75005</v>
      </c>
      <c r="C429" s="27" t="s">
        <v>513</v>
      </c>
      <c r="D429" s="112" t="s">
        <v>514</v>
      </c>
      <c r="E429" s="118" t="s">
        <v>514</v>
      </c>
      <c r="F429" s="135" t="s">
        <v>514</v>
      </c>
      <c r="G429" s="135" t="s">
        <v>514</v>
      </c>
      <c r="H429" s="125" t="s">
        <v>97</v>
      </c>
      <c r="I429" s="125" t="s">
        <v>97</v>
      </c>
      <c r="J429" s="125" t="s">
        <v>97</v>
      </c>
      <c r="K429" s="125" t="s">
        <v>97</v>
      </c>
      <c r="L429" s="125" t="s">
        <v>97</v>
      </c>
      <c r="M429" s="125" t="s">
        <v>97</v>
      </c>
      <c r="N429" s="108" t="s">
        <v>97</v>
      </c>
      <c r="O429" s="125" t="s">
        <v>97</v>
      </c>
      <c r="P429" s="125" t="s">
        <v>97</v>
      </c>
      <c r="Q429" s="125" t="s">
        <v>97</v>
      </c>
      <c r="R429" s="125" t="s">
        <v>97</v>
      </c>
      <c r="S429" s="108" t="s">
        <v>97</v>
      </c>
      <c r="T429" s="125" t="s">
        <v>97</v>
      </c>
      <c r="U429" s="108" t="s">
        <v>97</v>
      </c>
      <c r="V429" s="125" t="s">
        <v>97</v>
      </c>
      <c r="W429" s="108" t="s">
        <v>97</v>
      </c>
      <c r="X429" s="125" t="s">
        <v>97</v>
      </c>
      <c r="Y429" s="108" t="s">
        <v>97</v>
      </c>
      <c r="Z429" s="125" t="s">
        <v>97</v>
      </c>
      <c r="AA429" s="108" t="s">
        <v>97</v>
      </c>
      <c r="AB429" s="125" t="s">
        <v>97</v>
      </c>
      <c r="AC429" s="108" t="s">
        <v>97</v>
      </c>
      <c r="AD429" s="125" t="s">
        <v>97</v>
      </c>
      <c r="AE429" s="108" t="s">
        <v>97</v>
      </c>
      <c r="AF429" s="125" t="s">
        <v>97</v>
      </c>
      <c r="AG429" s="108" t="s">
        <v>97</v>
      </c>
      <c r="AH429" s="125" t="s">
        <v>97</v>
      </c>
      <c r="AI429" s="108" t="s">
        <v>97</v>
      </c>
      <c r="AJ429" s="125" t="s">
        <v>97</v>
      </c>
      <c r="AK429" s="125" t="s">
        <v>97</v>
      </c>
      <c r="AL429" s="108" t="s">
        <v>97</v>
      </c>
      <c r="AM429" s="108" t="s">
        <v>97</v>
      </c>
      <c r="AN429" s="108" t="s">
        <v>97</v>
      </c>
    </row>
    <row r="430" spans="2:40">
      <c r="B430" s="19">
        <v>75010</v>
      </c>
      <c r="C430" s="18" t="s">
        <v>515</v>
      </c>
      <c r="D430" s="16" t="s">
        <v>514</v>
      </c>
      <c r="E430" s="17" t="s">
        <v>514</v>
      </c>
      <c r="F430" s="6" t="s">
        <v>514</v>
      </c>
      <c r="G430" s="6" t="s">
        <v>514</v>
      </c>
      <c r="H430" s="3" t="s">
        <v>97</v>
      </c>
      <c r="I430" s="3" t="s">
        <v>97</v>
      </c>
      <c r="J430" s="3" t="s">
        <v>97</v>
      </c>
      <c r="K430" s="3" t="s">
        <v>97</v>
      </c>
      <c r="L430" s="3" t="s">
        <v>97</v>
      </c>
      <c r="M430" s="3" t="s">
        <v>97</v>
      </c>
      <c r="N430" s="29" t="s">
        <v>97</v>
      </c>
      <c r="O430" s="3" t="s">
        <v>97</v>
      </c>
      <c r="P430" s="3" t="s">
        <v>97</v>
      </c>
      <c r="Q430" s="3" t="s">
        <v>97</v>
      </c>
      <c r="R430" s="3" t="s">
        <v>97</v>
      </c>
      <c r="S430" s="29" t="s">
        <v>97</v>
      </c>
      <c r="T430" s="3" t="s">
        <v>97</v>
      </c>
      <c r="U430" s="29" t="s">
        <v>97</v>
      </c>
      <c r="V430" s="3" t="s">
        <v>97</v>
      </c>
      <c r="W430" s="29" t="s">
        <v>97</v>
      </c>
      <c r="X430" s="3" t="s">
        <v>97</v>
      </c>
      <c r="Y430" s="29" t="s">
        <v>97</v>
      </c>
      <c r="Z430" s="3" t="s">
        <v>97</v>
      </c>
      <c r="AA430" s="29" t="s">
        <v>97</v>
      </c>
      <c r="AB430" s="3" t="s">
        <v>97</v>
      </c>
      <c r="AC430" s="29" t="s">
        <v>97</v>
      </c>
      <c r="AD430" s="3" t="s">
        <v>97</v>
      </c>
      <c r="AE430" s="29" t="s">
        <v>97</v>
      </c>
      <c r="AF430" s="3" t="s">
        <v>97</v>
      </c>
      <c r="AG430" s="29" t="s">
        <v>97</v>
      </c>
      <c r="AH430" s="3" t="s">
        <v>97</v>
      </c>
      <c r="AI430" s="29" t="s">
        <v>97</v>
      </c>
      <c r="AJ430" s="3" t="s">
        <v>97</v>
      </c>
      <c r="AK430" s="3" t="s">
        <v>97</v>
      </c>
      <c r="AL430" s="29" t="s">
        <v>97</v>
      </c>
      <c r="AM430" s="29" t="s">
        <v>97</v>
      </c>
      <c r="AN430" s="29" t="s">
        <v>97</v>
      </c>
    </row>
    <row r="431" spans="2:40">
      <c r="B431" s="19">
        <v>77321</v>
      </c>
      <c r="C431" s="18" t="s">
        <v>516</v>
      </c>
      <c r="D431" s="16" t="s">
        <v>514</v>
      </c>
      <c r="E431" s="17" t="s">
        <v>514</v>
      </c>
      <c r="F431" s="6" t="s">
        <v>514</v>
      </c>
      <c r="G431" s="6" t="s">
        <v>514</v>
      </c>
      <c r="H431" s="3" t="s">
        <v>97</v>
      </c>
      <c r="I431" s="3" t="s">
        <v>97</v>
      </c>
      <c r="J431" s="3" t="s">
        <v>97</v>
      </c>
      <c r="K431" s="3" t="s">
        <v>97</v>
      </c>
      <c r="L431" s="3" t="s">
        <v>97</v>
      </c>
      <c r="M431" s="3" t="s">
        <v>97</v>
      </c>
      <c r="N431" s="29" t="s">
        <v>97</v>
      </c>
      <c r="O431" s="3" t="s">
        <v>97</v>
      </c>
      <c r="P431" s="3" t="s">
        <v>97</v>
      </c>
      <c r="Q431" s="3" t="s">
        <v>97</v>
      </c>
      <c r="R431" s="3" t="s">
        <v>97</v>
      </c>
      <c r="S431" s="29" t="s">
        <v>97</v>
      </c>
      <c r="T431" s="3" t="s">
        <v>97</v>
      </c>
      <c r="U431" s="29" t="s">
        <v>97</v>
      </c>
      <c r="V431" s="3" t="s">
        <v>97</v>
      </c>
      <c r="W431" s="29" t="s">
        <v>97</v>
      </c>
      <c r="X431" s="3" t="s">
        <v>97</v>
      </c>
      <c r="Y431" s="29" t="s">
        <v>97</v>
      </c>
      <c r="Z431" s="3" t="s">
        <v>97</v>
      </c>
      <c r="AA431" s="29" t="s">
        <v>97</v>
      </c>
      <c r="AB431" s="3" t="s">
        <v>97</v>
      </c>
      <c r="AC431" s="29" t="s">
        <v>97</v>
      </c>
      <c r="AD431" s="3" t="s">
        <v>97</v>
      </c>
      <c r="AE431" s="29" t="s">
        <v>97</v>
      </c>
      <c r="AF431" s="3" t="s">
        <v>97</v>
      </c>
      <c r="AG431" s="29" t="s">
        <v>97</v>
      </c>
      <c r="AH431" s="3" t="s">
        <v>97</v>
      </c>
      <c r="AI431" s="29" t="s">
        <v>97</v>
      </c>
      <c r="AJ431" s="3" t="s">
        <v>97</v>
      </c>
      <c r="AK431" s="3" t="s">
        <v>97</v>
      </c>
      <c r="AL431" s="29" t="s">
        <v>97</v>
      </c>
      <c r="AM431" s="29" t="s">
        <v>97</v>
      </c>
      <c r="AN431" s="29" t="s">
        <v>97</v>
      </c>
    </row>
    <row r="432" spans="2:40" ht="37.5">
      <c r="B432" s="155"/>
      <c r="C432" s="25" t="s">
        <v>517</v>
      </c>
      <c r="D432" s="54">
        <v>668100</v>
      </c>
      <c r="E432" s="55">
        <f t="shared" ref="E432:E439" si="252">D432*1.05</f>
        <v>701505</v>
      </c>
      <c r="F432" s="75">
        <f>E432*1.045</f>
        <v>733072.72499999998</v>
      </c>
      <c r="G432" s="75">
        <f t="shared" si="220"/>
        <v>758583.65582999995</v>
      </c>
      <c r="H432" s="75">
        <f t="shared" si="221"/>
        <v>842877.47166582965</v>
      </c>
      <c r="I432" s="75">
        <f t="shared" si="222"/>
        <v>779065.4145374099</v>
      </c>
      <c r="J432" s="75">
        <f t="shared" si="222"/>
        <v>865635.16340080695</v>
      </c>
      <c r="K432" s="75">
        <f t="shared" si="223"/>
        <v>797762.98448630772</v>
      </c>
      <c r="L432" s="71">
        <f t="shared" si="223"/>
        <v>886410.40732242633</v>
      </c>
      <c r="M432" s="71">
        <f t="shared" si="224"/>
        <v>819302.58506743796</v>
      </c>
      <c r="N432" s="72">
        <f t="shared" si="224"/>
        <v>910343.48832013179</v>
      </c>
      <c r="O432" s="81">
        <f t="shared" si="225"/>
        <v>837327.24193892162</v>
      </c>
      <c r="P432" s="79">
        <f t="shared" si="225"/>
        <v>930371.04506317468</v>
      </c>
      <c r="Q432" s="100">
        <f t="shared" si="235"/>
        <v>857423.09574545571</v>
      </c>
      <c r="R432" s="81">
        <f t="shared" si="236"/>
        <v>952699.95014469093</v>
      </c>
      <c r="S432" s="100">
        <f t="shared" si="237"/>
        <v>889147.75028803747</v>
      </c>
      <c r="T432" s="79">
        <f t="shared" si="238"/>
        <v>987949.84830004442</v>
      </c>
      <c r="U432" s="100">
        <f t="shared" si="239"/>
        <v>914043.88729610259</v>
      </c>
      <c r="V432" s="119">
        <f t="shared" si="240"/>
        <v>1015612.4440524457</v>
      </c>
      <c r="W432" s="81">
        <f t="shared" si="241"/>
        <v>927754.545605544</v>
      </c>
      <c r="X432" s="81">
        <f t="shared" si="242"/>
        <v>1030846.6307132323</v>
      </c>
      <c r="Y432" s="81">
        <f t="shared" si="243"/>
        <v>942598.61833523272</v>
      </c>
      <c r="Z432" s="81">
        <f t="shared" si="244"/>
        <v>1047340.1768046441</v>
      </c>
      <c r="AA432" s="81">
        <f t="shared" si="245"/>
        <v>960507.992083602</v>
      </c>
      <c r="AB432" s="81">
        <f t="shared" si="246"/>
        <v>1067239.6401639322</v>
      </c>
      <c r="AC432" s="102">
        <f t="shared" si="247"/>
        <v>978757.64393319038</v>
      </c>
      <c r="AD432" s="81">
        <f t="shared" si="248"/>
        <v>1087517.1933270469</v>
      </c>
      <c r="AE432" s="102">
        <f t="shared" si="249"/>
        <v>999311.55445578729</v>
      </c>
      <c r="AF432" s="81">
        <f t="shared" si="250"/>
        <v>1110355.0543869147</v>
      </c>
      <c r="AG432" s="144">
        <f t="shared" si="226"/>
        <v>1012302.6046637124</v>
      </c>
      <c r="AH432" s="175">
        <f t="shared" si="227"/>
        <v>1124789.6700939445</v>
      </c>
      <c r="AI432" s="144">
        <f t="shared" si="228"/>
        <v>1032548.6567569867</v>
      </c>
      <c r="AJ432" s="175">
        <f t="shared" si="229"/>
        <v>1147285.4634958236</v>
      </c>
      <c r="AK432" s="144">
        <f t="shared" si="230"/>
        <v>1062492.5678029393</v>
      </c>
      <c r="AL432" s="175">
        <f t="shared" si="231"/>
        <v>1180556.7419372024</v>
      </c>
      <c r="AM432" s="144">
        <f t="shared" si="232"/>
        <v>1129429.5995745244</v>
      </c>
      <c r="AN432" s="144">
        <f t="shared" si="233"/>
        <v>1254931.816679246</v>
      </c>
    </row>
    <row r="433" spans="2:40" ht="15" customHeight="1">
      <c r="B433" s="180" t="s">
        <v>518</v>
      </c>
      <c r="C433" s="181"/>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c r="AC433" s="182"/>
      <c r="AD433" s="182"/>
      <c r="AE433" s="182"/>
      <c r="AF433" s="182"/>
      <c r="AG433" s="182"/>
      <c r="AH433" s="182"/>
      <c r="AI433" s="182"/>
      <c r="AJ433" s="182"/>
      <c r="AK433" s="180"/>
      <c r="AL433" s="183"/>
      <c r="AM433" s="183"/>
      <c r="AN433" s="181"/>
    </row>
    <row r="434" spans="2:40">
      <c r="B434" s="156">
        <v>341019</v>
      </c>
      <c r="C434" s="27" t="s">
        <v>519</v>
      </c>
      <c r="D434" s="112">
        <v>212500</v>
      </c>
      <c r="E434" s="118">
        <f t="shared" si="252"/>
        <v>223125</v>
      </c>
      <c r="F434" s="70">
        <f>E434*1.045</f>
        <v>233165.62499999997</v>
      </c>
      <c r="G434" s="70">
        <f t="shared" si="220"/>
        <v>241279.78874999995</v>
      </c>
      <c r="H434" s="70">
        <f t="shared" si="221"/>
        <v>268090.79887589999</v>
      </c>
      <c r="I434" s="70">
        <f t="shared" si="222"/>
        <v>247794.34304624994</v>
      </c>
      <c r="J434" s="70">
        <f t="shared" si="222"/>
        <v>275329.25044554926</v>
      </c>
      <c r="K434" s="70">
        <f t="shared" si="223"/>
        <v>253741.40727935993</v>
      </c>
      <c r="L434" s="58">
        <f t="shared" si="223"/>
        <v>281937.15245624247</v>
      </c>
      <c r="M434" s="58">
        <f t="shared" si="224"/>
        <v>260592.42527590264</v>
      </c>
      <c r="N434" s="58">
        <f t="shared" si="224"/>
        <v>289549.45557256101</v>
      </c>
      <c r="O434" s="80">
        <f t="shared" si="225"/>
        <v>266325.45863197249</v>
      </c>
      <c r="P434" s="80">
        <f t="shared" si="225"/>
        <v>295919.54359515733</v>
      </c>
      <c r="Q434" s="101">
        <f t="shared" si="235"/>
        <v>272717.26963913982</v>
      </c>
      <c r="R434" s="80">
        <f t="shared" si="236"/>
        <v>303021.61264144111</v>
      </c>
      <c r="S434" s="101">
        <f t="shared" si="237"/>
        <v>282807.80861578794</v>
      </c>
      <c r="T434" s="80">
        <f t="shared" si="238"/>
        <v>314233.41230917443</v>
      </c>
      <c r="U434" s="101">
        <f t="shared" si="239"/>
        <v>290726.42725703004</v>
      </c>
      <c r="V434" s="114">
        <f t="shared" si="240"/>
        <v>323031.94785383134</v>
      </c>
      <c r="W434" s="80">
        <f t="shared" si="241"/>
        <v>295087.32366588549</v>
      </c>
      <c r="X434" s="80">
        <f t="shared" si="242"/>
        <v>327877.42707163875</v>
      </c>
      <c r="Y434" s="80">
        <f t="shared" si="243"/>
        <v>299808.72084453964</v>
      </c>
      <c r="Z434" s="80">
        <f t="shared" si="244"/>
        <v>333123.46590478497</v>
      </c>
      <c r="AA434" s="80">
        <f t="shared" si="245"/>
        <v>305505.08654058585</v>
      </c>
      <c r="AB434" s="80">
        <f t="shared" si="246"/>
        <v>339452.81175697583</v>
      </c>
      <c r="AC434" s="101">
        <f t="shared" si="247"/>
        <v>311309.68318485696</v>
      </c>
      <c r="AD434" s="80">
        <f t="shared" si="248"/>
        <v>345902.41518035834</v>
      </c>
      <c r="AE434" s="101">
        <f t="shared" si="249"/>
        <v>317847.1865317389</v>
      </c>
      <c r="AF434" s="80">
        <f t="shared" si="250"/>
        <v>353166.36589914584</v>
      </c>
      <c r="AG434" s="143">
        <f t="shared" si="226"/>
        <v>321979.19995665149</v>
      </c>
      <c r="AH434" s="152">
        <f t="shared" si="227"/>
        <v>357757.52865583467</v>
      </c>
      <c r="AI434" s="143">
        <f t="shared" si="228"/>
        <v>328418.78395578451</v>
      </c>
      <c r="AJ434" s="152">
        <f t="shared" si="229"/>
        <v>364912.6792289514</v>
      </c>
      <c r="AK434" s="143">
        <f t="shared" si="230"/>
        <v>337942.92869050225</v>
      </c>
      <c r="AL434" s="152">
        <f t="shared" si="231"/>
        <v>375495.14692659094</v>
      </c>
      <c r="AM434" s="143">
        <f t="shared" si="232"/>
        <v>359233.33319800388</v>
      </c>
      <c r="AN434" s="143">
        <f t="shared" si="233"/>
        <v>399151.34118296613</v>
      </c>
    </row>
    <row r="435" spans="2:40">
      <c r="B435" s="19">
        <v>180128</v>
      </c>
      <c r="C435" s="18" t="s">
        <v>520</v>
      </c>
      <c r="D435" s="16">
        <v>102000</v>
      </c>
      <c r="E435" s="17">
        <f t="shared" si="252"/>
        <v>107100</v>
      </c>
      <c r="F435" s="57">
        <f>E435*1.045</f>
        <v>111919.49999999999</v>
      </c>
      <c r="G435" s="57">
        <f t="shared" si="220"/>
        <v>115814.29859999998</v>
      </c>
      <c r="H435" s="57">
        <f t="shared" si="221"/>
        <v>128683.583460432</v>
      </c>
      <c r="I435" s="57">
        <f t="shared" si="222"/>
        <v>118941.28466219996</v>
      </c>
      <c r="J435" s="57">
        <f t="shared" si="222"/>
        <v>132158.04021386366</v>
      </c>
      <c r="K435" s="57">
        <f t="shared" si="223"/>
        <v>121795.87549409276</v>
      </c>
      <c r="L435" s="9">
        <f t="shared" si="223"/>
        <v>135329.8331789964</v>
      </c>
      <c r="M435" s="9">
        <f t="shared" si="224"/>
        <v>125084.36413243326</v>
      </c>
      <c r="N435" s="9">
        <f t="shared" si="224"/>
        <v>138983.73867482928</v>
      </c>
      <c r="O435" s="78">
        <f t="shared" si="225"/>
        <v>127836.22014334679</v>
      </c>
      <c r="P435" s="78">
        <f t="shared" si="225"/>
        <v>142041.38092567553</v>
      </c>
      <c r="Q435" s="1">
        <f t="shared" si="235"/>
        <v>130904.28942678712</v>
      </c>
      <c r="R435" s="78">
        <f t="shared" si="236"/>
        <v>145450.37406789174</v>
      </c>
      <c r="S435" s="1">
        <f t="shared" si="237"/>
        <v>135747.74813557824</v>
      </c>
      <c r="T435" s="78">
        <f t="shared" si="238"/>
        <v>150832.03790840373</v>
      </c>
      <c r="U435" s="1">
        <f t="shared" si="239"/>
        <v>139548.68508337444</v>
      </c>
      <c r="V435" s="99">
        <f t="shared" si="240"/>
        <v>155055.33496983902</v>
      </c>
      <c r="W435" s="78">
        <f t="shared" si="241"/>
        <v>141641.91535962504</v>
      </c>
      <c r="X435" s="78">
        <f t="shared" si="242"/>
        <v>157381.16499438661</v>
      </c>
      <c r="Y435" s="78">
        <f t="shared" si="243"/>
        <v>143908.18600537904</v>
      </c>
      <c r="Z435" s="78">
        <f t="shared" si="244"/>
        <v>159899.2636342968</v>
      </c>
      <c r="AA435" s="78">
        <f t="shared" si="245"/>
        <v>146642.44153948122</v>
      </c>
      <c r="AB435" s="78">
        <f t="shared" si="246"/>
        <v>162937.34964334843</v>
      </c>
      <c r="AC435" s="1">
        <f t="shared" si="247"/>
        <v>149428.64792873134</v>
      </c>
      <c r="AD435" s="78">
        <f t="shared" si="248"/>
        <v>166033.15928657202</v>
      </c>
      <c r="AE435" s="1">
        <f t="shared" si="249"/>
        <v>152566.6495352347</v>
      </c>
      <c r="AF435" s="78">
        <f t="shared" si="250"/>
        <v>169519.85563159001</v>
      </c>
      <c r="AG435" s="141">
        <f t="shared" si="226"/>
        <v>154550.01597919274</v>
      </c>
      <c r="AH435" s="140">
        <f t="shared" si="227"/>
        <v>171723.61375480067</v>
      </c>
      <c r="AI435" s="141">
        <f t="shared" si="228"/>
        <v>157641.01629877661</v>
      </c>
      <c r="AJ435" s="140">
        <f t="shared" si="229"/>
        <v>175158.08602989669</v>
      </c>
      <c r="AK435" s="141">
        <f t="shared" si="230"/>
        <v>162212.60577144113</v>
      </c>
      <c r="AL435" s="140">
        <f t="shared" si="231"/>
        <v>180237.67052476367</v>
      </c>
      <c r="AM435" s="141">
        <f t="shared" si="232"/>
        <v>172431.99993504191</v>
      </c>
      <c r="AN435" s="141">
        <f t="shared" si="233"/>
        <v>191592.64376782379</v>
      </c>
    </row>
    <row r="436" spans="2:40">
      <c r="B436" s="19">
        <v>341020</v>
      </c>
      <c r="C436" s="18" t="s">
        <v>521</v>
      </c>
      <c r="D436" s="16">
        <v>212500</v>
      </c>
      <c r="E436" s="17">
        <f t="shared" si="252"/>
        <v>223125</v>
      </c>
      <c r="F436" s="57">
        <f>E436*1.045</f>
        <v>233165.62499999997</v>
      </c>
      <c r="G436" s="57">
        <f t="shared" si="220"/>
        <v>241279.78874999995</v>
      </c>
      <c r="H436" s="57">
        <f t="shared" si="221"/>
        <v>268090.79887589999</v>
      </c>
      <c r="I436" s="57">
        <f t="shared" si="222"/>
        <v>247794.34304624994</v>
      </c>
      <c r="J436" s="57">
        <f t="shared" si="222"/>
        <v>275329.25044554926</v>
      </c>
      <c r="K436" s="57">
        <f t="shared" si="223"/>
        <v>253741.40727935993</v>
      </c>
      <c r="L436" s="9">
        <f t="shared" si="223"/>
        <v>281937.15245624247</v>
      </c>
      <c r="M436" s="9">
        <f t="shared" si="224"/>
        <v>260592.42527590264</v>
      </c>
      <c r="N436" s="9">
        <f t="shared" si="224"/>
        <v>289549.45557256101</v>
      </c>
      <c r="O436" s="78">
        <f t="shared" si="225"/>
        <v>266325.45863197249</v>
      </c>
      <c r="P436" s="78">
        <f t="shared" si="225"/>
        <v>295919.54359515733</v>
      </c>
      <c r="Q436" s="1">
        <f t="shared" si="235"/>
        <v>272717.26963913982</v>
      </c>
      <c r="R436" s="78">
        <f t="shared" si="236"/>
        <v>303021.61264144111</v>
      </c>
      <c r="S436" s="1">
        <f t="shared" si="237"/>
        <v>282807.80861578794</v>
      </c>
      <c r="T436" s="78">
        <f t="shared" si="238"/>
        <v>314233.41230917443</v>
      </c>
      <c r="U436" s="1">
        <f t="shared" si="239"/>
        <v>290726.42725703004</v>
      </c>
      <c r="V436" s="99">
        <f t="shared" si="240"/>
        <v>323031.94785383134</v>
      </c>
      <c r="W436" s="78">
        <f t="shared" si="241"/>
        <v>295087.32366588549</v>
      </c>
      <c r="X436" s="78">
        <f t="shared" si="242"/>
        <v>327877.42707163875</v>
      </c>
      <c r="Y436" s="78">
        <f t="shared" si="243"/>
        <v>299808.72084453964</v>
      </c>
      <c r="Z436" s="78">
        <f t="shared" si="244"/>
        <v>333123.46590478497</v>
      </c>
      <c r="AA436" s="78">
        <f t="shared" si="245"/>
        <v>305505.08654058585</v>
      </c>
      <c r="AB436" s="78">
        <f t="shared" si="246"/>
        <v>339452.81175697583</v>
      </c>
      <c r="AC436" s="1">
        <f t="shared" si="247"/>
        <v>311309.68318485696</v>
      </c>
      <c r="AD436" s="78">
        <f t="shared" si="248"/>
        <v>345902.41518035834</v>
      </c>
      <c r="AE436" s="1">
        <f t="shared" si="249"/>
        <v>317847.1865317389</v>
      </c>
      <c r="AF436" s="78">
        <f t="shared" si="250"/>
        <v>353166.36589914584</v>
      </c>
      <c r="AG436" s="141">
        <f t="shared" si="226"/>
        <v>321979.19995665149</v>
      </c>
      <c r="AH436" s="140">
        <f t="shared" si="227"/>
        <v>357757.52865583467</v>
      </c>
      <c r="AI436" s="141">
        <f t="shared" si="228"/>
        <v>328418.78395578451</v>
      </c>
      <c r="AJ436" s="140">
        <f t="shared" si="229"/>
        <v>364912.6792289514</v>
      </c>
      <c r="AK436" s="141">
        <f t="shared" si="230"/>
        <v>337942.92869050225</v>
      </c>
      <c r="AL436" s="140">
        <f t="shared" si="231"/>
        <v>375495.14692659094</v>
      </c>
      <c r="AM436" s="141">
        <f t="shared" si="232"/>
        <v>359233.33319800388</v>
      </c>
      <c r="AN436" s="141">
        <f t="shared" si="233"/>
        <v>399151.34118296613</v>
      </c>
    </row>
    <row r="437" spans="2:40">
      <c r="B437" s="19">
        <v>180129</v>
      </c>
      <c r="C437" s="18" t="s">
        <v>522</v>
      </c>
      <c r="D437" s="16">
        <v>102000</v>
      </c>
      <c r="E437" s="17">
        <f t="shared" si="252"/>
        <v>107100</v>
      </c>
      <c r="F437" s="57">
        <f>E437*1.045</f>
        <v>111919.49999999999</v>
      </c>
      <c r="G437" s="57">
        <f t="shared" ref="G437:G503" si="253">F437*1.0348</f>
        <v>115814.29859999998</v>
      </c>
      <c r="H437" s="57">
        <f t="shared" ref="H437:H503" si="254">G437*1.11112</f>
        <v>128683.583460432</v>
      </c>
      <c r="I437" s="57">
        <f t="shared" ref="I437:J503" si="255">G437*1.027</f>
        <v>118941.28466219996</v>
      </c>
      <c r="J437" s="57">
        <f t="shared" si="255"/>
        <v>132158.04021386366</v>
      </c>
      <c r="K437" s="57">
        <f t="shared" ref="K437:L503" si="256">I437*1.024</f>
        <v>121795.87549409276</v>
      </c>
      <c r="L437" s="9">
        <f t="shared" si="256"/>
        <v>135329.8331789964</v>
      </c>
      <c r="M437" s="9">
        <f t="shared" ref="M437:N503" si="257">K437*1.027</f>
        <v>125084.36413243326</v>
      </c>
      <c r="N437" s="9">
        <f t="shared" si="257"/>
        <v>138983.73867482928</v>
      </c>
      <c r="O437" s="78">
        <f t="shared" ref="O437:P503" si="258">M437*1.022</f>
        <v>127836.22014334679</v>
      </c>
      <c r="P437" s="78">
        <f t="shared" si="258"/>
        <v>142041.38092567553</v>
      </c>
      <c r="Q437" s="1">
        <f t="shared" si="235"/>
        <v>130904.28942678712</v>
      </c>
      <c r="R437" s="78">
        <f t="shared" si="236"/>
        <v>145450.37406789174</v>
      </c>
      <c r="S437" s="1">
        <f t="shared" si="237"/>
        <v>135747.74813557824</v>
      </c>
      <c r="T437" s="78">
        <f t="shared" si="238"/>
        <v>150832.03790840373</v>
      </c>
      <c r="U437" s="1">
        <f t="shared" si="239"/>
        <v>139548.68508337444</v>
      </c>
      <c r="V437" s="99">
        <f t="shared" si="240"/>
        <v>155055.33496983902</v>
      </c>
      <c r="W437" s="78">
        <f t="shared" si="241"/>
        <v>141641.91535962504</v>
      </c>
      <c r="X437" s="78">
        <f t="shared" si="242"/>
        <v>157381.16499438661</v>
      </c>
      <c r="Y437" s="78">
        <f t="shared" si="243"/>
        <v>143908.18600537904</v>
      </c>
      <c r="Z437" s="78">
        <f t="shared" si="244"/>
        <v>159899.2636342968</v>
      </c>
      <c r="AA437" s="78">
        <f t="shared" si="245"/>
        <v>146642.44153948122</v>
      </c>
      <c r="AB437" s="78">
        <f t="shared" si="246"/>
        <v>162937.34964334843</v>
      </c>
      <c r="AC437" s="1">
        <f t="shared" si="247"/>
        <v>149428.64792873134</v>
      </c>
      <c r="AD437" s="78">
        <f t="shared" si="248"/>
        <v>166033.15928657202</v>
      </c>
      <c r="AE437" s="1">
        <f t="shared" si="249"/>
        <v>152566.6495352347</v>
      </c>
      <c r="AF437" s="78">
        <f t="shared" si="250"/>
        <v>169519.85563159001</v>
      </c>
      <c r="AG437" s="141">
        <f t="shared" si="226"/>
        <v>154550.01597919274</v>
      </c>
      <c r="AH437" s="140">
        <f t="shared" si="227"/>
        <v>171723.61375480067</v>
      </c>
      <c r="AI437" s="141">
        <f t="shared" si="228"/>
        <v>157641.01629877661</v>
      </c>
      <c r="AJ437" s="140">
        <f t="shared" si="229"/>
        <v>175158.08602989669</v>
      </c>
      <c r="AK437" s="141">
        <f t="shared" si="230"/>
        <v>162212.60577144113</v>
      </c>
      <c r="AL437" s="140">
        <f t="shared" si="231"/>
        <v>180237.67052476367</v>
      </c>
      <c r="AM437" s="141">
        <f t="shared" si="232"/>
        <v>172431.99993504191</v>
      </c>
      <c r="AN437" s="141">
        <f t="shared" si="233"/>
        <v>191592.64376782379</v>
      </c>
    </row>
    <row r="438" spans="2:40">
      <c r="B438" s="19"/>
      <c r="C438" s="18" t="s">
        <v>523</v>
      </c>
      <c r="D438" s="16">
        <v>102000</v>
      </c>
      <c r="E438" s="17">
        <f t="shared" si="252"/>
        <v>107100</v>
      </c>
      <c r="F438" s="57">
        <f>E438*1.045</f>
        <v>111919.49999999999</v>
      </c>
      <c r="G438" s="57">
        <f t="shared" si="253"/>
        <v>115814.29859999998</v>
      </c>
      <c r="H438" s="57">
        <f t="shared" si="254"/>
        <v>128683.583460432</v>
      </c>
      <c r="I438" s="57">
        <f t="shared" si="255"/>
        <v>118941.28466219996</v>
      </c>
      <c r="J438" s="57">
        <f t="shared" si="255"/>
        <v>132158.04021386366</v>
      </c>
      <c r="K438" s="57">
        <f t="shared" si="256"/>
        <v>121795.87549409276</v>
      </c>
      <c r="L438" s="9">
        <f t="shared" si="256"/>
        <v>135329.8331789964</v>
      </c>
      <c r="M438" s="9">
        <f t="shared" si="257"/>
        <v>125084.36413243326</v>
      </c>
      <c r="N438" s="9">
        <f t="shared" si="257"/>
        <v>138983.73867482928</v>
      </c>
      <c r="O438" s="78">
        <f t="shared" si="258"/>
        <v>127836.22014334679</v>
      </c>
      <c r="P438" s="78">
        <f t="shared" si="258"/>
        <v>142041.38092567553</v>
      </c>
      <c r="Q438" s="1">
        <f t="shared" si="235"/>
        <v>130904.28942678712</v>
      </c>
      <c r="R438" s="78">
        <f t="shared" si="236"/>
        <v>145450.37406789174</v>
      </c>
      <c r="S438" s="1">
        <f t="shared" si="237"/>
        <v>135747.74813557824</v>
      </c>
      <c r="T438" s="78">
        <f t="shared" si="238"/>
        <v>150832.03790840373</v>
      </c>
      <c r="U438" s="1">
        <f t="shared" si="239"/>
        <v>139548.68508337444</v>
      </c>
      <c r="V438" s="99">
        <f t="shared" si="240"/>
        <v>155055.33496983902</v>
      </c>
      <c r="W438" s="78">
        <f t="shared" si="241"/>
        <v>141641.91535962504</v>
      </c>
      <c r="X438" s="78">
        <f t="shared" si="242"/>
        <v>157381.16499438661</v>
      </c>
      <c r="Y438" s="78">
        <f t="shared" si="243"/>
        <v>143908.18600537904</v>
      </c>
      <c r="Z438" s="78">
        <f t="shared" si="244"/>
        <v>159899.2636342968</v>
      </c>
      <c r="AA438" s="78">
        <f t="shared" si="245"/>
        <v>146642.44153948122</v>
      </c>
      <c r="AB438" s="78">
        <f t="shared" si="246"/>
        <v>162937.34964334843</v>
      </c>
      <c r="AC438" s="1">
        <f t="shared" si="247"/>
        <v>149428.64792873134</v>
      </c>
      <c r="AD438" s="78">
        <f t="shared" si="248"/>
        <v>166033.15928657202</v>
      </c>
      <c r="AE438" s="1">
        <f t="shared" si="249"/>
        <v>152566.6495352347</v>
      </c>
      <c r="AF438" s="78">
        <f t="shared" si="250"/>
        <v>169519.85563159001</v>
      </c>
      <c r="AG438" s="141">
        <f t="shared" si="226"/>
        <v>154550.01597919274</v>
      </c>
      <c r="AH438" s="140">
        <f t="shared" si="227"/>
        <v>171723.61375480067</v>
      </c>
      <c r="AI438" s="141">
        <f t="shared" si="228"/>
        <v>157641.01629877661</v>
      </c>
      <c r="AJ438" s="140">
        <f t="shared" si="229"/>
        <v>175158.08602989669</v>
      </c>
      <c r="AK438" s="141">
        <f t="shared" si="230"/>
        <v>162212.60577144113</v>
      </c>
      <c r="AL438" s="140">
        <f t="shared" si="231"/>
        <v>180237.67052476367</v>
      </c>
      <c r="AM438" s="141">
        <f t="shared" si="232"/>
        <v>172431.99993504191</v>
      </c>
      <c r="AN438" s="141">
        <f t="shared" si="233"/>
        <v>191592.64376782379</v>
      </c>
    </row>
    <row r="439" spans="2:40">
      <c r="B439" s="155">
        <v>180128</v>
      </c>
      <c r="C439" s="25" t="s">
        <v>524</v>
      </c>
      <c r="D439" s="54">
        <v>102000</v>
      </c>
      <c r="E439" s="55">
        <f t="shared" si="252"/>
        <v>107100</v>
      </c>
      <c r="F439" s="75">
        <f>E439*1.045</f>
        <v>111919.49999999999</v>
      </c>
      <c r="G439" s="75">
        <f t="shared" si="253"/>
        <v>115814.29859999998</v>
      </c>
      <c r="H439" s="75">
        <f t="shared" si="254"/>
        <v>128683.583460432</v>
      </c>
      <c r="I439" s="75">
        <f t="shared" si="255"/>
        <v>118941.28466219996</v>
      </c>
      <c r="J439" s="75">
        <f t="shared" si="255"/>
        <v>132158.04021386366</v>
      </c>
      <c r="K439" s="75">
        <f t="shared" si="256"/>
        <v>121795.87549409276</v>
      </c>
      <c r="L439" s="71">
        <f t="shared" si="256"/>
        <v>135329.8331789964</v>
      </c>
      <c r="M439" s="71">
        <f t="shared" si="257"/>
        <v>125084.36413243326</v>
      </c>
      <c r="N439" s="71">
        <f t="shared" si="257"/>
        <v>138983.73867482928</v>
      </c>
      <c r="O439" s="79">
        <f t="shared" si="258"/>
        <v>127836.22014334679</v>
      </c>
      <c r="P439" s="79">
        <f t="shared" si="258"/>
        <v>142041.38092567553</v>
      </c>
      <c r="Q439" s="100">
        <f t="shared" si="235"/>
        <v>130904.28942678712</v>
      </c>
      <c r="R439" s="79">
        <f t="shared" si="236"/>
        <v>145450.37406789174</v>
      </c>
      <c r="S439" s="100">
        <f t="shared" si="237"/>
        <v>135747.74813557824</v>
      </c>
      <c r="T439" s="79">
        <f t="shared" si="238"/>
        <v>150832.03790840373</v>
      </c>
      <c r="U439" s="100">
        <f t="shared" si="239"/>
        <v>139548.68508337444</v>
      </c>
      <c r="V439" s="119">
        <f t="shared" si="240"/>
        <v>155055.33496983902</v>
      </c>
      <c r="W439" s="79">
        <f t="shared" si="241"/>
        <v>141641.91535962504</v>
      </c>
      <c r="X439" s="79">
        <f t="shared" si="242"/>
        <v>157381.16499438661</v>
      </c>
      <c r="Y439" s="79">
        <f t="shared" si="243"/>
        <v>143908.18600537904</v>
      </c>
      <c r="Z439" s="79">
        <f t="shared" si="244"/>
        <v>159899.2636342968</v>
      </c>
      <c r="AA439" s="79">
        <f t="shared" si="245"/>
        <v>146642.44153948122</v>
      </c>
      <c r="AB439" s="79">
        <f t="shared" si="246"/>
        <v>162937.34964334843</v>
      </c>
      <c r="AC439" s="100">
        <f t="shared" si="247"/>
        <v>149428.64792873134</v>
      </c>
      <c r="AD439" s="79">
        <f t="shared" si="248"/>
        <v>166033.15928657202</v>
      </c>
      <c r="AE439" s="100">
        <f t="shared" si="249"/>
        <v>152566.6495352347</v>
      </c>
      <c r="AF439" s="79">
        <f t="shared" si="250"/>
        <v>169519.85563159001</v>
      </c>
      <c r="AG439" s="142">
        <f t="shared" si="226"/>
        <v>154550.01597919274</v>
      </c>
      <c r="AH439" s="174">
        <f t="shared" si="227"/>
        <v>171723.61375480067</v>
      </c>
      <c r="AI439" s="142">
        <f t="shared" si="228"/>
        <v>157641.01629877661</v>
      </c>
      <c r="AJ439" s="174">
        <f t="shared" si="229"/>
        <v>175158.08602989669</v>
      </c>
      <c r="AK439" s="142">
        <f t="shared" si="230"/>
        <v>162212.60577144113</v>
      </c>
      <c r="AL439" s="174">
        <f t="shared" si="231"/>
        <v>180237.67052476367</v>
      </c>
      <c r="AM439" s="142">
        <f t="shared" si="232"/>
        <v>172431.99993504191</v>
      </c>
      <c r="AN439" s="142">
        <f t="shared" si="233"/>
        <v>191592.64376782379</v>
      </c>
    </row>
    <row r="440" spans="2:40" ht="15" customHeight="1">
      <c r="B440" s="180" t="s">
        <v>525</v>
      </c>
      <c r="C440" s="181"/>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c r="AC440" s="182"/>
      <c r="AD440" s="182"/>
      <c r="AE440" s="182"/>
      <c r="AF440" s="182"/>
      <c r="AG440" s="182"/>
      <c r="AH440" s="182"/>
      <c r="AI440" s="182"/>
      <c r="AJ440" s="182"/>
      <c r="AK440" s="180"/>
      <c r="AL440" s="183"/>
      <c r="AM440" s="183"/>
      <c r="AN440" s="181"/>
    </row>
    <row r="441" spans="2:40">
      <c r="B441" s="156"/>
      <c r="C441" s="27" t="s">
        <v>526</v>
      </c>
      <c r="D441" s="112" t="s">
        <v>514</v>
      </c>
      <c r="E441" s="118" t="s">
        <v>514</v>
      </c>
      <c r="F441" s="135" t="s">
        <v>514</v>
      </c>
      <c r="G441" s="135" t="s">
        <v>514</v>
      </c>
      <c r="H441" s="125" t="s">
        <v>97</v>
      </c>
      <c r="I441" s="125" t="s">
        <v>97</v>
      </c>
      <c r="J441" s="125" t="s">
        <v>97</v>
      </c>
      <c r="K441" s="125" t="s">
        <v>97</v>
      </c>
      <c r="L441" s="125" t="s">
        <v>97</v>
      </c>
      <c r="M441" s="125" t="s">
        <v>97</v>
      </c>
      <c r="N441" s="108" t="s">
        <v>97</v>
      </c>
      <c r="O441" s="125" t="s">
        <v>97</v>
      </c>
      <c r="P441" s="125" t="s">
        <v>97</v>
      </c>
      <c r="Q441" s="125" t="s">
        <v>97</v>
      </c>
      <c r="R441" s="125" t="s">
        <v>97</v>
      </c>
      <c r="S441" s="108" t="s">
        <v>97</v>
      </c>
      <c r="T441" s="125" t="s">
        <v>97</v>
      </c>
      <c r="U441" s="108" t="s">
        <v>97</v>
      </c>
      <c r="V441" s="125" t="s">
        <v>97</v>
      </c>
      <c r="W441" s="108" t="s">
        <v>97</v>
      </c>
      <c r="X441" s="125" t="s">
        <v>97</v>
      </c>
      <c r="Y441" s="108" t="s">
        <v>97</v>
      </c>
      <c r="Z441" s="125" t="s">
        <v>97</v>
      </c>
      <c r="AA441" s="108" t="s">
        <v>97</v>
      </c>
      <c r="AB441" s="125" t="s">
        <v>97</v>
      </c>
      <c r="AC441" s="108" t="s">
        <v>97</v>
      </c>
      <c r="AD441" s="125" t="s">
        <v>97</v>
      </c>
      <c r="AE441" s="108" t="s">
        <v>97</v>
      </c>
      <c r="AF441" s="125" t="s">
        <v>97</v>
      </c>
      <c r="AG441" s="108" t="s">
        <v>97</v>
      </c>
      <c r="AH441" s="125" t="s">
        <v>97</v>
      </c>
      <c r="AI441" s="108" t="s">
        <v>97</v>
      </c>
      <c r="AJ441" s="125" t="s">
        <v>97</v>
      </c>
      <c r="AK441" s="125" t="s">
        <v>97</v>
      </c>
      <c r="AL441" s="108" t="s">
        <v>97</v>
      </c>
      <c r="AM441" s="108" t="s">
        <v>97</v>
      </c>
      <c r="AN441" s="108" t="s">
        <v>97</v>
      </c>
    </row>
    <row r="442" spans="2:40">
      <c r="B442" s="155"/>
      <c r="C442" s="25" t="s">
        <v>527</v>
      </c>
      <c r="D442" s="54" t="s">
        <v>514</v>
      </c>
      <c r="E442" s="55" t="s">
        <v>514</v>
      </c>
      <c r="F442" s="136" t="s">
        <v>514</v>
      </c>
      <c r="G442" s="136" t="s">
        <v>514</v>
      </c>
      <c r="H442" s="89" t="s">
        <v>97</v>
      </c>
      <c r="I442" s="89" t="s">
        <v>97</v>
      </c>
      <c r="J442" s="89" t="s">
        <v>97</v>
      </c>
      <c r="K442" s="89" t="s">
        <v>97</v>
      </c>
      <c r="L442" s="89" t="s">
        <v>97</v>
      </c>
      <c r="M442" s="89" t="s">
        <v>97</v>
      </c>
      <c r="N442" s="90" t="s">
        <v>97</v>
      </c>
      <c r="O442" s="89" t="s">
        <v>97</v>
      </c>
      <c r="P442" s="89" t="s">
        <v>97</v>
      </c>
      <c r="Q442" s="89" t="s">
        <v>97</v>
      </c>
      <c r="R442" s="89" t="s">
        <v>97</v>
      </c>
      <c r="S442" s="90" t="s">
        <v>97</v>
      </c>
      <c r="T442" s="89" t="s">
        <v>97</v>
      </c>
      <c r="U442" s="90" t="s">
        <v>97</v>
      </c>
      <c r="V442" s="89" t="s">
        <v>97</v>
      </c>
      <c r="W442" s="90" t="s">
        <v>97</v>
      </c>
      <c r="X442" s="89" t="s">
        <v>97</v>
      </c>
      <c r="Y442" s="90" t="s">
        <v>97</v>
      </c>
      <c r="Z442" s="89" t="s">
        <v>97</v>
      </c>
      <c r="AA442" s="90" t="s">
        <v>97</v>
      </c>
      <c r="AB442" s="89" t="s">
        <v>97</v>
      </c>
      <c r="AC442" s="90" t="s">
        <v>97</v>
      </c>
      <c r="AD442" s="89" t="s">
        <v>97</v>
      </c>
      <c r="AE442" s="90" t="s">
        <v>97</v>
      </c>
      <c r="AF442" s="89" t="s">
        <v>97</v>
      </c>
      <c r="AG442" s="90" t="s">
        <v>97</v>
      </c>
      <c r="AH442" s="89" t="s">
        <v>97</v>
      </c>
      <c r="AI442" s="90" t="s">
        <v>97</v>
      </c>
      <c r="AJ442" s="89" t="s">
        <v>97</v>
      </c>
      <c r="AK442" s="89" t="s">
        <v>97</v>
      </c>
      <c r="AL442" s="90" t="s">
        <v>97</v>
      </c>
      <c r="AM442" s="90" t="s">
        <v>97</v>
      </c>
      <c r="AN442" s="90" t="s">
        <v>97</v>
      </c>
    </row>
    <row r="443" spans="2:40" ht="15" customHeight="1">
      <c r="B443" s="180" t="s">
        <v>528</v>
      </c>
      <c r="C443" s="181"/>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c r="AC443" s="182"/>
      <c r="AD443" s="182"/>
      <c r="AE443" s="182"/>
      <c r="AF443" s="182"/>
      <c r="AG443" s="182"/>
      <c r="AH443" s="182"/>
      <c r="AI443" s="182"/>
      <c r="AJ443" s="182"/>
      <c r="AK443" s="180"/>
      <c r="AL443" s="183"/>
      <c r="AM443" s="183"/>
      <c r="AN443" s="181"/>
    </row>
    <row r="444" spans="2:40">
      <c r="B444" s="165"/>
      <c r="C444" s="83" t="s">
        <v>529</v>
      </c>
      <c r="D444" s="124">
        <v>850000</v>
      </c>
      <c r="E444" s="118">
        <f t="shared" ref="E444:E453" si="259">D444*1.05</f>
        <v>892500</v>
      </c>
      <c r="F444" s="70">
        <f>E444*1.045</f>
        <v>932662.49999999988</v>
      </c>
      <c r="G444" s="70">
        <f t="shared" si="253"/>
        <v>965119.1549999998</v>
      </c>
      <c r="H444" s="70">
        <f t="shared" si="254"/>
        <v>1072363.1955035999</v>
      </c>
      <c r="I444" s="70">
        <f t="shared" si="255"/>
        <v>991177.37218499975</v>
      </c>
      <c r="J444" s="70">
        <f t="shared" si="255"/>
        <v>1101317.001782197</v>
      </c>
      <c r="K444" s="70">
        <f t="shared" si="256"/>
        <v>1014965.6291174397</v>
      </c>
      <c r="L444" s="58">
        <f t="shared" si="256"/>
        <v>1127748.6098249699</v>
      </c>
      <c r="M444" s="58">
        <f t="shared" si="257"/>
        <v>1042369.7011036106</v>
      </c>
      <c r="N444" s="58">
        <f t="shared" si="257"/>
        <v>1158197.822290244</v>
      </c>
      <c r="O444" s="80">
        <f>O450*1.1</f>
        <v>631617.45769158599</v>
      </c>
      <c r="P444" s="80">
        <f>P450*1.1</f>
        <v>701802.78959027526</v>
      </c>
      <c r="Q444" s="129" t="s">
        <v>530</v>
      </c>
      <c r="R444" s="129" t="s">
        <v>530</v>
      </c>
      <c r="S444" s="129" t="s">
        <v>530</v>
      </c>
      <c r="T444" s="129" t="s">
        <v>530</v>
      </c>
      <c r="U444" s="137">
        <v>1050000</v>
      </c>
      <c r="V444" s="80">
        <f>U444*1.1112</f>
        <v>1166760</v>
      </c>
      <c r="W444" s="80">
        <f t="shared" si="241"/>
        <v>1065750</v>
      </c>
      <c r="X444" s="80">
        <f t="shared" si="242"/>
        <v>1184261.3999999999</v>
      </c>
      <c r="Y444" s="80">
        <f t="shared" si="243"/>
        <v>1082802</v>
      </c>
      <c r="Z444" s="80">
        <f t="shared" si="244"/>
        <v>1203209.5824</v>
      </c>
      <c r="AA444" s="80">
        <f t="shared" si="245"/>
        <v>1103375.2379999999</v>
      </c>
      <c r="AB444" s="80">
        <f t="shared" si="246"/>
        <v>1226070.5644655998</v>
      </c>
      <c r="AC444" s="101">
        <f t="shared" si="247"/>
        <v>1124339.3675219999</v>
      </c>
      <c r="AD444" s="80">
        <f t="shared" si="248"/>
        <v>1249365.9051904462</v>
      </c>
      <c r="AE444" s="101">
        <f t="shared" si="249"/>
        <v>1147950.4942399617</v>
      </c>
      <c r="AF444" s="80">
        <f t="shared" si="250"/>
        <v>1275602.5891994454</v>
      </c>
      <c r="AG444" s="143">
        <f t="shared" si="226"/>
        <v>1162873.8506650811</v>
      </c>
      <c r="AH444" s="152">
        <f t="shared" si="227"/>
        <v>1292185.422859038</v>
      </c>
      <c r="AI444" s="143">
        <f t="shared" si="228"/>
        <v>1186131.3276783826</v>
      </c>
      <c r="AJ444" s="152">
        <f t="shared" si="229"/>
        <v>1318029.1313162188</v>
      </c>
      <c r="AK444" s="143">
        <f t="shared" si="230"/>
        <v>1220529.1361810556</v>
      </c>
      <c r="AL444" s="152">
        <f t="shared" si="231"/>
        <v>1356251.9761243891</v>
      </c>
      <c r="AM444" s="143">
        <f t="shared" si="232"/>
        <v>1297422.471760462</v>
      </c>
      <c r="AN444" s="143">
        <f t="shared" si="233"/>
        <v>1441695.8506202255</v>
      </c>
    </row>
    <row r="445" spans="2:40">
      <c r="B445" s="166"/>
      <c r="C445" s="82" t="s">
        <v>531</v>
      </c>
      <c r="D445" s="26"/>
      <c r="E445" s="17"/>
      <c r="F445" s="57"/>
      <c r="G445" s="57"/>
      <c r="H445" s="57"/>
      <c r="I445" s="57"/>
      <c r="J445" s="57"/>
      <c r="K445" s="57"/>
      <c r="L445" s="9"/>
      <c r="M445" s="9"/>
      <c r="N445" s="9"/>
      <c r="O445" s="78">
        <v>631617.46</v>
      </c>
      <c r="P445" s="78">
        <v>701802.79</v>
      </c>
      <c r="Q445" s="91" t="s">
        <v>530</v>
      </c>
      <c r="R445" s="91" t="s">
        <v>530</v>
      </c>
      <c r="S445" s="91" t="s">
        <v>530</v>
      </c>
      <c r="T445" s="91" t="s">
        <v>530</v>
      </c>
      <c r="U445" s="94">
        <v>1050000</v>
      </c>
      <c r="V445" s="78">
        <f>U445*1.1112</f>
        <v>1166760</v>
      </c>
      <c r="W445" s="78">
        <f t="shared" si="241"/>
        <v>1065750</v>
      </c>
      <c r="X445" s="78">
        <f t="shared" si="242"/>
        <v>1184261.3999999999</v>
      </c>
      <c r="Y445" s="78">
        <f t="shared" si="243"/>
        <v>1082802</v>
      </c>
      <c r="Z445" s="78">
        <f t="shared" si="244"/>
        <v>1203209.5824</v>
      </c>
      <c r="AA445" s="78">
        <f t="shared" si="245"/>
        <v>1103375.2379999999</v>
      </c>
      <c r="AB445" s="78">
        <f t="shared" si="246"/>
        <v>1226070.5644655998</v>
      </c>
      <c r="AC445" s="1">
        <f t="shared" si="247"/>
        <v>1124339.3675219999</v>
      </c>
      <c r="AD445" s="78">
        <f t="shared" si="248"/>
        <v>1249365.9051904462</v>
      </c>
      <c r="AE445" s="1">
        <f t="shared" si="249"/>
        <v>1147950.4942399617</v>
      </c>
      <c r="AF445" s="78">
        <f t="shared" si="250"/>
        <v>1275602.5891994454</v>
      </c>
      <c r="AG445" s="141">
        <f t="shared" si="226"/>
        <v>1162873.8506650811</v>
      </c>
      <c r="AH445" s="140">
        <f t="shared" si="227"/>
        <v>1292185.422859038</v>
      </c>
      <c r="AI445" s="141">
        <f t="shared" si="228"/>
        <v>1186131.3276783826</v>
      </c>
      <c r="AJ445" s="140">
        <f t="shared" si="229"/>
        <v>1318029.1313162188</v>
      </c>
      <c r="AK445" s="141">
        <f t="shared" si="230"/>
        <v>1220529.1361810556</v>
      </c>
      <c r="AL445" s="140">
        <f t="shared" si="231"/>
        <v>1356251.9761243891</v>
      </c>
      <c r="AM445" s="141">
        <f t="shared" si="232"/>
        <v>1297422.471760462</v>
      </c>
      <c r="AN445" s="141">
        <f t="shared" si="233"/>
        <v>1441695.8506202255</v>
      </c>
    </row>
    <row r="446" spans="2:40">
      <c r="B446" s="166"/>
      <c r="C446" s="82" t="s">
        <v>532</v>
      </c>
      <c r="D446" s="26"/>
      <c r="E446" s="17"/>
      <c r="F446" s="57"/>
      <c r="G446" s="57"/>
      <c r="H446" s="57"/>
      <c r="I446" s="57"/>
      <c r="J446" s="57"/>
      <c r="K446" s="57"/>
      <c r="L446" s="9"/>
      <c r="M446" s="9"/>
      <c r="N446" s="9"/>
      <c r="O446" s="78">
        <v>631617.46</v>
      </c>
      <c r="P446" s="78">
        <v>701802.79</v>
      </c>
      <c r="Q446" s="1">
        <f t="shared" si="235"/>
        <v>646776.27903999994</v>
      </c>
      <c r="R446" s="78">
        <f t="shared" si="236"/>
        <v>718646.05696000007</v>
      </c>
      <c r="S446" s="1">
        <f t="shared" si="237"/>
        <v>670707.00136447989</v>
      </c>
      <c r="T446" s="78">
        <f t="shared" si="238"/>
        <v>745235.96106751997</v>
      </c>
      <c r="U446" s="1">
        <f t="shared" si="239"/>
        <v>689486.79740268539</v>
      </c>
      <c r="V446" s="99">
        <f t="shared" si="240"/>
        <v>766102.56797741051</v>
      </c>
      <c r="W446" s="78">
        <f t="shared" si="241"/>
        <v>699829.09936372563</v>
      </c>
      <c r="X446" s="78">
        <f t="shared" si="242"/>
        <v>777594.10649707157</v>
      </c>
      <c r="Y446" s="78">
        <f t="shared" si="243"/>
        <v>711026.36495354527</v>
      </c>
      <c r="Z446" s="78">
        <f t="shared" si="244"/>
        <v>790035.61220102478</v>
      </c>
      <c r="AA446" s="78">
        <f t="shared" si="245"/>
        <v>724535.86588766251</v>
      </c>
      <c r="AB446" s="78">
        <f t="shared" si="246"/>
        <v>805046.28883284412</v>
      </c>
      <c r="AC446" s="1">
        <f t="shared" si="247"/>
        <v>738302.04733952798</v>
      </c>
      <c r="AD446" s="78">
        <f t="shared" si="248"/>
        <v>820342.16832066805</v>
      </c>
      <c r="AE446" s="1">
        <f t="shared" si="249"/>
        <v>753806.39033365797</v>
      </c>
      <c r="AF446" s="78">
        <f t="shared" si="250"/>
        <v>837569.35385540198</v>
      </c>
      <c r="AG446" s="141">
        <f t="shared" si="226"/>
        <v>763605.87340799544</v>
      </c>
      <c r="AH446" s="140">
        <f t="shared" si="227"/>
        <v>848457.7554555221</v>
      </c>
      <c r="AI446" s="141">
        <f t="shared" si="228"/>
        <v>778877.99087615532</v>
      </c>
      <c r="AJ446" s="140">
        <f t="shared" si="229"/>
        <v>865426.9105646325</v>
      </c>
      <c r="AK446" s="141"/>
      <c r="AL446" s="140">
        <f t="shared" si="231"/>
        <v>890524.29097100673</v>
      </c>
      <c r="AM446" s="141"/>
      <c r="AN446" s="141">
        <f t="shared" si="233"/>
        <v>946627.32130218006</v>
      </c>
    </row>
    <row r="447" spans="2:40">
      <c r="B447" s="167"/>
      <c r="C447" s="84" t="s">
        <v>533</v>
      </c>
      <c r="D447" s="138"/>
      <c r="E447" s="55"/>
      <c r="F447" s="75"/>
      <c r="G447" s="75"/>
      <c r="H447" s="75"/>
      <c r="I447" s="75"/>
      <c r="J447" s="75"/>
      <c r="K447" s="75"/>
      <c r="L447" s="71"/>
      <c r="M447" s="71"/>
      <c r="N447" s="71"/>
      <c r="O447" s="79">
        <v>631617.46</v>
      </c>
      <c r="P447" s="79">
        <v>701802.79</v>
      </c>
      <c r="Q447" s="100">
        <f t="shared" si="235"/>
        <v>646776.27903999994</v>
      </c>
      <c r="R447" s="79">
        <f t="shared" si="236"/>
        <v>718646.05696000007</v>
      </c>
      <c r="S447" s="100">
        <f t="shared" si="237"/>
        <v>670707.00136447989</v>
      </c>
      <c r="T447" s="79">
        <f t="shared" si="238"/>
        <v>745235.96106751997</v>
      </c>
      <c r="U447" s="100">
        <f t="shared" si="239"/>
        <v>689486.79740268539</v>
      </c>
      <c r="V447" s="119">
        <f t="shared" si="240"/>
        <v>766102.56797741051</v>
      </c>
      <c r="W447" s="79">
        <f t="shared" si="241"/>
        <v>699829.09936372563</v>
      </c>
      <c r="X447" s="79">
        <f t="shared" si="242"/>
        <v>777594.10649707157</v>
      </c>
      <c r="Y447" s="79">
        <f t="shared" si="243"/>
        <v>711026.36495354527</v>
      </c>
      <c r="Z447" s="79">
        <f t="shared" si="244"/>
        <v>790035.61220102478</v>
      </c>
      <c r="AA447" s="79">
        <f t="shared" si="245"/>
        <v>724535.86588766251</v>
      </c>
      <c r="AB447" s="79">
        <f t="shared" si="246"/>
        <v>805046.28883284412</v>
      </c>
      <c r="AC447" s="100">
        <f t="shared" si="247"/>
        <v>738302.04733952798</v>
      </c>
      <c r="AD447" s="79">
        <f t="shared" si="248"/>
        <v>820342.16832066805</v>
      </c>
      <c r="AE447" s="100">
        <f t="shared" si="249"/>
        <v>753806.39033365797</v>
      </c>
      <c r="AF447" s="79">
        <f t="shared" si="250"/>
        <v>837569.35385540198</v>
      </c>
      <c r="AG447" s="142">
        <f t="shared" si="226"/>
        <v>763605.87340799544</v>
      </c>
      <c r="AH447" s="174">
        <f t="shared" si="227"/>
        <v>848457.7554555221</v>
      </c>
      <c r="AI447" s="142">
        <f t="shared" si="228"/>
        <v>778877.99087615532</v>
      </c>
      <c r="AJ447" s="174">
        <f t="shared" si="229"/>
        <v>865426.9105646325</v>
      </c>
      <c r="AK447" s="142">
        <f t="shared" si="230"/>
        <v>801465.45261156373</v>
      </c>
      <c r="AL447" s="174">
        <f t="shared" si="231"/>
        <v>890524.29097100673</v>
      </c>
      <c r="AM447" s="142">
        <f t="shared" si="232"/>
        <v>851957.77612609218</v>
      </c>
      <c r="AN447" s="142">
        <f t="shared" si="233"/>
        <v>946627.32130218006</v>
      </c>
    </row>
    <row r="448" spans="2:40" ht="15" customHeight="1">
      <c r="B448" s="180" t="s">
        <v>534</v>
      </c>
      <c r="C448" s="181"/>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c r="AC448" s="182"/>
      <c r="AD448" s="182"/>
      <c r="AE448" s="182"/>
      <c r="AF448" s="182"/>
      <c r="AG448" s="182"/>
      <c r="AH448" s="182"/>
      <c r="AI448" s="182"/>
      <c r="AJ448" s="182"/>
      <c r="AK448" s="180"/>
      <c r="AL448" s="183"/>
      <c r="AM448" s="183"/>
      <c r="AN448" s="181"/>
    </row>
    <row r="449" spans="2:40">
      <c r="B449" s="156">
        <v>85002</v>
      </c>
      <c r="C449" s="27" t="s">
        <v>535</v>
      </c>
      <c r="D449" s="112">
        <v>420750.00000000006</v>
      </c>
      <c r="E449" s="118">
        <f t="shared" si="259"/>
        <v>441787.50000000006</v>
      </c>
      <c r="F449" s="70">
        <f>E449*1.045</f>
        <v>461667.93750000006</v>
      </c>
      <c r="G449" s="70">
        <f t="shared" si="253"/>
        <v>477733.98172500002</v>
      </c>
      <c r="H449" s="70">
        <f t="shared" si="254"/>
        <v>530819.78177428211</v>
      </c>
      <c r="I449" s="70">
        <f t="shared" si="255"/>
        <v>490632.79923157499</v>
      </c>
      <c r="J449" s="70">
        <f t="shared" si="255"/>
        <v>545151.91588218766</v>
      </c>
      <c r="K449" s="70">
        <f t="shared" si="256"/>
        <v>502407.98641313281</v>
      </c>
      <c r="L449" s="58">
        <f t="shared" si="256"/>
        <v>558235.56186336023</v>
      </c>
      <c r="M449" s="58">
        <f t="shared" si="257"/>
        <v>515973.00204628735</v>
      </c>
      <c r="N449" s="58">
        <f t="shared" si="257"/>
        <v>573307.92203367094</v>
      </c>
      <c r="O449" s="80">
        <f t="shared" si="258"/>
        <v>527324.40809130564</v>
      </c>
      <c r="P449" s="80">
        <f t="shared" si="258"/>
        <v>585920.69631841173</v>
      </c>
      <c r="Q449" s="101">
        <f t="shared" si="235"/>
        <v>539980.19388549693</v>
      </c>
      <c r="R449" s="80">
        <f t="shared" si="236"/>
        <v>599982.79303005361</v>
      </c>
      <c r="S449" s="101">
        <f t="shared" si="237"/>
        <v>559959.4610592603</v>
      </c>
      <c r="T449" s="80">
        <f t="shared" si="238"/>
        <v>622182.15637216554</v>
      </c>
      <c r="U449" s="101">
        <f t="shared" si="239"/>
        <v>575638.32596891955</v>
      </c>
      <c r="V449" s="114">
        <f t="shared" si="240"/>
        <v>639603.25675058621</v>
      </c>
      <c r="W449" s="80">
        <f t="shared" si="241"/>
        <v>584272.90085845324</v>
      </c>
      <c r="X449" s="80">
        <f t="shared" si="242"/>
        <v>649197.30560184491</v>
      </c>
      <c r="Y449" s="80">
        <f t="shared" si="243"/>
        <v>593621.26727218844</v>
      </c>
      <c r="Z449" s="80">
        <f t="shared" si="244"/>
        <v>659584.46249147446</v>
      </c>
      <c r="AA449" s="80">
        <f t="shared" si="245"/>
        <v>604900.07135035994</v>
      </c>
      <c r="AB449" s="80">
        <f t="shared" si="246"/>
        <v>672116.56727881241</v>
      </c>
      <c r="AC449" s="101">
        <f t="shared" si="247"/>
        <v>616393.17270601669</v>
      </c>
      <c r="AD449" s="80">
        <f t="shared" si="248"/>
        <v>684886.78205710975</v>
      </c>
      <c r="AE449" s="101">
        <f t="shared" si="249"/>
        <v>629337.42933284293</v>
      </c>
      <c r="AF449" s="80">
        <f t="shared" si="250"/>
        <v>699269.40448030899</v>
      </c>
      <c r="AG449" s="143">
        <f t="shared" si="226"/>
        <v>637518.81591416989</v>
      </c>
      <c r="AH449" s="152">
        <f t="shared" si="227"/>
        <v>708359.90673855296</v>
      </c>
      <c r="AI449" s="143">
        <f t="shared" si="228"/>
        <v>650269.19223245326</v>
      </c>
      <c r="AJ449" s="152">
        <f t="shared" si="229"/>
        <v>722527.10487332405</v>
      </c>
      <c r="AK449" s="143">
        <f t="shared" si="230"/>
        <v>669126.99880719441</v>
      </c>
      <c r="AL449" s="152">
        <f t="shared" si="231"/>
        <v>743480.3909146504</v>
      </c>
      <c r="AM449" s="143">
        <f t="shared" si="232"/>
        <v>711281.99973204767</v>
      </c>
      <c r="AN449" s="143">
        <f t="shared" si="233"/>
        <v>790319.65554227331</v>
      </c>
    </row>
    <row r="450" spans="2:40">
      <c r="B450" s="19">
        <v>85003</v>
      </c>
      <c r="C450" s="18" t="s">
        <v>536</v>
      </c>
      <c r="D450" s="16">
        <v>458150</v>
      </c>
      <c r="E450" s="17">
        <f t="shared" si="259"/>
        <v>481057.5</v>
      </c>
      <c r="F450" s="57">
        <f>E450*1.045</f>
        <v>502705.08749999997</v>
      </c>
      <c r="G450" s="57">
        <f t="shared" si="253"/>
        <v>520199.22454499995</v>
      </c>
      <c r="H450" s="57">
        <f t="shared" si="254"/>
        <v>578003.76237644034</v>
      </c>
      <c r="I450" s="57">
        <f t="shared" si="255"/>
        <v>534244.60360771487</v>
      </c>
      <c r="J450" s="57">
        <f t="shared" si="255"/>
        <v>593609.86396060418</v>
      </c>
      <c r="K450" s="57">
        <f t="shared" si="256"/>
        <v>547066.47409430007</v>
      </c>
      <c r="L450" s="9">
        <f t="shared" si="256"/>
        <v>607856.50069565873</v>
      </c>
      <c r="M450" s="9">
        <f t="shared" si="257"/>
        <v>561837.26889484609</v>
      </c>
      <c r="N450" s="9">
        <f t="shared" si="257"/>
        <v>624268.62621444149</v>
      </c>
      <c r="O450" s="78">
        <f t="shared" si="258"/>
        <v>574197.68881053268</v>
      </c>
      <c r="P450" s="78">
        <f t="shared" si="258"/>
        <v>638002.53599115927</v>
      </c>
      <c r="Q450" s="1">
        <f t="shared" si="235"/>
        <v>587978.43334198545</v>
      </c>
      <c r="R450" s="78">
        <f t="shared" si="236"/>
        <v>653314.59685494716</v>
      </c>
      <c r="S450" s="1">
        <f t="shared" si="237"/>
        <v>609733.63537563884</v>
      </c>
      <c r="T450" s="78">
        <f t="shared" si="238"/>
        <v>677487.23693858017</v>
      </c>
      <c r="U450" s="1">
        <f t="shared" si="239"/>
        <v>626806.1771661567</v>
      </c>
      <c r="V450" s="99">
        <f t="shared" si="240"/>
        <v>696456.87957286043</v>
      </c>
      <c r="W450" s="78">
        <f t="shared" si="241"/>
        <v>636208.26982364897</v>
      </c>
      <c r="X450" s="78">
        <f t="shared" si="242"/>
        <v>706903.73276645329</v>
      </c>
      <c r="Y450" s="78">
        <f t="shared" si="243"/>
        <v>646387.60214082734</v>
      </c>
      <c r="Z450" s="78">
        <f t="shared" si="244"/>
        <v>718214.19249071658</v>
      </c>
      <c r="AA450" s="78">
        <f t="shared" si="245"/>
        <v>658668.96658150305</v>
      </c>
      <c r="AB450" s="78">
        <f t="shared" si="246"/>
        <v>731860.26214804011</v>
      </c>
      <c r="AC450" s="1">
        <f t="shared" si="247"/>
        <v>671183.67694655154</v>
      </c>
      <c r="AD450" s="78">
        <f t="shared" si="248"/>
        <v>745765.60712885286</v>
      </c>
      <c r="AE450" s="1">
        <f t="shared" si="249"/>
        <v>685278.53416242904</v>
      </c>
      <c r="AF450" s="78">
        <f t="shared" si="250"/>
        <v>761426.68487855874</v>
      </c>
      <c r="AG450" s="141">
        <f t="shared" si="226"/>
        <v>694187.15510654054</v>
      </c>
      <c r="AH450" s="140">
        <f t="shared" si="227"/>
        <v>771325.23178197991</v>
      </c>
      <c r="AI450" s="141">
        <f t="shared" si="228"/>
        <v>708070.89820867137</v>
      </c>
      <c r="AJ450" s="140">
        <f t="shared" si="229"/>
        <v>786751.73641761951</v>
      </c>
      <c r="AK450" s="141">
        <f t="shared" si="230"/>
        <v>728604.95425672282</v>
      </c>
      <c r="AL450" s="140">
        <f t="shared" si="231"/>
        <v>809567.53677373042</v>
      </c>
      <c r="AM450" s="141">
        <f t="shared" si="232"/>
        <v>774507.06637489633</v>
      </c>
      <c r="AN450" s="141">
        <f t="shared" si="233"/>
        <v>860570.29159047536</v>
      </c>
    </row>
    <row r="451" spans="2:40">
      <c r="B451" s="19">
        <v>85004</v>
      </c>
      <c r="C451" s="18" t="s">
        <v>537</v>
      </c>
      <c r="D451" s="16">
        <v>841500.00000000012</v>
      </c>
      <c r="E451" s="17">
        <f t="shared" si="259"/>
        <v>883575.00000000012</v>
      </c>
      <c r="F451" s="57">
        <f>E451*1.045</f>
        <v>923335.87500000012</v>
      </c>
      <c r="G451" s="57">
        <f t="shared" si="253"/>
        <v>955467.96345000004</v>
      </c>
      <c r="H451" s="57">
        <f t="shared" si="254"/>
        <v>1061639.5635485642</v>
      </c>
      <c r="I451" s="57">
        <f t="shared" si="255"/>
        <v>981265.59846314997</v>
      </c>
      <c r="J451" s="57">
        <f t="shared" si="255"/>
        <v>1090303.8317643753</v>
      </c>
      <c r="K451" s="57">
        <f t="shared" si="256"/>
        <v>1004815.9728262656</v>
      </c>
      <c r="L451" s="9">
        <f t="shared" si="256"/>
        <v>1116471.1237267205</v>
      </c>
      <c r="M451" s="9">
        <f t="shared" si="257"/>
        <v>1031946.0040925747</v>
      </c>
      <c r="N451" s="9">
        <f t="shared" si="257"/>
        <v>1146615.8440673419</v>
      </c>
      <c r="O451" s="78">
        <f t="shared" si="258"/>
        <v>1054648.8161826113</v>
      </c>
      <c r="P451" s="78">
        <f t="shared" si="258"/>
        <v>1171841.3926368235</v>
      </c>
      <c r="Q451" s="1">
        <f t="shared" si="235"/>
        <v>1079960.3877709939</v>
      </c>
      <c r="R451" s="78">
        <f t="shared" si="236"/>
        <v>1199965.5860601072</v>
      </c>
      <c r="S451" s="1">
        <f t="shared" si="237"/>
        <v>1119918.9221185206</v>
      </c>
      <c r="T451" s="78">
        <f t="shared" si="238"/>
        <v>1244364.3127443311</v>
      </c>
      <c r="U451" s="1">
        <f t="shared" si="239"/>
        <v>1151276.6519378391</v>
      </c>
      <c r="V451" s="99">
        <f t="shared" si="240"/>
        <v>1279206.5135011724</v>
      </c>
      <c r="W451" s="78">
        <f t="shared" si="241"/>
        <v>1168545.8017169065</v>
      </c>
      <c r="X451" s="78">
        <f t="shared" si="242"/>
        <v>1298394.6112036898</v>
      </c>
      <c r="Y451" s="78">
        <f t="shared" si="243"/>
        <v>1187242.5345443769</v>
      </c>
      <c r="Z451" s="78">
        <f t="shared" si="244"/>
        <v>1319168.9249829489</v>
      </c>
      <c r="AA451" s="78">
        <f t="shared" si="245"/>
        <v>1209800.1427007199</v>
      </c>
      <c r="AB451" s="78">
        <f t="shared" si="246"/>
        <v>1344233.1345576248</v>
      </c>
      <c r="AC451" s="1">
        <f t="shared" si="247"/>
        <v>1232786.3454120334</v>
      </c>
      <c r="AD451" s="78">
        <f t="shared" si="248"/>
        <v>1369773.5641142195</v>
      </c>
      <c r="AE451" s="1">
        <f t="shared" si="249"/>
        <v>1258674.8586656859</v>
      </c>
      <c r="AF451" s="78">
        <f t="shared" si="250"/>
        <v>1398538.808960618</v>
      </c>
      <c r="AG451" s="141">
        <f t="shared" si="226"/>
        <v>1275037.6318283398</v>
      </c>
      <c r="AH451" s="140">
        <f t="shared" si="227"/>
        <v>1416719.8134771059</v>
      </c>
      <c r="AI451" s="141">
        <f t="shared" si="228"/>
        <v>1300538.3844649065</v>
      </c>
      <c r="AJ451" s="140">
        <f t="shared" si="229"/>
        <v>1445054.2097466481</v>
      </c>
      <c r="AK451" s="141">
        <f t="shared" si="230"/>
        <v>1338253.9976143888</v>
      </c>
      <c r="AL451" s="140">
        <f t="shared" si="231"/>
        <v>1486960.7818293008</v>
      </c>
      <c r="AM451" s="141">
        <f t="shared" si="232"/>
        <v>1422563.9994640953</v>
      </c>
      <c r="AN451" s="141">
        <f t="shared" si="233"/>
        <v>1580639.3110845466</v>
      </c>
    </row>
    <row r="452" spans="2:40">
      <c r="B452" s="19">
        <v>85005</v>
      </c>
      <c r="C452" s="18" t="s">
        <v>538</v>
      </c>
      <c r="D452" s="16">
        <v>1683000.0000000002</v>
      </c>
      <c r="E452" s="17">
        <f t="shared" si="259"/>
        <v>1767150.0000000002</v>
      </c>
      <c r="F452" s="57">
        <f>E452*1.045</f>
        <v>1846671.7500000002</v>
      </c>
      <c r="G452" s="57">
        <f t="shared" si="253"/>
        <v>1910935.9269000001</v>
      </c>
      <c r="H452" s="57">
        <f t="shared" si="254"/>
        <v>2123279.1270971284</v>
      </c>
      <c r="I452" s="57">
        <f t="shared" si="255"/>
        <v>1962531.1969262999</v>
      </c>
      <c r="J452" s="57">
        <f t="shared" si="255"/>
        <v>2180607.6635287507</v>
      </c>
      <c r="K452" s="57">
        <f t="shared" si="256"/>
        <v>2009631.9456525312</v>
      </c>
      <c r="L452" s="9">
        <f t="shared" si="256"/>
        <v>2232942.2474534409</v>
      </c>
      <c r="M452" s="9">
        <f t="shared" si="257"/>
        <v>2063892.0081851494</v>
      </c>
      <c r="N452" s="9">
        <f t="shared" si="257"/>
        <v>2293231.6881346838</v>
      </c>
      <c r="O452" s="78">
        <f t="shared" si="258"/>
        <v>2109297.6323652226</v>
      </c>
      <c r="P452" s="78">
        <f t="shared" si="258"/>
        <v>2343682.7852736469</v>
      </c>
      <c r="Q452" s="1">
        <f t="shared" si="235"/>
        <v>2159920.7755419877</v>
      </c>
      <c r="R452" s="78">
        <f t="shared" si="236"/>
        <v>2399931.1721202144</v>
      </c>
      <c r="S452" s="1">
        <f t="shared" si="237"/>
        <v>2239837.8442370412</v>
      </c>
      <c r="T452" s="78">
        <f t="shared" si="238"/>
        <v>2488728.6254886622</v>
      </c>
      <c r="U452" s="1">
        <f t="shared" si="239"/>
        <v>2302553.3038756782</v>
      </c>
      <c r="V452" s="99">
        <f t="shared" si="240"/>
        <v>2558413.0270023448</v>
      </c>
      <c r="W452" s="78">
        <f t="shared" si="241"/>
        <v>2337091.603433813</v>
      </c>
      <c r="X452" s="78">
        <f t="shared" si="242"/>
        <v>2596789.2224073797</v>
      </c>
      <c r="Y452" s="78">
        <f t="shared" si="243"/>
        <v>2374485.0690887538</v>
      </c>
      <c r="Z452" s="78">
        <f t="shared" si="244"/>
        <v>2638337.8499658979</v>
      </c>
      <c r="AA452" s="78">
        <f t="shared" si="245"/>
        <v>2419600.2854014398</v>
      </c>
      <c r="AB452" s="78">
        <f t="shared" si="246"/>
        <v>2688466.2691152496</v>
      </c>
      <c r="AC452" s="1">
        <f t="shared" si="247"/>
        <v>2465572.6908240668</v>
      </c>
      <c r="AD452" s="78">
        <f t="shared" si="248"/>
        <v>2739547.128228439</v>
      </c>
      <c r="AE452" s="1">
        <f t="shared" si="249"/>
        <v>2517349.7173313717</v>
      </c>
      <c r="AF452" s="78">
        <f t="shared" si="250"/>
        <v>2797077.617921236</v>
      </c>
      <c r="AG452" s="141">
        <f t="shared" si="226"/>
        <v>2550075.2636566795</v>
      </c>
      <c r="AH452" s="140">
        <f t="shared" si="227"/>
        <v>2833439.6269542119</v>
      </c>
      <c r="AI452" s="141">
        <f t="shared" si="228"/>
        <v>2601076.7689298131</v>
      </c>
      <c r="AJ452" s="140">
        <f t="shared" si="229"/>
        <v>2890108.4194932962</v>
      </c>
      <c r="AK452" s="141">
        <f t="shared" si="230"/>
        <v>2676507.9952287776</v>
      </c>
      <c r="AL452" s="140">
        <f t="shared" si="231"/>
        <v>2973921.5636586016</v>
      </c>
      <c r="AM452" s="141">
        <f t="shared" si="232"/>
        <v>2845127.9989281907</v>
      </c>
      <c r="AN452" s="141">
        <f t="shared" si="233"/>
        <v>3161278.6221690932</v>
      </c>
    </row>
    <row r="453" spans="2:40">
      <c r="B453" s="155">
        <v>85006</v>
      </c>
      <c r="C453" s="25" t="s">
        <v>539</v>
      </c>
      <c r="D453" s="54">
        <v>3366000.0000000005</v>
      </c>
      <c r="E453" s="55">
        <f t="shared" si="259"/>
        <v>3534300.0000000005</v>
      </c>
      <c r="F453" s="75">
        <f>E453*1.045</f>
        <v>3693343.5000000005</v>
      </c>
      <c r="G453" s="75">
        <f t="shared" si="253"/>
        <v>3821871.8538000002</v>
      </c>
      <c r="H453" s="75">
        <f t="shared" si="254"/>
        <v>4246558.2541942568</v>
      </c>
      <c r="I453" s="75">
        <f t="shared" si="255"/>
        <v>3925062.3938525999</v>
      </c>
      <c r="J453" s="75">
        <f t="shared" si="255"/>
        <v>4361215.3270575013</v>
      </c>
      <c r="K453" s="75">
        <f t="shared" si="256"/>
        <v>4019263.8913050625</v>
      </c>
      <c r="L453" s="71">
        <f t="shared" si="256"/>
        <v>4465884.4949068818</v>
      </c>
      <c r="M453" s="71">
        <f t="shared" si="257"/>
        <v>4127784.0163702988</v>
      </c>
      <c r="N453" s="71">
        <f t="shared" si="257"/>
        <v>4586463.3762693675</v>
      </c>
      <c r="O453" s="79">
        <f t="shared" si="258"/>
        <v>4218595.2647304451</v>
      </c>
      <c r="P453" s="79">
        <f t="shared" si="258"/>
        <v>4687365.5705472939</v>
      </c>
      <c r="Q453" s="100">
        <f t="shared" si="235"/>
        <v>4319841.5510839755</v>
      </c>
      <c r="R453" s="79">
        <f t="shared" si="236"/>
        <v>4799862.3442404289</v>
      </c>
      <c r="S453" s="100">
        <f t="shared" si="237"/>
        <v>4479675.6884740824</v>
      </c>
      <c r="T453" s="79">
        <f t="shared" si="238"/>
        <v>4977457.2509773243</v>
      </c>
      <c r="U453" s="100">
        <f t="shared" si="239"/>
        <v>4605106.6077513564</v>
      </c>
      <c r="V453" s="119">
        <f t="shared" si="240"/>
        <v>5116826.0540046897</v>
      </c>
      <c r="W453" s="79">
        <f t="shared" si="241"/>
        <v>4674183.2068676259</v>
      </c>
      <c r="X453" s="79">
        <f t="shared" si="242"/>
        <v>5193578.4448147593</v>
      </c>
      <c r="Y453" s="79">
        <f t="shared" si="243"/>
        <v>4748970.1381775076</v>
      </c>
      <c r="Z453" s="79">
        <f t="shared" si="244"/>
        <v>5276675.6999317957</v>
      </c>
      <c r="AA453" s="79">
        <f t="shared" si="245"/>
        <v>4839200.5708028795</v>
      </c>
      <c r="AB453" s="79">
        <f t="shared" si="246"/>
        <v>5376932.5382304993</v>
      </c>
      <c r="AC453" s="100">
        <f t="shared" si="247"/>
        <v>4931145.3816481335</v>
      </c>
      <c r="AD453" s="79">
        <f t="shared" si="248"/>
        <v>5479094.256456878</v>
      </c>
      <c r="AE453" s="100">
        <f t="shared" si="249"/>
        <v>5034699.4346627435</v>
      </c>
      <c r="AF453" s="79">
        <f t="shared" si="250"/>
        <v>5594155.2358424719</v>
      </c>
      <c r="AG453" s="142">
        <f t="shared" si="226"/>
        <v>5100150.5273133591</v>
      </c>
      <c r="AH453" s="174">
        <f t="shared" si="227"/>
        <v>5666879.2539084237</v>
      </c>
      <c r="AI453" s="142">
        <f t="shared" si="228"/>
        <v>5202153.5378596261</v>
      </c>
      <c r="AJ453" s="174">
        <f t="shared" si="229"/>
        <v>5780216.8389865924</v>
      </c>
      <c r="AK453" s="142">
        <f t="shared" si="230"/>
        <v>5353015.9904575553</v>
      </c>
      <c r="AL453" s="174">
        <f t="shared" si="231"/>
        <v>5947843.1273172032</v>
      </c>
      <c r="AM453" s="142">
        <f t="shared" si="232"/>
        <v>5690255.9978563813</v>
      </c>
      <c r="AN453" s="142">
        <f t="shared" si="233"/>
        <v>6322557.2443381865</v>
      </c>
    </row>
    <row r="454" spans="2:40" ht="15" customHeight="1">
      <c r="B454" s="191" t="s">
        <v>540</v>
      </c>
      <c r="C454" s="192"/>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c r="AA454" s="189"/>
      <c r="AB454" s="189"/>
      <c r="AC454" s="189"/>
      <c r="AD454" s="189"/>
      <c r="AE454" s="189"/>
      <c r="AF454" s="189"/>
      <c r="AG454" s="189"/>
      <c r="AH454" s="189"/>
      <c r="AI454" s="189"/>
      <c r="AJ454" s="189"/>
      <c r="AK454" s="191"/>
      <c r="AL454" s="193"/>
      <c r="AM454" s="193"/>
      <c r="AN454" s="192"/>
    </row>
    <row r="455" spans="2:40" ht="15" customHeight="1">
      <c r="B455" s="180" t="s">
        <v>541</v>
      </c>
      <c r="C455" s="181"/>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c r="AD455" s="194"/>
      <c r="AE455" s="194"/>
      <c r="AF455" s="194"/>
      <c r="AG455" s="194"/>
      <c r="AH455" s="194"/>
      <c r="AI455" s="194"/>
      <c r="AJ455" s="194"/>
      <c r="AK455" s="180"/>
      <c r="AL455" s="183"/>
      <c r="AM455" s="183"/>
      <c r="AN455" s="181"/>
    </row>
    <row r="456" spans="2:40">
      <c r="B456" s="156">
        <v>125001</v>
      </c>
      <c r="C456" s="27" t="s">
        <v>542</v>
      </c>
      <c r="D456" s="112">
        <v>168300.00000000003</v>
      </c>
      <c r="E456" s="118">
        <f t="shared" ref="E456:E463" si="260">D456*1.05</f>
        <v>176715.00000000003</v>
      </c>
      <c r="F456" s="70">
        <f>E456*1.045</f>
        <v>184667.17500000002</v>
      </c>
      <c r="G456" s="70">
        <f t="shared" si="253"/>
        <v>191093.59269000002</v>
      </c>
      <c r="H456" s="70">
        <f t="shared" si="254"/>
        <v>212327.91270971284</v>
      </c>
      <c r="I456" s="70">
        <f t="shared" si="255"/>
        <v>196253.11969262999</v>
      </c>
      <c r="J456" s="70">
        <f t="shared" si="255"/>
        <v>218060.76635287507</v>
      </c>
      <c r="K456" s="70">
        <f t="shared" si="256"/>
        <v>200963.1945652531</v>
      </c>
      <c r="L456" s="58">
        <f t="shared" si="256"/>
        <v>223294.22474534408</v>
      </c>
      <c r="M456" s="58">
        <f t="shared" si="257"/>
        <v>206389.20081851492</v>
      </c>
      <c r="N456" s="58">
        <f t="shared" si="257"/>
        <v>229323.16881346836</v>
      </c>
      <c r="O456" s="80">
        <f t="shared" si="258"/>
        <v>210929.76323652224</v>
      </c>
      <c r="P456" s="80">
        <f t="shared" si="258"/>
        <v>234368.27852736466</v>
      </c>
      <c r="Q456" s="101">
        <f t="shared" si="235"/>
        <v>215992.07755419877</v>
      </c>
      <c r="R456" s="80">
        <f t="shared" si="236"/>
        <v>239993.1172120214</v>
      </c>
      <c r="S456" s="101">
        <f t="shared" si="237"/>
        <v>223983.78442370411</v>
      </c>
      <c r="T456" s="80">
        <f t="shared" si="238"/>
        <v>248872.86254886616</v>
      </c>
      <c r="U456" s="101">
        <f t="shared" si="239"/>
        <v>230255.33038756784</v>
      </c>
      <c r="V456" s="114">
        <f t="shared" si="240"/>
        <v>255841.30270023443</v>
      </c>
      <c r="W456" s="80">
        <f t="shared" si="241"/>
        <v>233709.16034338134</v>
      </c>
      <c r="X456" s="80">
        <f t="shared" si="242"/>
        <v>259678.92224073791</v>
      </c>
      <c r="Y456" s="80">
        <f t="shared" si="243"/>
        <v>237448.50690887545</v>
      </c>
      <c r="Z456" s="80">
        <f t="shared" si="244"/>
        <v>263833.7849965897</v>
      </c>
      <c r="AA456" s="80">
        <f t="shared" si="245"/>
        <v>241960.02854014406</v>
      </c>
      <c r="AB456" s="80">
        <f t="shared" si="246"/>
        <v>268846.62691152486</v>
      </c>
      <c r="AC456" s="101">
        <f t="shared" si="247"/>
        <v>246557.26908240677</v>
      </c>
      <c r="AD456" s="80">
        <f t="shared" si="248"/>
        <v>273954.71282284381</v>
      </c>
      <c r="AE456" s="101">
        <f t="shared" si="249"/>
        <v>251734.9717331373</v>
      </c>
      <c r="AF456" s="80">
        <f t="shared" si="250"/>
        <v>279707.76179212349</v>
      </c>
      <c r="AG456" s="143">
        <f t="shared" si="226"/>
        <v>255007.52636566805</v>
      </c>
      <c r="AH456" s="152">
        <f t="shared" si="227"/>
        <v>283343.96269542107</v>
      </c>
      <c r="AI456" s="143">
        <f t="shared" si="228"/>
        <v>260107.6768929814</v>
      </c>
      <c r="AJ456" s="152">
        <f t="shared" si="229"/>
        <v>289010.84194932948</v>
      </c>
      <c r="AK456" s="143">
        <f t="shared" si="230"/>
        <v>267650.79952287785</v>
      </c>
      <c r="AL456" s="152">
        <f t="shared" si="231"/>
        <v>297392.15636586002</v>
      </c>
      <c r="AM456" s="143">
        <f t="shared" si="232"/>
        <v>284512.79989281914</v>
      </c>
      <c r="AN456" s="143">
        <f t="shared" si="233"/>
        <v>316127.86221690918</v>
      </c>
    </row>
    <row r="457" spans="2:40">
      <c r="B457" s="155">
        <v>125002</v>
      </c>
      <c r="C457" s="25" t="s">
        <v>543</v>
      </c>
      <c r="D457" s="54">
        <v>233750</v>
      </c>
      <c r="E457" s="55">
        <f t="shared" si="260"/>
        <v>245437.5</v>
      </c>
      <c r="F457" s="75">
        <f>E457*1.045</f>
        <v>256482.18749999997</v>
      </c>
      <c r="G457" s="75">
        <f t="shared" si="253"/>
        <v>265407.76762499998</v>
      </c>
      <c r="H457" s="75">
        <f t="shared" si="254"/>
        <v>294899.87876349001</v>
      </c>
      <c r="I457" s="75">
        <f t="shared" si="255"/>
        <v>272573.77735087497</v>
      </c>
      <c r="J457" s="75">
        <f t="shared" si="255"/>
        <v>302862.17549010419</v>
      </c>
      <c r="K457" s="75">
        <f t="shared" si="256"/>
        <v>279115.54800729599</v>
      </c>
      <c r="L457" s="71">
        <f t="shared" si="256"/>
        <v>310130.86770186666</v>
      </c>
      <c r="M457" s="71">
        <f t="shared" si="257"/>
        <v>286651.66780349298</v>
      </c>
      <c r="N457" s="71">
        <f t="shared" si="257"/>
        <v>318504.40112981701</v>
      </c>
      <c r="O457" s="79">
        <f t="shared" si="258"/>
        <v>292958.00449516985</v>
      </c>
      <c r="P457" s="79">
        <f t="shared" si="258"/>
        <v>325511.49795467302</v>
      </c>
      <c r="Q457" s="100">
        <f t="shared" si="235"/>
        <v>299988.99660305394</v>
      </c>
      <c r="R457" s="79">
        <f t="shared" si="236"/>
        <v>333323.77390558517</v>
      </c>
      <c r="S457" s="100">
        <f t="shared" si="237"/>
        <v>311088.58947736688</v>
      </c>
      <c r="T457" s="79">
        <f t="shared" si="238"/>
        <v>345656.7535400918</v>
      </c>
      <c r="U457" s="100">
        <f t="shared" si="239"/>
        <v>319799.06998273317</v>
      </c>
      <c r="V457" s="119">
        <f t="shared" si="240"/>
        <v>355335.14263921441</v>
      </c>
      <c r="W457" s="79">
        <f t="shared" si="241"/>
        <v>324596.05603247415</v>
      </c>
      <c r="X457" s="79">
        <f t="shared" si="242"/>
        <v>360665.16977880261</v>
      </c>
      <c r="Y457" s="79">
        <f t="shared" si="243"/>
        <v>329789.59292899375</v>
      </c>
      <c r="Z457" s="79">
        <f t="shared" si="244"/>
        <v>366435.81249526347</v>
      </c>
      <c r="AA457" s="79">
        <f t="shared" si="245"/>
        <v>336055.59519464459</v>
      </c>
      <c r="AB457" s="79">
        <f t="shared" si="246"/>
        <v>373398.09293267346</v>
      </c>
      <c r="AC457" s="100">
        <f t="shared" si="247"/>
        <v>342440.65150334279</v>
      </c>
      <c r="AD457" s="79">
        <f t="shared" si="248"/>
        <v>380492.65669839422</v>
      </c>
      <c r="AE457" s="100">
        <f t="shared" si="249"/>
        <v>349631.90518491296</v>
      </c>
      <c r="AF457" s="79">
        <f t="shared" si="250"/>
        <v>388483.00248906045</v>
      </c>
      <c r="AG457" s="142">
        <f t="shared" ref="AG457:AG520" si="261">AE457*1.013</f>
        <v>354177.1199523168</v>
      </c>
      <c r="AH457" s="174">
        <f t="shared" ref="AH457:AH520" si="262">AF457*1.013</f>
        <v>393533.28152141819</v>
      </c>
      <c r="AI457" s="142">
        <f t="shared" ref="AI457:AI520" si="263">AG457*1.02</f>
        <v>361260.66235136316</v>
      </c>
      <c r="AJ457" s="174">
        <f t="shared" ref="AJ457:AJ520" si="264">AH457*1.02</f>
        <v>401403.94715184654</v>
      </c>
      <c r="AK457" s="142">
        <f t="shared" ref="AK457:AK520" si="265">AI457*1.029</f>
        <v>371737.22155955265</v>
      </c>
      <c r="AL457" s="174">
        <f t="shared" ref="AL457:AL520" si="266">AJ457*1.029</f>
        <v>413044.66161925008</v>
      </c>
      <c r="AM457" s="142">
        <f t="shared" ref="AM457:AM520" si="267">AK457*1.063</f>
        <v>395156.66651780443</v>
      </c>
      <c r="AN457" s="142">
        <f t="shared" ref="AN457:AN520" si="268">AL457*1.063</f>
        <v>439066.47530126281</v>
      </c>
    </row>
    <row r="458" spans="2:40" ht="15" customHeight="1">
      <c r="B458" s="180" t="s">
        <v>544</v>
      </c>
      <c r="C458" s="181"/>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82"/>
      <c r="AH458" s="182"/>
      <c r="AI458" s="182"/>
      <c r="AJ458" s="182"/>
      <c r="AK458" s="180"/>
      <c r="AL458" s="183"/>
      <c r="AM458" s="183"/>
      <c r="AN458" s="181"/>
    </row>
    <row r="459" spans="2:40">
      <c r="B459" s="156">
        <v>125009</v>
      </c>
      <c r="C459" s="27" t="s">
        <v>545</v>
      </c>
      <c r="D459" s="112">
        <v>187000.00000000003</v>
      </c>
      <c r="E459" s="118">
        <f t="shared" si="260"/>
        <v>196350.00000000003</v>
      </c>
      <c r="F459" s="70">
        <f>E459*1.045</f>
        <v>205185.75000000003</v>
      </c>
      <c r="G459" s="70">
        <f t="shared" si="253"/>
        <v>212326.21410000001</v>
      </c>
      <c r="H459" s="70">
        <f t="shared" si="254"/>
        <v>235919.90301079204</v>
      </c>
      <c r="I459" s="70">
        <f t="shared" si="255"/>
        <v>218059.02188069999</v>
      </c>
      <c r="J459" s="70">
        <f t="shared" si="255"/>
        <v>242289.74039208342</v>
      </c>
      <c r="K459" s="70">
        <f t="shared" si="256"/>
        <v>223292.43840583679</v>
      </c>
      <c r="L459" s="58">
        <f t="shared" si="256"/>
        <v>248104.69416149342</v>
      </c>
      <c r="M459" s="58">
        <f t="shared" si="257"/>
        <v>229321.33424279437</v>
      </c>
      <c r="N459" s="58">
        <f t="shared" si="257"/>
        <v>254803.52090385373</v>
      </c>
      <c r="O459" s="80">
        <f t="shared" si="258"/>
        <v>234366.40359613585</v>
      </c>
      <c r="P459" s="80">
        <f t="shared" si="258"/>
        <v>260409.19836373851</v>
      </c>
      <c r="Q459" s="101">
        <f t="shared" si="235"/>
        <v>239991.19728244311</v>
      </c>
      <c r="R459" s="80">
        <f t="shared" si="236"/>
        <v>266659.01912446826</v>
      </c>
      <c r="S459" s="101">
        <f t="shared" si="237"/>
        <v>248870.8715818935</v>
      </c>
      <c r="T459" s="80">
        <f t="shared" si="238"/>
        <v>276525.40283207357</v>
      </c>
      <c r="U459" s="101">
        <f t="shared" si="239"/>
        <v>255839.25598618653</v>
      </c>
      <c r="V459" s="114">
        <f t="shared" si="240"/>
        <v>284268.11411137163</v>
      </c>
      <c r="W459" s="80">
        <f t="shared" si="241"/>
        <v>259676.84482597929</v>
      </c>
      <c r="X459" s="80">
        <f t="shared" si="242"/>
        <v>288532.13582304219</v>
      </c>
      <c r="Y459" s="80">
        <f t="shared" si="243"/>
        <v>263831.67434319499</v>
      </c>
      <c r="Z459" s="80">
        <f t="shared" si="244"/>
        <v>293148.64999621088</v>
      </c>
      <c r="AA459" s="80">
        <f t="shared" si="245"/>
        <v>268844.47615571565</v>
      </c>
      <c r="AB459" s="80">
        <f t="shared" si="246"/>
        <v>298718.47434613889</v>
      </c>
      <c r="AC459" s="101">
        <f t="shared" si="247"/>
        <v>273952.52120267419</v>
      </c>
      <c r="AD459" s="80">
        <f t="shared" si="248"/>
        <v>304394.12535871548</v>
      </c>
      <c r="AE459" s="101">
        <f t="shared" si="249"/>
        <v>279705.52414793032</v>
      </c>
      <c r="AF459" s="80">
        <f t="shared" si="250"/>
        <v>310786.40199124848</v>
      </c>
      <c r="AG459" s="143">
        <f t="shared" si="261"/>
        <v>283341.69596185337</v>
      </c>
      <c r="AH459" s="152">
        <f t="shared" si="262"/>
        <v>314826.62521713466</v>
      </c>
      <c r="AI459" s="143">
        <f t="shared" si="263"/>
        <v>289008.52988109045</v>
      </c>
      <c r="AJ459" s="152">
        <f t="shared" si="264"/>
        <v>321123.15772147733</v>
      </c>
      <c r="AK459" s="143">
        <f t="shared" si="265"/>
        <v>297389.77724764205</v>
      </c>
      <c r="AL459" s="152">
        <f t="shared" si="266"/>
        <v>330435.72929540015</v>
      </c>
      <c r="AM459" s="143">
        <f t="shared" si="267"/>
        <v>316125.33321424347</v>
      </c>
      <c r="AN459" s="143">
        <f t="shared" si="268"/>
        <v>351253.18024101033</v>
      </c>
    </row>
    <row r="460" spans="2:40">
      <c r="B460" s="19">
        <v>125010</v>
      </c>
      <c r="C460" s="18" t="s">
        <v>546</v>
      </c>
      <c r="D460" s="16">
        <v>280500</v>
      </c>
      <c r="E460" s="17">
        <f t="shared" si="260"/>
        <v>294525</v>
      </c>
      <c r="F460" s="57">
        <f>E460*1.045</f>
        <v>307778.625</v>
      </c>
      <c r="G460" s="57">
        <f t="shared" si="253"/>
        <v>318489.32114999997</v>
      </c>
      <c r="H460" s="57">
        <f t="shared" si="254"/>
        <v>353879.85451618803</v>
      </c>
      <c r="I460" s="57">
        <f t="shared" si="255"/>
        <v>327088.53282104997</v>
      </c>
      <c r="J460" s="57">
        <f t="shared" si="255"/>
        <v>363434.61058812507</v>
      </c>
      <c r="K460" s="57">
        <f t="shared" si="256"/>
        <v>334938.65760875517</v>
      </c>
      <c r="L460" s="9">
        <f t="shared" si="256"/>
        <v>372157.04124224005</v>
      </c>
      <c r="M460" s="9">
        <f t="shared" si="257"/>
        <v>343982.00136419153</v>
      </c>
      <c r="N460" s="9">
        <f t="shared" si="257"/>
        <v>382205.28135578049</v>
      </c>
      <c r="O460" s="78">
        <f t="shared" si="258"/>
        <v>351549.60539420374</v>
      </c>
      <c r="P460" s="78">
        <f t="shared" si="258"/>
        <v>390613.79754560767</v>
      </c>
      <c r="Q460" s="1">
        <f t="shared" si="235"/>
        <v>359986.79592366464</v>
      </c>
      <c r="R460" s="78">
        <f t="shared" si="236"/>
        <v>399988.52868670225</v>
      </c>
      <c r="S460" s="1">
        <f t="shared" si="237"/>
        <v>373306.30737284018</v>
      </c>
      <c r="T460" s="78">
        <f t="shared" si="238"/>
        <v>414788.1042481102</v>
      </c>
      <c r="U460" s="1">
        <f t="shared" si="239"/>
        <v>383758.88397927972</v>
      </c>
      <c r="V460" s="99">
        <f t="shared" si="240"/>
        <v>426402.1711670573</v>
      </c>
      <c r="W460" s="78">
        <f t="shared" si="241"/>
        <v>389515.26723896887</v>
      </c>
      <c r="X460" s="78">
        <f t="shared" si="242"/>
        <v>432798.20373456314</v>
      </c>
      <c r="Y460" s="78">
        <f t="shared" si="243"/>
        <v>395747.51151479239</v>
      </c>
      <c r="Z460" s="78">
        <f t="shared" si="244"/>
        <v>439722.97499431617</v>
      </c>
      <c r="AA460" s="78">
        <f t="shared" si="245"/>
        <v>403266.71423357341</v>
      </c>
      <c r="AB460" s="78">
        <f t="shared" si="246"/>
        <v>448077.71151920815</v>
      </c>
      <c r="AC460" s="1">
        <f t="shared" si="247"/>
        <v>410928.78180401126</v>
      </c>
      <c r="AD460" s="78">
        <f t="shared" si="248"/>
        <v>456591.18803807307</v>
      </c>
      <c r="AE460" s="1">
        <f t="shared" si="249"/>
        <v>419558.28622189548</v>
      </c>
      <c r="AF460" s="78">
        <f t="shared" si="250"/>
        <v>466179.60298687255</v>
      </c>
      <c r="AG460" s="141">
        <f t="shared" si="261"/>
        <v>425012.54394278006</v>
      </c>
      <c r="AH460" s="140">
        <f t="shared" si="262"/>
        <v>472239.93782570184</v>
      </c>
      <c r="AI460" s="141">
        <f t="shared" si="263"/>
        <v>433512.79482163565</v>
      </c>
      <c r="AJ460" s="140">
        <f t="shared" si="264"/>
        <v>481684.73658221588</v>
      </c>
      <c r="AK460" s="141">
        <f t="shared" si="265"/>
        <v>446084.66587146302</v>
      </c>
      <c r="AL460" s="140">
        <f t="shared" si="266"/>
        <v>495653.59394310007</v>
      </c>
      <c r="AM460" s="141">
        <f t="shared" si="267"/>
        <v>474187.99982136517</v>
      </c>
      <c r="AN460" s="141">
        <f t="shared" si="268"/>
        <v>526879.77036151534</v>
      </c>
    </row>
    <row r="461" spans="2:40">
      <c r="B461" s="19">
        <v>125011</v>
      </c>
      <c r="C461" s="18" t="s">
        <v>547</v>
      </c>
      <c r="D461" s="16">
        <v>327250.00000000006</v>
      </c>
      <c r="E461" s="17">
        <f t="shared" si="260"/>
        <v>343612.50000000006</v>
      </c>
      <c r="F461" s="57">
        <f>E461*1.045</f>
        <v>359075.06250000006</v>
      </c>
      <c r="G461" s="57">
        <f t="shared" si="253"/>
        <v>371570.87467500003</v>
      </c>
      <c r="H461" s="57">
        <f t="shared" si="254"/>
        <v>412859.83026888606</v>
      </c>
      <c r="I461" s="57">
        <f t="shared" si="255"/>
        <v>381603.28829122498</v>
      </c>
      <c r="J461" s="57">
        <f t="shared" si="255"/>
        <v>424007.04568614595</v>
      </c>
      <c r="K461" s="57">
        <f t="shared" si="256"/>
        <v>390761.7672102144</v>
      </c>
      <c r="L461" s="9">
        <f t="shared" si="256"/>
        <v>434183.21478261345</v>
      </c>
      <c r="M461" s="9">
        <f t="shared" si="257"/>
        <v>401312.33492489014</v>
      </c>
      <c r="N461" s="9">
        <f t="shared" si="257"/>
        <v>445906.16158174397</v>
      </c>
      <c r="O461" s="78">
        <f t="shared" si="258"/>
        <v>410141.20629323774</v>
      </c>
      <c r="P461" s="78">
        <f t="shared" si="258"/>
        <v>455716.09713654238</v>
      </c>
      <c r="Q461" s="1">
        <f t="shared" ref="Q461:Q524" si="269">O461*1.024</f>
        <v>419984.59524427546</v>
      </c>
      <c r="R461" s="78">
        <f t="shared" ref="R461:R524" si="270">P461*1.024</f>
        <v>466653.28346781939</v>
      </c>
      <c r="S461" s="1">
        <f t="shared" ref="S461:S524" si="271">Q461*1.037</f>
        <v>435524.02526831365</v>
      </c>
      <c r="T461" s="78">
        <f t="shared" ref="T461:T524" si="272">R461*1.037</f>
        <v>483919.45495612867</v>
      </c>
      <c r="U461" s="1">
        <f t="shared" ref="U461:U524" si="273">S461*1.028</f>
        <v>447718.69797582645</v>
      </c>
      <c r="V461" s="99">
        <f t="shared" ref="V461:V524" si="274">T461*1.028</f>
        <v>497469.19969490031</v>
      </c>
      <c r="W461" s="78">
        <f t="shared" ref="W461:W524" si="275">U461*1.015</f>
        <v>454434.47844546381</v>
      </c>
      <c r="X461" s="78">
        <f t="shared" ref="X461:X524" si="276">V461*1.015</f>
        <v>504931.23769032379</v>
      </c>
      <c r="Y461" s="78">
        <f t="shared" ref="Y461:Y524" si="277">W461*1.016</f>
        <v>461705.43010059121</v>
      </c>
      <c r="Z461" s="78">
        <f t="shared" ref="Z461:Z524" si="278">X461*1.016</f>
        <v>513010.13749336899</v>
      </c>
      <c r="AA461" s="78">
        <f t="shared" ref="AA461:AA524" si="279">Y461*1.019</f>
        <v>470477.83327250241</v>
      </c>
      <c r="AB461" s="78">
        <f t="shared" ref="AB461:AB524" si="280">Z461*1.019</f>
        <v>522757.33010574296</v>
      </c>
      <c r="AC461" s="1">
        <f t="shared" ref="AC461:AC524" si="281">AA461*1.019</f>
        <v>479416.91210467991</v>
      </c>
      <c r="AD461" s="78">
        <f t="shared" ref="AD461:AD524" si="282">AB461*1.019</f>
        <v>532689.71937775204</v>
      </c>
      <c r="AE461" s="1">
        <f t="shared" ref="AE461:AE524" si="283">AC461*1.021</f>
        <v>489484.66725887812</v>
      </c>
      <c r="AF461" s="78">
        <f t="shared" ref="AF461:AF524" si="284">AD461*1.021</f>
        <v>543876.20348468481</v>
      </c>
      <c r="AG461" s="141">
        <f t="shared" si="261"/>
        <v>495847.96793324349</v>
      </c>
      <c r="AH461" s="140">
        <f t="shared" si="262"/>
        <v>550946.59412998566</v>
      </c>
      <c r="AI461" s="141">
        <f t="shared" si="263"/>
        <v>505764.92729190836</v>
      </c>
      <c r="AJ461" s="140">
        <f t="shared" si="264"/>
        <v>561965.52601258538</v>
      </c>
      <c r="AK461" s="141">
        <f t="shared" si="265"/>
        <v>520432.11018337368</v>
      </c>
      <c r="AL461" s="140">
        <f t="shared" si="266"/>
        <v>578262.5262669503</v>
      </c>
      <c r="AM461" s="141">
        <f t="shared" si="267"/>
        <v>553219.3331249262</v>
      </c>
      <c r="AN461" s="141">
        <f t="shared" si="268"/>
        <v>614693.06542176811</v>
      </c>
    </row>
    <row r="462" spans="2:40">
      <c r="B462" s="19">
        <v>125012</v>
      </c>
      <c r="C462" s="18" t="s">
        <v>548</v>
      </c>
      <c r="D462" s="16">
        <v>1683000.0000000002</v>
      </c>
      <c r="E462" s="17">
        <f t="shared" si="260"/>
        <v>1767150.0000000002</v>
      </c>
      <c r="F462" s="57">
        <f>E462*1.045</f>
        <v>1846671.7500000002</v>
      </c>
      <c r="G462" s="57">
        <f t="shared" si="253"/>
        <v>1910935.9269000001</v>
      </c>
      <c r="H462" s="57">
        <f t="shared" si="254"/>
        <v>2123279.1270971284</v>
      </c>
      <c r="I462" s="57">
        <f t="shared" si="255"/>
        <v>1962531.1969262999</v>
      </c>
      <c r="J462" s="57">
        <f t="shared" si="255"/>
        <v>2180607.6635287507</v>
      </c>
      <c r="K462" s="57">
        <f t="shared" si="256"/>
        <v>2009631.9456525312</v>
      </c>
      <c r="L462" s="9">
        <f t="shared" si="256"/>
        <v>2232942.2474534409</v>
      </c>
      <c r="M462" s="9">
        <f t="shared" si="257"/>
        <v>2063892.0081851494</v>
      </c>
      <c r="N462" s="9">
        <f t="shared" si="257"/>
        <v>2293231.6881346838</v>
      </c>
      <c r="O462" s="78">
        <f t="shared" si="258"/>
        <v>2109297.6323652226</v>
      </c>
      <c r="P462" s="78">
        <f t="shared" si="258"/>
        <v>2343682.7852736469</v>
      </c>
      <c r="Q462" s="1">
        <f t="shared" si="269"/>
        <v>2159920.7755419877</v>
      </c>
      <c r="R462" s="78">
        <f t="shared" si="270"/>
        <v>2399931.1721202144</v>
      </c>
      <c r="S462" s="1">
        <f t="shared" si="271"/>
        <v>2239837.8442370412</v>
      </c>
      <c r="T462" s="78">
        <f t="shared" si="272"/>
        <v>2488728.6254886622</v>
      </c>
      <c r="U462" s="1">
        <f t="shared" si="273"/>
        <v>2302553.3038756782</v>
      </c>
      <c r="V462" s="99">
        <f t="shared" si="274"/>
        <v>2558413.0270023448</v>
      </c>
      <c r="W462" s="78">
        <f t="shared" si="275"/>
        <v>2337091.603433813</v>
      </c>
      <c r="X462" s="78">
        <f t="shared" si="276"/>
        <v>2596789.2224073797</v>
      </c>
      <c r="Y462" s="78">
        <f t="shared" si="277"/>
        <v>2374485.0690887538</v>
      </c>
      <c r="Z462" s="78">
        <f t="shared" si="278"/>
        <v>2638337.8499658979</v>
      </c>
      <c r="AA462" s="78">
        <f t="shared" si="279"/>
        <v>2419600.2854014398</v>
      </c>
      <c r="AB462" s="78">
        <f t="shared" si="280"/>
        <v>2688466.2691152496</v>
      </c>
      <c r="AC462" s="1">
        <f t="shared" si="281"/>
        <v>2465572.6908240668</v>
      </c>
      <c r="AD462" s="78">
        <f t="shared" si="282"/>
        <v>2739547.128228439</v>
      </c>
      <c r="AE462" s="1">
        <f t="shared" si="283"/>
        <v>2517349.7173313717</v>
      </c>
      <c r="AF462" s="78">
        <f t="shared" si="284"/>
        <v>2797077.617921236</v>
      </c>
      <c r="AG462" s="141">
        <f t="shared" si="261"/>
        <v>2550075.2636566795</v>
      </c>
      <c r="AH462" s="140">
        <f t="shared" si="262"/>
        <v>2833439.6269542119</v>
      </c>
      <c r="AI462" s="141">
        <f t="shared" si="263"/>
        <v>2601076.7689298131</v>
      </c>
      <c r="AJ462" s="140">
        <f t="shared" si="264"/>
        <v>2890108.4194932962</v>
      </c>
      <c r="AK462" s="141">
        <f t="shared" si="265"/>
        <v>2676507.9952287776</v>
      </c>
      <c r="AL462" s="140">
        <f t="shared" si="266"/>
        <v>2973921.5636586016</v>
      </c>
      <c r="AM462" s="141">
        <f t="shared" si="267"/>
        <v>2845127.9989281907</v>
      </c>
      <c r="AN462" s="141">
        <f t="shared" si="268"/>
        <v>3161278.6221690932</v>
      </c>
    </row>
    <row r="463" spans="2:40">
      <c r="B463" s="155">
        <v>125013</v>
      </c>
      <c r="C463" s="25" t="s">
        <v>549</v>
      </c>
      <c r="D463" s="54">
        <v>3366000.0000000005</v>
      </c>
      <c r="E463" s="55">
        <f t="shared" si="260"/>
        <v>3534300.0000000005</v>
      </c>
      <c r="F463" s="75">
        <f>E463*1.045</f>
        <v>3693343.5000000005</v>
      </c>
      <c r="G463" s="75">
        <f t="shared" si="253"/>
        <v>3821871.8538000002</v>
      </c>
      <c r="H463" s="75">
        <f t="shared" si="254"/>
        <v>4246558.2541942568</v>
      </c>
      <c r="I463" s="75">
        <f t="shared" si="255"/>
        <v>3925062.3938525999</v>
      </c>
      <c r="J463" s="75">
        <f t="shared" si="255"/>
        <v>4361215.3270575013</v>
      </c>
      <c r="K463" s="75">
        <f t="shared" si="256"/>
        <v>4019263.8913050625</v>
      </c>
      <c r="L463" s="71">
        <f t="shared" si="256"/>
        <v>4465884.4949068818</v>
      </c>
      <c r="M463" s="71">
        <f t="shared" si="257"/>
        <v>4127784.0163702988</v>
      </c>
      <c r="N463" s="71">
        <f t="shared" si="257"/>
        <v>4586463.3762693675</v>
      </c>
      <c r="O463" s="79">
        <f t="shared" si="258"/>
        <v>4218595.2647304451</v>
      </c>
      <c r="P463" s="79">
        <f t="shared" si="258"/>
        <v>4687365.5705472939</v>
      </c>
      <c r="Q463" s="100">
        <f t="shared" si="269"/>
        <v>4319841.5510839755</v>
      </c>
      <c r="R463" s="79">
        <f t="shared" si="270"/>
        <v>4799862.3442404289</v>
      </c>
      <c r="S463" s="100">
        <f t="shared" si="271"/>
        <v>4479675.6884740824</v>
      </c>
      <c r="T463" s="79">
        <f t="shared" si="272"/>
        <v>4977457.2509773243</v>
      </c>
      <c r="U463" s="100">
        <f t="shared" si="273"/>
        <v>4605106.6077513564</v>
      </c>
      <c r="V463" s="119">
        <f t="shared" si="274"/>
        <v>5116826.0540046897</v>
      </c>
      <c r="W463" s="79">
        <f t="shared" si="275"/>
        <v>4674183.2068676259</v>
      </c>
      <c r="X463" s="79">
        <f t="shared" si="276"/>
        <v>5193578.4448147593</v>
      </c>
      <c r="Y463" s="79">
        <f t="shared" si="277"/>
        <v>4748970.1381775076</v>
      </c>
      <c r="Z463" s="79">
        <f t="shared" si="278"/>
        <v>5276675.6999317957</v>
      </c>
      <c r="AA463" s="79">
        <f t="shared" si="279"/>
        <v>4839200.5708028795</v>
      </c>
      <c r="AB463" s="79">
        <f t="shared" si="280"/>
        <v>5376932.5382304993</v>
      </c>
      <c r="AC463" s="100">
        <f t="shared" si="281"/>
        <v>4931145.3816481335</v>
      </c>
      <c r="AD463" s="79">
        <f t="shared" si="282"/>
        <v>5479094.256456878</v>
      </c>
      <c r="AE463" s="100">
        <f t="shared" si="283"/>
        <v>5034699.4346627435</v>
      </c>
      <c r="AF463" s="79">
        <f t="shared" si="284"/>
        <v>5594155.2358424719</v>
      </c>
      <c r="AG463" s="142">
        <f t="shared" si="261"/>
        <v>5100150.5273133591</v>
      </c>
      <c r="AH463" s="174">
        <f t="shared" si="262"/>
        <v>5666879.2539084237</v>
      </c>
      <c r="AI463" s="142">
        <f t="shared" si="263"/>
        <v>5202153.5378596261</v>
      </c>
      <c r="AJ463" s="174">
        <f t="shared" si="264"/>
        <v>5780216.8389865924</v>
      </c>
      <c r="AK463" s="142">
        <f t="shared" si="265"/>
        <v>5353015.9904575553</v>
      </c>
      <c r="AL463" s="174">
        <f t="shared" si="266"/>
        <v>5947843.1273172032</v>
      </c>
      <c r="AM463" s="142">
        <f t="shared" si="267"/>
        <v>5690255.9978563813</v>
      </c>
      <c r="AN463" s="142">
        <f t="shared" si="268"/>
        <v>6322557.2443381865</v>
      </c>
    </row>
    <row r="464" spans="2:40" ht="15" customHeight="1">
      <c r="B464" s="180" t="s">
        <v>550</v>
      </c>
      <c r="C464" s="181"/>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82"/>
      <c r="AH464" s="182"/>
      <c r="AI464" s="182"/>
      <c r="AJ464" s="182"/>
      <c r="AK464" s="180"/>
      <c r="AL464" s="183"/>
      <c r="AM464" s="183"/>
      <c r="AN464" s="181"/>
    </row>
    <row r="465" spans="2:40">
      <c r="B465" s="157"/>
      <c r="C465" s="31" t="s">
        <v>551</v>
      </c>
      <c r="D465" s="120" t="s">
        <v>514</v>
      </c>
      <c r="E465" s="121" t="s">
        <v>514</v>
      </c>
      <c r="F465" s="139" t="s">
        <v>514</v>
      </c>
      <c r="G465" s="139" t="s">
        <v>514</v>
      </c>
      <c r="H465" s="98" t="s">
        <v>97</v>
      </c>
      <c r="I465" s="98" t="s">
        <v>97</v>
      </c>
      <c r="J465" s="98" t="s">
        <v>97</v>
      </c>
      <c r="K465" s="98" t="s">
        <v>97</v>
      </c>
      <c r="L465" s="98" t="s">
        <v>97</v>
      </c>
      <c r="M465" s="98" t="s">
        <v>97</v>
      </c>
      <c r="N465" s="128" t="s">
        <v>97</v>
      </c>
      <c r="O465" s="98" t="s">
        <v>97</v>
      </c>
      <c r="P465" s="98" t="s">
        <v>97</v>
      </c>
      <c r="Q465" s="98" t="s">
        <v>97</v>
      </c>
      <c r="R465" s="98" t="s">
        <v>97</v>
      </c>
      <c r="S465" s="128" t="s">
        <v>97</v>
      </c>
      <c r="T465" s="98" t="s">
        <v>97</v>
      </c>
      <c r="U465" s="128" t="s">
        <v>97</v>
      </c>
      <c r="V465" s="98" t="s">
        <v>97</v>
      </c>
      <c r="W465" s="128" t="s">
        <v>97</v>
      </c>
      <c r="X465" s="98" t="s">
        <v>97</v>
      </c>
      <c r="Y465" s="128" t="s">
        <v>97</v>
      </c>
      <c r="Z465" s="98" t="s">
        <v>97</v>
      </c>
      <c r="AA465" s="128" t="s">
        <v>97</v>
      </c>
      <c r="AB465" s="98" t="s">
        <v>97</v>
      </c>
      <c r="AC465" s="128" t="s">
        <v>97</v>
      </c>
      <c r="AD465" s="98" t="s">
        <v>97</v>
      </c>
      <c r="AE465" s="128" t="s">
        <v>97</v>
      </c>
      <c r="AF465" s="98" t="s">
        <v>97</v>
      </c>
      <c r="AG465" s="128" t="s">
        <v>97</v>
      </c>
      <c r="AH465" s="98" t="s">
        <v>97</v>
      </c>
      <c r="AI465" s="98" t="s">
        <v>97</v>
      </c>
      <c r="AJ465" s="98" t="s">
        <v>97</v>
      </c>
      <c r="AK465" s="98" t="s">
        <v>97</v>
      </c>
      <c r="AL465" s="128" t="s">
        <v>97</v>
      </c>
      <c r="AM465" s="128" t="s">
        <v>97</v>
      </c>
      <c r="AN465" s="128" t="s">
        <v>97</v>
      </c>
    </row>
    <row r="466" spans="2:40" ht="15" customHeight="1">
      <c r="B466" s="180" t="s">
        <v>552</v>
      </c>
      <c r="C466" s="181"/>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82"/>
      <c r="AH466" s="182"/>
      <c r="AI466" s="182"/>
      <c r="AJ466" s="182"/>
      <c r="AK466" s="180"/>
      <c r="AL466" s="183"/>
      <c r="AM466" s="183"/>
      <c r="AN466" s="181"/>
    </row>
    <row r="467" spans="2:40">
      <c r="B467" s="156">
        <v>125014</v>
      </c>
      <c r="C467" s="27" t="s">
        <v>553</v>
      </c>
      <c r="D467" s="112" t="s">
        <v>514</v>
      </c>
      <c r="E467" s="118" t="s">
        <v>514</v>
      </c>
      <c r="F467" s="135" t="s">
        <v>514</v>
      </c>
      <c r="G467" s="135" t="s">
        <v>514</v>
      </c>
      <c r="H467" s="125" t="s">
        <v>97</v>
      </c>
      <c r="I467" s="125" t="s">
        <v>97</v>
      </c>
      <c r="J467" s="125" t="s">
        <v>97</v>
      </c>
      <c r="K467" s="125" t="s">
        <v>97</v>
      </c>
      <c r="L467" s="125" t="s">
        <v>97</v>
      </c>
      <c r="M467" s="125" t="s">
        <v>97</v>
      </c>
      <c r="N467" s="108" t="s">
        <v>97</v>
      </c>
      <c r="O467" s="125" t="s">
        <v>97</v>
      </c>
      <c r="P467" s="125" t="s">
        <v>97</v>
      </c>
      <c r="Q467" s="125" t="s">
        <v>97</v>
      </c>
      <c r="R467" s="125" t="s">
        <v>97</v>
      </c>
      <c r="S467" s="108" t="s">
        <v>97</v>
      </c>
      <c r="T467" s="125" t="s">
        <v>97</v>
      </c>
      <c r="U467" s="108" t="s">
        <v>97</v>
      </c>
      <c r="V467" s="125" t="s">
        <v>97</v>
      </c>
      <c r="W467" s="108" t="s">
        <v>97</v>
      </c>
      <c r="X467" s="125" t="s">
        <v>97</v>
      </c>
      <c r="Y467" s="108" t="s">
        <v>97</v>
      </c>
      <c r="Z467" s="125" t="s">
        <v>97</v>
      </c>
      <c r="AA467" s="108" t="s">
        <v>97</v>
      </c>
      <c r="AB467" s="125" t="s">
        <v>97</v>
      </c>
      <c r="AC467" s="108" t="s">
        <v>97</v>
      </c>
      <c r="AD467" s="125" t="s">
        <v>97</v>
      </c>
      <c r="AE467" s="108" t="s">
        <v>97</v>
      </c>
      <c r="AF467" s="125" t="s">
        <v>97</v>
      </c>
      <c r="AG467" s="108" t="s">
        <v>97</v>
      </c>
      <c r="AH467" s="125" t="s">
        <v>97</v>
      </c>
      <c r="AI467" s="108" t="s">
        <v>97</v>
      </c>
      <c r="AJ467" s="125" t="s">
        <v>97</v>
      </c>
      <c r="AK467" s="125" t="s">
        <v>97</v>
      </c>
      <c r="AL467" s="108" t="s">
        <v>97</v>
      </c>
      <c r="AM467" s="108" t="s">
        <v>97</v>
      </c>
      <c r="AN467" s="108" t="s">
        <v>97</v>
      </c>
    </row>
    <row r="468" spans="2:40">
      <c r="B468" s="19">
        <v>125015</v>
      </c>
      <c r="C468" s="18" t="s">
        <v>554</v>
      </c>
      <c r="D468" s="16" t="s">
        <v>514</v>
      </c>
      <c r="E468" s="17" t="s">
        <v>514</v>
      </c>
      <c r="F468" s="6" t="s">
        <v>514</v>
      </c>
      <c r="G468" s="6" t="s">
        <v>514</v>
      </c>
      <c r="H468" s="3" t="s">
        <v>97</v>
      </c>
      <c r="I468" s="3" t="s">
        <v>97</v>
      </c>
      <c r="J468" s="3" t="s">
        <v>97</v>
      </c>
      <c r="K468" s="3" t="s">
        <v>97</v>
      </c>
      <c r="L468" s="3" t="s">
        <v>97</v>
      </c>
      <c r="M468" s="3" t="s">
        <v>97</v>
      </c>
      <c r="N468" s="29" t="s">
        <v>97</v>
      </c>
      <c r="O468" s="3" t="s">
        <v>97</v>
      </c>
      <c r="P468" s="3" t="s">
        <v>97</v>
      </c>
      <c r="Q468" s="3" t="s">
        <v>97</v>
      </c>
      <c r="R468" s="3" t="s">
        <v>97</v>
      </c>
      <c r="S468" s="29" t="s">
        <v>97</v>
      </c>
      <c r="T468" s="3" t="s">
        <v>97</v>
      </c>
      <c r="U468" s="29" t="s">
        <v>97</v>
      </c>
      <c r="V468" s="3" t="s">
        <v>97</v>
      </c>
      <c r="W468" s="29" t="s">
        <v>97</v>
      </c>
      <c r="X468" s="3" t="s">
        <v>97</v>
      </c>
      <c r="Y468" s="29" t="s">
        <v>97</v>
      </c>
      <c r="Z468" s="3" t="s">
        <v>97</v>
      </c>
      <c r="AA468" s="29" t="s">
        <v>97</v>
      </c>
      <c r="AB468" s="3" t="s">
        <v>97</v>
      </c>
      <c r="AC468" s="29" t="s">
        <v>97</v>
      </c>
      <c r="AD468" s="3" t="s">
        <v>97</v>
      </c>
      <c r="AE468" s="29" t="s">
        <v>97</v>
      </c>
      <c r="AF468" s="3" t="s">
        <v>97</v>
      </c>
      <c r="AG468" s="29" t="s">
        <v>97</v>
      </c>
      <c r="AH468" s="3" t="s">
        <v>97</v>
      </c>
      <c r="AI468" s="29" t="s">
        <v>97</v>
      </c>
      <c r="AJ468" s="3" t="s">
        <v>97</v>
      </c>
      <c r="AK468" s="3" t="s">
        <v>97</v>
      </c>
      <c r="AL468" s="29" t="s">
        <v>97</v>
      </c>
      <c r="AM468" s="29" t="s">
        <v>97</v>
      </c>
      <c r="AN468" s="29" t="s">
        <v>97</v>
      </c>
    </row>
    <row r="469" spans="2:40">
      <c r="B469" s="155">
        <v>125016</v>
      </c>
      <c r="C469" s="25" t="s">
        <v>555</v>
      </c>
      <c r="D469" s="54" t="s">
        <v>514</v>
      </c>
      <c r="E469" s="55" t="s">
        <v>514</v>
      </c>
      <c r="F469" s="136" t="s">
        <v>514</v>
      </c>
      <c r="G469" s="136" t="s">
        <v>514</v>
      </c>
      <c r="H469" s="89" t="s">
        <v>97</v>
      </c>
      <c r="I469" s="89" t="s">
        <v>97</v>
      </c>
      <c r="J469" s="89" t="s">
        <v>97</v>
      </c>
      <c r="K469" s="89" t="s">
        <v>97</v>
      </c>
      <c r="L469" s="89" t="s">
        <v>97</v>
      </c>
      <c r="M469" s="89" t="s">
        <v>97</v>
      </c>
      <c r="N469" s="90" t="s">
        <v>97</v>
      </c>
      <c r="O469" s="89" t="s">
        <v>97</v>
      </c>
      <c r="P469" s="89" t="s">
        <v>97</v>
      </c>
      <c r="Q469" s="89" t="s">
        <v>97</v>
      </c>
      <c r="R469" s="89" t="s">
        <v>97</v>
      </c>
      <c r="S469" s="90" t="s">
        <v>97</v>
      </c>
      <c r="T469" s="89" t="s">
        <v>97</v>
      </c>
      <c r="U469" s="90" t="s">
        <v>97</v>
      </c>
      <c r="V469" s="89" t="s">
        <v>97</v>
      </c>
      <c r="W469" s="90" t="s">
        <v>97</v>
      </c>
      <c r="X469" s="89" t="s">
        <v>97</v>
      </c>
      <c r="Y469" s="90" t="s">
        <v>97</v>
      </c>
      <c r="Z469" s="89" t="s">
        <v>97</v>
      </c>
      <c r="AA469" s="90" t="s">
        <v>97</v>
      </c>
      <c r="AB469" s="89" t="s">
        <v>97</v>
      </c>
      <c r="AC469" s="90" t="s">
        <v>97</v>
      </c>
      <c r="AD469" s="89" t="s">
        <v>97</v>
      </c>
      <c r="AE469" s="90" t="s">
        <v>97</v>
      </c>
      <c r="AF469" s="89" t="s">
        <v>97</v>
      </c>
      <c r="AG469" s="90" t="s">
        <v>97</v>
      </c>
      <c r="AH469" s="89" t="s">
        <v>97</v>
      </c>
      <c r="AI469" s="90" t="s">
        <v>97</v>
      </c>
      <c r="AJ469" s="89" t="s">
        <v>97</v>
      </c>
      <c r="AK469" s="89" t="s">
        <v>97</v>
      </c>
      <c r="AL469" s="90" t="s">
        <v>97</v>
      </c>
      <c r="AM469" s="90" t="s">
        <v>97</v>
      </c>
      <c r="AN469" s="90" t="s">
        <v>97</v>
      </c>
    </row>
    <row r="470" spans="2:40" ht="15" customHeight="1">
      <c r="B470" s="180" t="s">
        <v>556</v>
      </c>
      <c r="C470" s="181"/>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c r="AC470" s="183"/>
      <c r="AD470" s="183"/>
      <c r="AE470" s="183"/>
      <c r="AF470" s="183"/>
      <c r="AG470" s="183"/>
      <c r="AH470" s="183"/>
      <c r="AI470" s="183"/>
      <c r="AJ470" s="183"/>
      <c r="AK470" s="180"/>
      <c r="AL470" s="183"/>
      <c r="AM470" s="183"/>
      <c r="AN470" s="181"/>
    </row>
    <row r="471" spans="2:40">
      <c r="B471" s="156">
        <v>137001</v>
      </c>
      <c r="C471" s="27" t="s">
        <v>557</v>
      </c>
      <c r="D471" s="112" t="s">
        <v>514</v>
      </c>
      <c r="E471" s="118" t="s">
        <v>514</v>
      </c>
      <c r="F471" s="135" t="s">
        <v>514</v>
      </c>
      <c r="G471" s="135" t="s">
        <v>514</v>
      </c>
      <c r="H471" s="125" t="s">
        <v>97</v>
      </c>
      <c r="I471" s="125" t="s">
        <v>97</v>
      </c>
      <c r="J471" s="125" t="s">
        <v>97</v>
      </c>
      <c r="K471" s="125" t="s">
        <v>97</v>
      </c>
      <c r="L471" s="125" t="s">
        <v>97</v>
      </c>
      <c r="M471" s="125" t="s">
        <v>97</v>
      </c>
      <c r="N471" s="108" t="s">
        <v>97</v>
      </c>
      <c r="O471" s="125" t="s">
        <v>97</v>
      </c>
      <c r="P471" s="125" t="s">
        <v>97</v>
      </c>
      <c r="Q471" s="125" t="s">
        <v>97</v>
      </c>
      <c r="R471" s="125" t="s">
        <v>97</v>
      </c>
      <c r="S471" s="108" t="s">
        <v>97</v>
      </c>
      <c r="T471" s="125" t="s">
        <v>97</v>
      </c>
      <c r="U471" s="108" t="s">
        <v>97</v>
      </c>
      <c r="V471" s="125" t="s">
        <v>97</v>
      </c>
      <c r="W471" s="108" t="s">
        <v>97</v>
      </c>
      <c r="X471" s="125" t="s">
        <v>97</v>
      </c>
      <c r="Y471" s="108" t="s">
        <v>97</v>
      </c>
      <c r="Z471" s="125" t="s">
        <v>97</v>
      </c>
      <c r="AA471" s="108" t="s">
        <v>97</v>
      </c>
      <c r="AB471" s="125" t="s">
        <v>97</v>
      </c>
      <c r="AC471" s="108" t="s">
        <v>97</v>
      </c>
      <c r="AD471" s="125" t="s">
        <v>97</v>
      </c>
      <c r="AE471" s="108" t="s">
        <v>97</v>
      </c>
      <c r="AF471" s="125" t="s">
        <v>97</v>
      </c>
      <c r="AG471" s="108" t="s">
        <v>97</v>
      </c>
      <c r="AH471" s="125" t="s">
        <v>97</v>
      </c>
      <c r="AI471" s="108" t="s">
        <v>97</v>
      </c>
      <c r="AJ471" s="125" t="s">
        <v>97</v>
      </c>
      <c r="AK471" s="125" t="s">
        <v>97</v>
      </c>
      <c r="AL471" s="108" t="s">
        <v>97</v>
      </c>
      <c r="AM471" s="108" t="s">
        <v>97</v>
      </c>
      <c r="AN471" s="108" t="s">
        <v>97</v>
      </c>
    </row>
    <row r="472" spans="2:40">
      <c r="B472" s="19">
        <v>137002</v>
      </c>
      <c r="C472" s="18" t="s">
        <v>558</v>
      </c>
      <c r="D472" s="16" t="s">
        <v>514</v>
      </c>
      <c r="E472" s="17" t="s">
        <v>514</v>
      </c>
      <c r="F472" s="6" t="s">
        <v>514</v>
      </c>
      <c r="G472" s="6" t="s">
        <v>514</v>
      </c>
      <c r="H472" s="3" t="s">
        <v>97</v>
      </c>
      <c r="I472" s="3" t="s">
        <v>97</v>
      </c>
      <c r="J472" s="3" t="s">
        <v>97</v>
      </c>
      <c r="K472" s="3" t="s">
        <v>97</v>
      </c>
      <c r="L472" s="3" t="s">
        <v>97</v>
      </c>
      <c r="M472" s="3" t="s">
        <v>97</v>
      </c>
      <c r="N472" s="29" t="s">
        <v>97</v>
      </c>
      <c r="O472" s="3" t="s">
        <v>97</v>
      </c>
      <c r="P472" s="3" t="s">
        <v>97</v>
      </c>
      <c r="Q472" s="3" t="s">
        <v>97</v>
      </c>
      <c r="R472" s="3" t="s">
        <v>97</v>
      </c>
      <c r="S472" s="29" t="s">
        <v>97</v>
      </c>
      <c r="T472" s="3" t="s">
        <v>97</v>
      </c>
      <c r="U472" s="29" t="s">
        <v>97</v>
      </c>
      <c r="V472" s="3" t="s">
        <v>97</v>
      </c>
      <c r="W472" s="29" t="s">
        <v>97</v>
      </c>
      <c r="X472" s="3" t="s">
        <v>97</v>
      </c>
      <c r="Y472" s="29" t="s">
        <v>97</v>
      </c>
      <c r="Z472" s="3" t="s">
        <v>97</v>
      </c>
      <c r="AA472" s="29" t="s">
        <v>97</v>
      </c>
      <c r="AB472" s="3" t="s">
        <v>97</v>
      </c>
      <c r="AC472" s="29" t="s">
        <v>97</v>
      </c>
      <c r="AD472" s="3" t="s">
        <v>97</v>
      </c>
      <c r="AE472" s="29" t="s">
        <v>97</v>
      </c>
      <c r="AF472" s="3" t="s">
        <v>97</v>
      </c>
      <c r="AG472" s="29" t="s">
        <v>97</v>
      </c>
      <c r="AH472" s="3" t="s">
        <v>97</v>
      </c>
      <c r="AI472" s="29" t="s">
        <v>97</v>
      </c>
      <c r="AJ472" s="3" t="s">
        <v>97</v>
      </c>
      <c r="AK472" s="3" t="s">
        <v>97</v>
      </c>
      <c r="AL472" s="29" t="s">
        <v>97</v>
      </c>
      <c r="AM472" s="29" t="s">
        <v>97</v>
      </c>
      <c r="AN472" s="29" t="s">
        <v>97</v>
      </c>
    </row>
    <row r="473" spans="2:40">
      <c r="B473" s="19">
        <v>137003</v>
      </c>
      <c r="C473" s="18" t="s">
        <v>559</v>
      </c>
      <c r="D473" s="16" t="s">
        <v>514</v>
      </c>
      <c r="E473" s="17" t="s">
        <v>514</v>
      </c>
      <c r="F473" s="6" t="s">
        <v>514</v>
      </c>
      <c r="G473" s="6" t="s">
        <v>514</v>
      </c>
      <c r="H473" s="3" t="s">
        <v>97</v>
      </c>
      <c r="I473" s="3" t="s">
        <v>97</v>
      </c>
      <c r="J473" s="3" t="s">
        <v>97</v>
      </c>
      <c r="K473" s="3" t="s">
        <v>97</v>
      </c>
      <c r="L473" s="3" t="s">
        <v>97</v>
      </c>
      <c r="M473" s="3" t="s">
        <v>97</v>
      </c>
      <c r="N473" s="29" t="s">
        <v>97</v>
      </c>
      <c r="O473" s="3" t="s">
        <v>97</v>
      </c>
      <c r="P473" s="3" t="s">
        <v>97</v>
      </c>
      <c r="Q473" s="3" t="s">
        <v>97</v>
      </c>
      <c r="R473" s="3" t="s">
        <v>97</v>
      </c>
      <c r="S473" s="29" t="s">
        <v>97</v>
      </c>
      <c r="T473" s="3" t="s">
        <v>97</v>
      </c>
      <c r="U473" s="29" t="s">
        <v>97</v>
      </c>
      <c r="V473" s="3" t="s">
        <v>97</v>
      </c>
      <c r="W473" s="29" t="s">
        <v>97</v>
      </c>
      <c r="X473" s="3" t="s">
        <v>97</v>
      </c>
      <c r="Y473" s="29" t="s">
        <v>97</v>
      </c>
      <c r="Z473" s="3" t="s">
        <v>97</v>
      </c>
      <c r="AA473" s="29" t="s">
        <v>97</v>
      </c>
      <c r="AB473" s="3" t="s">
        <v>97</v>
      </c>
      <c r="AC473" s="29" t="s">
        <v>97</v>
      </c>
      <c r="AD473" s="3" t="s">
        <v>97</v>
      </c>
      <c r="AE473" s="29" t="s">
        <v>97</v>
      </c>
      <c r="AF473" s="3" t="s">
        <v>97</v>
      </c>
      <c r="AG473" s="29" t="s">
        <v>97</v>
      </c>
      <c r="AH473" s="3" t="s">
        <v>97</v>
      </c>
      <c r="AI473" s="29" t="s">
        <v>97</v>
      </c>
      <c r="AJ473" s="3" t="s">
        <v>97</v>
      </c>
      <c r="AK473" s="3" t="s">
        <v>97</v>
      </c>
      <c r="AL473" s="29" t="s">
        <v>97</v>
      </c>
      <c r="AM473" s="29" t="s">
        <v>97</v>
      </c>
      <c r="AN473" s="29" t="s">
        <v>97</v>
      </c>
    </row>
    <row r="474" spans="2:40">
      <c r="B474" s="19">
        <v>137005</v>
      </c>
      <c r="C474" s="18" t="s">
        <v>560</v>
      </c>
      <c r="D474" s="16" t="s">
        <v>514</v>
      </c>
      <c r="E474" s="17" t="s">
        <v>514</v>
      </c>
      <c r="F474" s="6" t="s">
        <v>514</v>
      </c>
      <c r="G474" s="6" t="s">
        <v>514</v>
      </c>
      <c r="H474" s="3" t="s">
        <v>97</v>
      </c>
      <c r="I474" s="3" t="s">
        <v>97</v>
      </c>
      <c r="J474" s="3" t="s">
        <v>97</v>
      </c>
      <c r="K474" s="3" t="s">
        <v>97</v>
      </c>
      <c r="L474" s="3" t="s">
        <v>97</v>
      </c>
      <c r="M474" s="3" t="s">
        <v>97</v>
      </c>
      <c r="N474" s="29" t="s">
        <v>97</v>
      </c>
      <c r="O474" s="3" t="s">
        <v>97</v>
      </c>
      <c r="P474" s="3" t="s">
        <v>97</v>
      </c>
      <c r="Q474" s="3" t="s">
        <v>97</v>
      </c>
      <c r="R474" s="3" t="s">
        <v>97</v>
      </c>
      <c r="S474" s="29" t="s">
        <v>97</v>
      </c>
      <c r="T474" s="3" t="s">
        <v>97</v>
      </c>
      <c r="U474" s="29" t="s">
        <v>97</v>
      </c>
      <c r="V474" s="3" t="s">
        <v>97</v>
      </c>
      <c r="W474" s="90" t="s">
        <v>97</v>
      </c>
      <c r="X474" s="89" t="s">
        <v>97</v>
      </c>
      <c r="Y474" s="90" t="s">
        <v>97</v>
      </c>
      <c r="Z474" s="89" t="s">
        <v>97</v>
      </c>
      <c r="AA474" s="29" t="s">
        <v>97</v>
      </c>
      <c r="AB474" s="3" t="s">
        <v>97</v>
      </c>
      <c r="AC474" s="29" t="s">
        <v>97</v>
      </c>
      <c r="AD474" s="3" t="s">
        <v>97</v>
      </c>
      <c r="AE474" s="29" t="s">
        <v>97</v>
      </c>
      <c r="AF474" s="3" t="s">
        <v>97</v>
      </c>
      <c r="AG474" s="29" t="s">
        <v>97</v>
      </c>
      <c r="AH474" s="3" t="s">
        <v>97</v>
      </c>
      <c r="AI474" s="29" t="s">
        <v>97</v>
      </c>
      <c r="AJ474" s="3" t="s">
        <v>97</v>
      </c>
      <c r="AK474" s="3" t="s">
        <v>97</v>
      </c>
      <c r="AL474" s="108" t="s">
        <v>97</v>
      </c>
      <c r="AM474" s="108" t="s">
        <v>97</v>
      </c>
      <c r="AN474" s="108" t="s">
        <v>97</v>
      </c>
    </row>
    <row r="475" spans="2:40">
      <c r="B475" s="19">
        <v>137006</v>
      </c>
      <c r="C475" s="18" t="s">
        <v>561</v>
      </c>
      <c r="D475" s="16" t="s">
        <v>514</v>
      </c>
      <c r="E475" s="17" t="s">
        <v>514</v>
      </c>
      <c r="F475" s="6" t="s">
        <v>514</v>
      </c>
      <c r="G475" s="6" t="s">
        <v>514</v>
      </c>
      <c r="H475" s="3" t="s">
        <v>97</v>
      </c>
      <c r="I475" s="3" t="s">
        <v>97</v>
      </c>
      <c r="J475" s="3" t="s">
        <v>97</v>
      </c>
      <c r="K475" s="3" t="s">
        <v>97</v>
      </c>
      <c r="L475" s="3" t="s">
        <v>97</v>
      </c>
      <c r="M475" s="3" t="s">
        <v>97</v>
      </c>
      <c r="N475" s="29" t="s">
        <v>97</v>
      </c>
      <c r="O475" s="3" t="s">
        <v>97</v>
      </c>
      <c r="P475" s="3" t="s">
        <v>97</v>
      </c>
      <c r="Q475" s="3" t="s">
        <v>97</v>
      </c>
      <c r="R475" s="3" t="s">
        <v>97</v>
      </c>
      <c r="S475" s="29" t="s">
        <v>97</v>
      </c>
      <c r="T475" s="3" t="s">
        <v>97</v>
      </c>
      <c r="U475" s="29" t="s">
        <v>97</v>
      </c>
      <c r="V475" s="3" t="s">
        <v>97</v>
      </c>
      <c r="W475" s="29" t="s">
        <v>97</v>
      </c>
      <c r="X475" s="3" t="s">
        <v>97</v>
      </c>
      <c r="Y475" s="29" t="s">
        <v>97</v>
      </c>
      <c r="Z475" s="3" t="s">
        <v>97</v>
      </c>
      <c r="AA475" s="29" t="s">
        <v>97</v>
      </c>
      <c r="AB475" s="3" t="s">
        <v>97</v>
      </c>
      <c r="AC475" s="29" t="s">
        <v>97</v>
      </c>
      <c r="AD475" s="3" t="s">
        <v>97</v>
      </c>
      <c r="AE475" s="29" t="s">
        <v>97</v>
      </c>
      <c r="AF475" s="3" t="s">
        <v>97</v>
      </c>
      <c r="AG475" s="29" t="s">
        <v>97</v>
      </c>
      <c r="AH475" s="3" t="s">
        <v>97</v>
      </c>
      <c r="AI475" s="29" t="s">
        <v>97</v>
      </c>
      <c r="AJ475" s="3" t="s">
        <v>97</v>
      </c>
      <c r="AK475" s="3" t="s">
        <v>97</v>
      </c>
      <c r="AL475" s="29" t="s">
        <v>97</v>
      </c>
      <c r="AM475" s="29" t="s">
        <v>97</v>
      </c>
      <c r="AN475" s="29" t="s">
        <v>97</v>
      </c>
    </row>
    <row r="476" spans="2:40">
      <c r="B476" s="155">
        <v>137007</v>
      </c>
      <c r="C476" s="25" t="s">
        <v>562</v>
      </c>
      <c r="D476" s="109" t="s">
        <v>514</v>
      </c>
      <c r="E476" s="115" t="s">
        <v>514</v>
      </c>
      <c r="F476" s="136" t="s">
        <v>514</v>
      </c>
      <c r="G476" s="136" t="s">
        <v>514</v>
      </c>
      <c r="H476" s="89" t="s">
        <v>97</v>
      </c>
      <c r="I476" s="89" t="s">
        <v>97</v>
      </c>
      <c r="J476" s="89" t="s">
        <v>97</v>
      </c>
      <c r="K476" s="89" t="s">
        <v>97</v>
      </c>
      <c r="L476" s="89" t="s">
        <v>97</v>
      </c>
      <c r="M476" s="89" t="s">
        <v>97</v>
      </c>
      <c r="N476" s="90" t="s">
        <v>97</v>
      </c>
      <c r="O476" s="89" t="s">
        <v>97</v>
      </c>
      <c r="P476" s="89" t="s">
        <v>97</v>
      </c>
      <c r="Q476" s="89" t="s">
        <v>97</v>
      </c>
      <c r="R476" s="89" t="s">
        <v>97</v>
      </c>
      <c r="S476" s="90" t="s">
        <v>97</v>
      </c>
      <c r="T476" s="89" t="s">
        <v>97</v>
      </c>
      <c r="U476" s="90" t="s">
        <v>97</v>
      </c>
      <c r="V476" s="89" t="s">
        <v>97</v>
      </c>
      <c r="W476" s="90" t="s">
        <v>97</v>
      </c>
      <c r="X476" s="89" t="s">
        <v>97</v>
      </c>
      <c r="Y476" s="90" t="s">
        <v>97</v>
      </c>
      <c r="Z476" s="89" t="s">
        <v>97</v>
      </c>
      <c r="AA476" s="90" t="s">
        <v>97</v>
      </c>
      <c r="AB476" s="89" t="s">
        <v>97</v>
      </c>
      <c r="AC476" s="90" t="s">
        <v>97</v>
      </c>
      <c r="AD476" s="89" t="s">
        <v>97</v>
      </c>
      <c r="AE476" s="90" t="s">
        <v>97</v>
      </c>
      <c r="AF476" s="89" t="s">
        <v>97</v>
      </c>
      <c r="AG476" s="90" t="s">
        <v>97</v>
      </c>
      <c r="AH476" s="89" t="s">
        <v>97</v>
      </c>
      <c r="AI476" s="90" t="s">
        <v>97</v>
      </c>
      <c r="AJ476" s="89" t="s">
        <v>97</v>
      </c>
      <c r="AK476" s="89" t="s">
        <v>97</v>
      </c>
      <c r="AL476" s="90" t="s">
        <v>97</v>
      </c>
      <c r="AM476" s="90" t="s">
        <v>97</v>
      </c>
      <c r="AN476" s="90" t="s">
        <v>97</v>
      </c>
    </row>
    <row r="477" spans="2:40" ht="15" customHeight="1">
      <c r="B477" s="180" t="s">
        <v>563</v>
      </c>
      <c r="C477" s="181"/>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182"/>
      <c r="AH477" s="182"/>
      <c r="AI477" s="182"/>
      <c r="AJ477" s="182"/>
      <c r="AK477" s="180"/>
      <c r="AL477" s="183"/>
      <c r="AM477" s="183"/>
      <c r="AN477" s="181"/>
    </row>
    <row r="478" spans="2:40">
      <c r="B478" s="157">
        <v>45008</v>
      </c>
      <c r="C478" s="31" t="s">
        <v>564</v>
      </c>
      <c r="D478" s="126" t="s">
        <v>514</v>
      </c>
      <c r="E478" s="127" t="s">
        <v>514</v>
      </c>
      <c r="F478" s="139" t="s">
        <v>514</v>
      </c>
      <c r="G478" s="139" t="s">
        <v>514</v>
      </c>
      <c r="H478" s="98" t="s">
        <v>97</v>
      </c>
      <c r="I478" s="98" t="s">
        <v>97</v>
      </c>
      <c r="J478" s="98" t="s">
        <v>97</v>
      </c>
      <c r="K478" s="98" t="s">
        <v>97</v>
      </c>
      <c r="L478" s="98" t="s">
        <v>97</v>
      </c>
      <c r="M478" s="98" t="s">
        <v>97</v>
      </c>
      <c r="N478" s="128" t="s">
        <v>97</v>
      </c>
      <c r="O478" s="98" t="s">
        <v>97</v>
      </c>
      <c r="P478" s="98" t="s">
        <v>97</v>
      </c>
      <c r="Q478" s="98" t="s">
        <v>97</v>
      </c>
      <c r="R478" s="98" t="s">
        <v>97</v>
      </c>
      <c r="S478" s="128" t="s">
        <v>97</v>
      </c>
      <c r="T478" s="98" t="s">
        <v>97</v>
      </c>
      <c r="U478" s="128" t="s">
        <v>97</v>
      </c>
      <c r="V478" s="98" t="s">
        <v>97</v>
      </c>
      <c r="W478" s="128" t="s">
        <v>97</v>
      </c>
      <c r="X478" s="98" t="s">
        <v>97</v>
      </c>
      <c r="Y478" s="128" t="s">
        <v>97</v>
      </c>
      <c r="Z478" s="98" t="s">
        <v>97</v>
      </c>
      <c r="AA478" s="128" t="s">
        <v>97</v>
      </c>
      <c r="AB478" s="98" t="s">
        <v>97</v>
      </c>
      <c r="AC478" s="128" t="s">
        <v>97</v>
      </c>
      <c r="AD478" s="98" t="s">
        <v>97</v>
      </c>
      <c r="AE478" s="128" t="s">
        <v>97</v>
      </c>
      <c r="AF478" s="98" t="s">
        <v>97</v>
      </c>
      <c r="AG478" s="128" t="s">
        <v>97</v>
      </c>
      <c r="AH478" s="98" t="s">
        <v>97</v>
      </c>
      <c r="AI478" s="128" t="s">
        <v>97</v>
      </c>
      <c r="AJ478" s="98" t="s">
        <v>97</v>
      </c>
      <c r="AK478" s="98" t="s">
        <v>97</v>
      </c>
      <c r="AL478" s="128" t="s">
        <v>97</v>
      </c>
      <c r="AM478" s="128" t="s">
        <v>97</v>
      </c>
      <c r="AN478" s="128" t="s">
        <v>97</v>
      </c>
    </row>
    <row r="479" spans="2:40" ht="15" customHeight="1">
      <c r="B479" s="180" t="s">
        <v>565</v>
      </c>
      <c r="C479" s="181"/>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182"/>
      <c r="AH479" s="182"/>
      <c r="AI479" s="182"/>
      <c r="AJ479" s="182"/>
      <c r="AK479" s="180"/>
      <c r="AL479" s="183"/>
      <c r="AM479" s="183"/>
      <c r="AN479" s="181"/>
    </row>
    <row r="480" spans="2:40">
      <c r="B480" s="156">
        <v>17501</v>
      </c>
      <c r="C480" s="27" t="s">
        <v>566</v>
      </c>
      <c r="D480" s="116" t="s">
        <v>514</v>
      </c>
      <c r="E480" s="117" t="s">
        <v>514</v>
      </c>
      <c r="F480" s="135" t="s">
        <v>514</v>
      </c>
      <c r="G480" s="135" t="s">
        <v>514</v>
      </c>
      <c r="H480" s="125" t="s">
        <v>97</v>
      </c>
      <c r="I480" s="125" t="s">
        <v>97</v>
      </c>
      <c r="J480" s="125" t="s">
        <v>97</v>
      </c>
      <c r="K480" s="125" t="s">
        <v>97</v>
      </c>
      <c r="L480" s="125" t="s">
        <v>97</v>
      </c>
      <c r="M480" s="125" t="s">
        <v>97</v>
      </c>
      <c r="N480" s="108" t="s">
        <v>97</v>
      </c>
      <c r="O480" s="125" t="s">
        <v>97</v>
      </c>
      <c r="P480" s="125" t="s">
        <v>97</v>
      </c>
      <c r="Q480" s="125" t="s">
        <v>97</v>
      </c>
      <c r="R480" s="125" t="s">
        <v>97</v>
      </c>
      <c r="S480" s="108" t="s">
        <v>97</v>
      </c>
      <c r="T480" s="125" t="s">
        <v>97</v>
      </c>
      <c r="U480" s="108" t="s">
        <v>97</v>
      </c>
      <c r="V480" s="125" t="s">
        <v>97</v>
      </c>
      <c r="W480" s="108" t="s">
        <v>97</v>
      </c>
      <c r="X480" s="125" t="s">
        <v>97</v>
      </c>
      <c r="Y480" s="108" t="s">
        <v>97</v>
      </c>
      <c r="Z480" s="125" t="s">
        <v>97</v>
      </c>
      <c r="AA480" s="108" t="s">
        <v>97</v>
      </c>
      <c r="AB480" s="125" t="s">
        <v>97</v>
      </c>
      <c r="AC480" s="108" t="s">
        <v>97</v>
      </c>
      <c r="AD480" s="125" t="s">
        <v>97</v>
      </c>
      <c r="AE480" s="108" t="s">
        <v>97</v>
      </c>
      <c r="AF480" s="125" t="s">
        <v>97</v>
      </c>
      <c r="AG480" s="108" t="s">
        <v>97</v>
      </c>
      <c r="AH480" s="125" t="s">
        <v>97</v>
      </c>
      <c r="AI480" s="108" t="s">
        <v>97</v>
      </c>
      <c r="AJ480" s="125" t="s">
        <v>97</v>
      </c>
      <c r="AK480" s="125" t="s">
        <v>97</v>
      </c>
      <c r="AL480" s="108" t="s">
        <v>97</v>
      </c>
      <c r="AM480" s="108" t="s">
        <v>97</v>
      </c>
      <c r="AN480" s="108" t="s">
        <v>97</v>
      </c>
    </row>
    <row r="481" spans="2:40">
      <c r="B481" s="19">
        <v>17502</v>
      </c>
      <c r="C481" s="18" t="s">
        <v>567</v>
      </c>
      <c r="D481" s="23" t="s">
        <v>514</v>
      </c>
      <c r="E481" s="28" t="s">
        <v>514</v>
      </c>
      <c r="F481" s="6" t="s">
        <v>514</v>
      </c>
      <c r="G481" s="6" t="s">
        <v>514</v>
      </c>
      <c r="H481" s="3" t="s">
        <v>97</v>
      </c>
      <c r="I481" s="3" t="s">
        <v>97</v>
      </c>
      <c r="J481" s="3" t="s">
        <v>97</v>
      </c>
      <c r="K481" s="3" t="s">
        <v>97</v>
      </c>
      <c r="L481" s="3" t="s">
        <v>97</v>
      </c>
      <c r="M481" s="3" t="s">
        <v>97</v>
      </c>
      <c r="N481" s="29" t="s">
        <v>97</v>
      </c>
      <c r="O481" s="3" t="s">
        <v>97</v>
      </c>
      <c r="P481" s="3" t="s">
        <v>97</v>
      </c>
      <c r="Q481" s="3" t="s">
        <v>97</v>
      </c>
      <c r="R481" s="3" t="s">
        <v>97</v>
      </c>
      <c r="S481" s="29" t="s">
        <v>97</v>
      </c>
      <c r="T481" s="3" t="s">
        <v>97</v>
      </c>
      <c r="U481" s="29" t="s">
        <v>97</v>
      </c>
      <c r="V481" s="3" t="s">
        <v>97</v>
      </c>
      <c r="W481" s="29" t="s">
        <v>97</v>
      </c>
      <c r="X481" s="3" t="s">
        <v>97</v>
      </c>
      <c r="Y481" s="29" t="s">
        <v>97</v>
      </c>
      <c r="Z481" s="3" t="s">
        <v>97</v>
      </c>
      <c r="AA481" s="29" t="s">
        <v>97</v>
      </c>
      <c r="AB481" s="3" t="s">
        <v>97</v>
      </c>
      <c r="AC481" s="29" t="s">
        <v>97</v>
      </c>
      <c r="AD481" s="3" t="s">
        <v>97</v>
      </c>
      <c r="AE481" s="29" t="s">
        <v>97</v>
      </c>
      <c r="AF481" s="3" t="s">
        <v>97</v>
      </c>
      <c r="AG481" s="29" t="s">
        <v>97</v>
      </c>
      <c r="AH481" s="3" t="s">
        <v>97</v>
      </c>
      <c r="AI481" s="29" t="s">
        <v>97</v>
      </c>
      <c r="AJ481" s="3" t="s">
        <v>97</v>
      </c>
      <c r="AK481" s="3" t="s">
        <v>97</v>
      </c>
      <c r="AL481" s="29" t="s">
        <v>97</v>
      </c>
      <c r="AM481" s="29" t="s">
        <v>97</v>
      </c>
      <c r="AN481" s="29" t="s">
        <v>97</v>
      </c>
    </row>
    <row r="482" spans="2:40">
      <c r="B482" s="19">
        <v>17503</v>
      </c>
      <c r="C482" s="18" t="s">
        <v>568</v>
      </c>
      <c r="D482" s="23" t="s">
        <v>514</v>
      </c>
      <c r="E482" s="28" t="s">
        <v>514</v>
      </c>
      <c r="F482" s="6" t="s">
        <v>514</v>
      </c>
      <c r="G482" s="6" t="s">
        <v>514</v>
      </c>
      <c r="H482" s="3" t="s">
        <v>97</v>
      </c>
      <c r="I482" s="3" t="s">
        <v>97</v>
      </c>
      <c r="J482" s="3" t="s">
        <v>97</v>
      </c>
      <c r="K482" s="3" t="s">
        <v>97</v>
      </c>
      <c r="L482" s="3" t="s">
        <v>97</v>
      </c>
      <c r="M482" s="3" t="s">
        <v>97</v>
      </c>
      <c r="N482" s="29" t="s">
        <v>97</v>
      </c>
      <c r="O482" s="3" t="s">
        <v>97</v>
      </c>
      <c r="P482" s="3" t="s">
        <v>97</v>
      </c>
      <c r="Q482" s="3" t="s">
        <v>97</v>
      </c>
      <c r="R482" s="3" t="s">
        <v>97</v>
      </c>
      <c r="S482" s="29" t="s">
        <v>97</v>
      </c>
      <c r="T482" s="3" t="s">
        <v>97</v>
      </c>
      <c r="U482" s="29" t="s">
        <v>97</v>
      </c>
      <c r="V482" s="3" t="s">
        <v>97</v>
      </c>
      <c r="W482" s="29" t="s">
        <v>97</v>
      </c>
      <c r="X482" s="3" t="s">
        <v>97</v>
      </c>
      <c r="Y482" s="29" t="s">
        <v>97</v>
      </c>
      <c r="Z482" s="3" t="s">
        <v>97</v>
      </c>
      <c r="AA482" s="29" t="s">
        <v>97</v>
      </c>
      <c r="AB482" s="3" t="s">
        <v>97</v>
      </c>
      <c r="AC482" s="29" t="s">
        <v>97</v>
      </c>
      <c r="AD482" s="3" t="s">
        <v>97</v>
      </c>
      <c r="AE482" s="29" t="s">
        <v>97</v>
      </c>
      <c r="AF482" s="3" t="s">
        <v>97</v>
      </c>
      <c r="AG482" s="29" t="s">
        <v>97</v>
      </c>
      <c r="AH482" s="3" t="s">
        <v>97</v>
      </c>
      <c r="AI482" s="29" t="s">
        <v>97</v>
      </c>
      <c r="AJ482" s="3" t="s">
        <v>97</v>
      </c>
      <c r="AK482" s="3" t="s">
        <v>97</v>
      </c>
      <c r="AL482" s="29" t="s">
        <v>97</v>
      </c>
      <c r="AM482" s="29" t="s">
        <v>97</v>
      </c>
      <c r="AN482" s="29" t="s">
        <v>97</v>
      </c>
    </row>
    <row r="483" spans="2:40">
      <c r="B483" s="19">
        <v>17504</v>
      </c>
      <c r="C483" s="18" t="s">
        <v>569</v>
      </c>
      <c r="D483" s="23" t="s">
        <v>514</v>
      </c>
      <c r="E483" s="28" t="s">
        <v>514</v>
      </c>
      <c r="F483" s="6" t="s">
        <v>514</v>
      </c>
      <c r="G483" s="6" t="s">
        <v>514</v>
      </c>
      <c r="H483" s="3" t="s">
        <v>97</v>
      </c>
      <c r="I483" s="3" t="s">
        <v>97</v>
      </c>
      <c r="J483" s="3" t="s">
        <v>97</v>
      </c>
      <c r="K483" s="3" t="s">
        <v>97</v>
      </c>
      <c r="L483" s="3" t="s">
        <v>97</v>
      </c>
      <c r="M483" s="3" t="s">
        <v>97</v>
      </c>
      <c r="N483" s="29" t="s">
        <v>97</v>
      </c>
      <c r="O483" s="3" t="s">
        <v>97</v>
      </c>
      <c r="P483" s="3" t="s">
        <v>97</v>
      </c>
      <c r="Q483" s="3" t="s">
        <v>97</v>
      </c>
      <c r="R483" s="3" t="s">
        <v>97</v>
      </c>
      <c r="S483" s="29" t="s">
        <v>97</v>
      </c>
      <c r="T483" s="3" t="s">
        <v>97</v>
      </c>
      <c r="U483" s="29" t="s">
        <v>97</v>
      </c>
      <c r="V483" s="3" t="s">
        <v>97</v>
      </c>
      <c r="W483" s="29" t="s">
        <v>97</v>
      </c>
      <c r="X483" s="3" t="s">
        <v>97</v>
      </c>
      <c r="Y483" s="29" t="s">
        <v>97</v>
      </c>
      <c r="Z483" s="3" t="s">
        <v>97</v>
      </c>
      <c r="AA483" s="29" t="s">
        <v>97</v>
      </c>
      <c r="AB483" s="3" t="s">
        <v>97</v>
      </c>
      <c r="AC483" s="29" t="s">
        <v>97</v>
      </c>
      <c r="AD483" s="3" t="s">
        <v>97</v>
      </c>
      <c r="AE483" s="29" t="s">
        <v>97</v>
      </c>
      <c r="AF483" s="3" t="s">
        <v>97</v>
      </c>
      <c r="AG483" s="29" t="s">
        <v>97</v>
      </c>
      <c r="AH483" s="3" t="s">
        <v>97</v>
      </c>
      <c r="AI483" s="29" t="s">
        <v>97</v>
      </c>
      <c r="AJ483" s="3" t="s">
        <v>97</v>
      </c>
      <c r="AK483" s="3" t="s">
        <v>97</v>
      </c>
      <c r="AL483" s="29" t="s">
        <v>97</v>
      </c>
      <c r="AM483" s="29" t="s">
        <v>97</v>
      </c>
      <c r="AN483" s="29" t="s">
        <v>97</v>
      </c>
    </row>
    <row r="484" spans="2:40">
      <c r="B484" s="19">
        <v>17505</v>
      </c>
      <c r="C484" s="18" t="s">
        <v>570</v>
      </c>
      <c r="D484" s="23" t="s">
        <v>514</v>
      </c>
      <c r="E484" s="28" t="s">
        <v>514</v>
      </c>
      <c r="F484" s="6" t="s">
        <v>514</v>
      </c>
      <c r="G484" s="6" t="s">
        <v>514</v>
      </c>
      <c r="H484" s="3" t="s">
        <v>97</v>
      </c>
      <c r="I484" s="3" t="s">
        <v>97</v>
      </c>
      <c r="J484" s="3" t="s">
        <v>97</v>
      </c>
      <c r="K484" s="3" t="s">
        <v>97</v>
      </c>
      <c r="L484" s="3" t="s">
        <v>97</v>
      </c>
      <c r="M484" s="3" t="s">
        <v>97</v>
      </c>
      <c r="N484" s="29" t="s">
        <v>97</v>
      </c>
      <c r="O484" s="3" t="s">
        <v>97</v>
      </c>
      <c r="P484" s="3" t="s">
        <v>97</v>
      </c>
      <c r="Q484" s="3" t="s">
        <v>97</v>
      </c>
      <c r="R484" s="3" t="s">
        <v>97</v>
      </c>
      <c r="S484" s="29" t="s">
        <v>97</v>
      </c>
      <c r="T484" s="3" t="s">
        <v>97</v>
      </c>
      <c r="U484" s="29" t="s">
        <v>97</v>
      </c>
      <c r="V484" s="3" t="s">
        <v>97</v>
      </c>
      <c r="W484" s="29" t="s">
        <v>97</v>
      </c>
      <c r="X484" s="3" t="s">
        <v>97</v>
      </c>
      <c r="Y484" s="29" t="s">
        <v>97</v>
      </c>
      <c r="Z484" s="3" t="s">
        <v>97</v>
      </c>
      <c r="AA484" s="29" t="s">
        <v>97</v>
      </c>
      <c r="AB484" s="3" t="s">
        <v>97</v>
      </c>
      <c r="AC484" s="29" t="s">
        <v>97</v>
      </c>
      <c r="AD484" s="3" t="s">
        <v>97</v>
      </c>
      <c r="AE484" s="29" t="s">
        <v>97</v>
      </c>
      <c r="AF484" s="3" t="s">
        <v>97</v>
      </c>
      <c r="AG484" s="29" t="s">
        <v>97</v>
      </c>
      <c r="AH484" s="3" t="s">
        <v>97</v>
      </c>
      <c r="AI484" s="29" t="s">
        <v>97</v>
      </c>
      <c r="AJ484" s="3" t="s">
        <v>97</v>
      </c>
      <c r="AK484" s="3" t="s">
        <v>97</v>
      </c>
      <c r="AL484" s="108" t="s">
        <v>97</v>
      </c>
      <c r="AM484" s="108" t="s">
        <v>97</v>
      </c>
      <c r="AN484" s="108" t="s">
        <v>97</v>
      </c>
    </row>
    <row r="485" spans="2:40">
      <c r="B485" s="19">
        <v>17506</v>
      </c>
      <c r="C485" s="18" t="s">
        <v>571</v>
      </c>
      <c r="D485" s="23" t="s">
        <v>514</v>
      </c>
      <c r="E485" s="28" t="s">
        <v>514</v>
      </c>
      <c r="F485" s="6" t="s">
        <v>514</v>
      </c>
      <c r="G485" s="6" t="s">
        <v>514</v>
      </c>
      <c r="H485" s="3" t="s">
        <v>97</v>
      </c>
      <c r="I485" s="3" t="s">
        <v>97</v>
      </c>
      <c r="J485" s="3" t="s">
        <v>97</v>
      </c>
      <c r="K485" s="3" t="s">
        <v>97</v>
      </c>
      <c r="L485" s="3" t="s">
        <v>97</v>
      </c>
      <c r="M485" s="3" t="s">
        <v>97</v>
      </c>
      <c r="N485" s="29" t="s">
        <v>97</v>
      </c>
      <c r="O485" s="3" t="s">
        <v>97</v>
      </c>
      <c r="P485" s="3" t="s">
        <v>97</v>
      </c>
      <c r="Q485" s="3" t="s">
        <v>97</v>
      </c>
      <c r="R485" s="3" t="s">
        <v>97</v>
      </c>
      <c r="S485" s="29" t="s">
        <v>97</v>
      </c>
      <c r="T485" s="3" t="s">
        <v>97</v>
      </c>
      <c r="U485" s="29" t="s">
        <v>97</v>
      </c>
      <c r="V485" s="3" t="s">
        <v>97</v>
      </c>
      <c r="W485" s="29" t="s">
        <v>97</v>
      </c>
      <c r="X485" s="3" t="s">
        <v>97</v>
      </c>
      <c r="Y485" s="29" t="s">
        <v>97</v>
      </c>
      <c r="Z485" s="3" t="s">
        <v>97</v>
      </c>
      <c r="AA485" s="29" t="s">
        <v>97</v>
      </c>
      <c r="AB485" s="3" t="s">
        <v>97</v>
      </c>
      <c r="AC485" s="29" t="s">
        <v>97</v>
      </c>
      <c r="AD485" s="3" t="s">
        <v>97</v>
      </c>
      <c r="AE485" s="29" t="s">
        <v>97</v>
      </c>
      <c r="AF485" s="3" t="s">
        <v>97</v>
      </c>
      <c r="AG485" s="29" t="s">
        <v>97</v>
      </c>
      <c r="AH485" s="3" t="s">
        <v>97</v>
      </c>
      <c r="AI485" s="29" t="s">
        <v>97</v>
      </c>
      <c r="AJ485" s="3" t="s">
        <v>97</v>
      </c>
      <c r="AK485" s="3" t="s">
        <v>97</v>
      </c>
      <c r="AL485" s="29" t="s">
        <v>97</v>
      </c>
      <c r="AM485" s="29" t="s">
        <v>97</v>
      </c>
      <c r="AN485" s="29" t="s">
        <v>97</v>
      </c>
    </row>
    <row r="486" spans="2:40">
      <c r="B486" s="19">
        <v>17507</v>
      </c>
      <c r="C486" s="18" t="s">
        <v>572</v>
      </c>
      <c r="D486" s="23" t="s">
        <v>514</v>
      </c>
      <c r="E486" s="28" t="s">
        <v>514</v>
      </c>
      <c r="F486" s="6" t="s">
        <v>514</v>
      </c>
      <c r="G486" s="6" t="s">
        <v>514</v>
      </c>
      <c r="H486" s="3" t="s">
        <v>97</v>
      </c>
      <c r="I486" s="3" t="s">
        <v>97</v>
      </c>
      <c r="J486" s="3" t="s">
        <v>97</v>
      </c>
      <c r="K486" s="3" t="s">
        <v>97</v>
      </c>
      <c r="L486" s="3" t="s">
        <v>97</v>
      </c>
      <c r="M486" s="3" t="s">
        <v>97</v>
      </c>
      <c r="N486" s="29" t="s">
        <v>97</v>
      </c>
      <c r="O486" s="3" t="s">
        <v>97</v>
      </c>
      <c r="P486" s="3" t="s">
        <v>97</v>
      </c>
      <c r="Q486" s="3" t="s">
        <v>97</v>
      </c>
      <c r="R486" s="3" t="s">
        <v>97</v>
      </c>
      <c r="S486" s="29" t="s">
        <v>97</v>
      </c>
      <c r="T486" s="3" t="s">
        <v>97</v>
      </c>
      <c r="U486" s="29" t="s">
        <v>97</v>
      </c>
      <c r="V486" s="3" t="s">
        <v>97</v>
      </c>
      <c r="W486" s="29" t="s">
        <v>97</v>
      </c>
      <c r="X486" s="3" t="s">
        <v>97</v>
      </c>
      <c r="Y486" s="29" t="s">
        <v>97</v>
      </c>
      <c r="Z486" s="3" t="s">
        <v>97</v>
      </c>
      <c r="AA486" s="29" t="s">
        <v>97</v>
      </c>
      <c r="AB486" s="3" t="s">
        <v>97</v>
      </c>
      <c r="AC486" s="29" t="s">
        <v>97</v>
      </c>
      <c r="AD486" s="3" t="s">
        <v>97</v>
      </c>
      <c r="AE486" s="29" t="s">
        <v>97</v>
      </c>
      <c r="AF486" s="3" t="s">
        <v>97</v>
      </c>
      <c r="AG486" s="29" t="s">
        <v>97</v>
      </c>
      <c r="AH486" s="3" t="s">
        <v>97</v>
      </c>
      <c r="AI486" s="29" t="s">
        <v>97</v>
      </c>
      <c r="AJ486" s="3" t="s">
        <v>97</v>
      </c>
      <c r="AK486" s="3" t="s">
        <v>97</v>
      </c>
      <c r="AL486" s="29" t="s">
        <v>97</v>
      </c>
      <c r="AM486" s="29" t="s">
        <v>97</v>
      </c>
      <c r="AN486" s="29" t="s">
        <v>97</v>
      </c>
    </row>
    <row r="487" spans="2:40">
      <c r="B487" s="19">
        <v>17509</v>
      </c>
      <c r="C487" s="18" t="s">
        <v>573</v>
      </c>
      <c r="D487" s="23" t="s">
        <v>514</v>
      </c>
      <c r="E487" s="28" t="s">
        <v>514</v>
      </c>
      <c r="F487" s="6" t="s">
        <v>514</v>
      </c>
      <c r="G487" s="6" t="s">
        <v>514</v>
      </c>
      <c r="H487" s="3" t="s">
        <v>97</v>
      </c>
      <c r="I487" s="3" t="s">
        <v>97</v>
      </c>
      <c r="J487" s="3" t="s">
        <v>97</v>
      </c>
      <c r="K487" s="3" t="s">
        <v>97</v>
      </c>
      <c r="L487" s="3" t="s">
        <v>97</v>
      </c>
      <c r="M487" s="3" t="s">
        <v>97</v>
      </c>
      <c r="N487" s="29" t="s">
        <v>97</v>
      </c>
      <c r="O487" s="3" t="s">
        <v>97</v>
      </c>
      <c r="P487" s="3" t="s">
        <v>97</v>
      </c>
      <c r="Q487" s="3" t="s">
        <v>97</v>
      </c>
      <c r="R487" s="3" t="s">
        <v>97</v>
      </c>
      <c r="S487" s="29" t="s">
        <v>97</v>
      </c>
      <c r="T487" s="3" t="s">
        <v>97</v>
      </c>
      <c r="U487" s="29" t="s">
        <v>97</v>
      </c>
      <c r="V487" s="3" t="s">
        <v>97</v>
      </c>
      <c r="W487" s="29" t="s">
        <v>97</v>
      </c>
      <c r="X487" s="3" t="s">
        <v>97</v>
      </c>
      <c r="Y487" s="29" t="s">
        <v>97</v>
      </c>
      <c r="Z487" s="3" t="s">
        <v>97</v>
      </c>
      <c r="AA487" s="29" t="s">
        <v>97</v>
      </c>
      <c r="AB487" s="3" t="s">
        <v>97</v>
      </c>
      <c r="AC487" s="29" t="s">
        <v>97</v>
      </c>
      <c r="AD487" s="3" t="s">
        <v>97</v>
      </c>
      <c r="AE487" s="29" t="s">
        <v>97</v>
      </c>
      <c r="AF487" s="3" t="s">
        <v>97</v>
      </c>
      <c r="AG487" s="29" t="s">
        <v>97</v>
      </c>
      <c r="AH487" s="3" t="s">
        <v>97</v>
      </c>
      <c r="AI487" s="29" t="s">
        <v>97</v>
      </c>
      <c r="AJ487" s="3" t="s">
        <v>97</v>
      </c>
      <c r="AK487" s="3" t="s">
        <v>97</v>
      </c>
      <c r="AL487" s="29" t="s">
        <v>97</v>
      </c>
      <c r="AM487" s="29" t="s">
        <v>97</v>
      </c>
      <c r="AN487" s="29" t="s">
        <v>97</v>
      </c>
    </row>
    <row r="488" spans="2:40">
      <c r="B488" s="19">
        <v>17510</v>
      </c>
      <c r="C488" s="18" t="s">
        <v>574</v>
      </c>
      <c r="D488" s="23" t="s">
        <v>514</v>
      </c>
      <c r="E488" s="28" t="s">
        <v>514</v>
      </c>
      <c r="F488" s="6" t="s">
        <v>514</v>
      </c>
      <c r="G488" s="6" t="s">
        <v>514</v>
      </c>
      <c r="H488" s="3" t="s">
        <v>97</v>
      </c>
      <c r="I488" s="3" t="s">
        <v>97</v>
      </c>
      <c r="J488" s="3" t="s">
        <v>97</v>
      </c>
      <c r="K488" s="3" t="s">
        <v>97</v>
      </c>
      <c r="L488" s="3" t="s">
        <v>97</v>
      </c>
      <c r="M488" s="3" t="s">
        <v>97</v>
      </c>
      <c r="N488" s="29" t="s">
        <v>97</v>
      </c>
      <c r="O488" s="3" t="s">
        <v>97</v>
      </c>
      <c r="P488" s="3" t="s">
        <v>97</v>
      </c>
      <c r="Q488" s="3" t="s">
        <v>97</v>
      </c>
      <c r="R488" s="3" t="s">
        <v>97</v>
      </c>
      <c r="S488" s="29" t="s">
        <v>97</v>
      </c>
      <c r="T488" s="3" t="s">
        <v>97</v>
      </c>
      <c r="U488" s="29" t="s">
        <v>97</v>
      </c>
      <c r="V488" s="3" t="s">
        <v>97</v>
      </c>
      <c r="W488" s="29" t="s">
        <v>97</v>
      </c>
      <c r="X488" s="3" t="s">
        <v>97</v>
      </c>
      <c r="Y488" s="29" t="s">
        <v>97</v>
      </c>
      <c r="Z488" s="3" t="s">
        <v>97</v>
      </c>
      <c r="AA488" s="29" t="s">
        <v>97</v>
      </c>
      <c r="AB488" s="3" t="s">
        <v>97</v>
      </c>
      <c r="AC488" s="29" t="s">
        <v>97</v>
      </c>
      <c r="AD488" s="3" t="s">
        <v>97</v>
      </c>
      <c r="AE488" s="29" t="s">
        <v>97</v>
      </c>
      <c r="AF488" s="3" t="s">
        <v>97</v>
      </c>
      <c r="AG488" s="29" t="s">
        <v>97</v>
      </c>
      <c r="AH488" s="3" t="s">
        <v>97</v>
      </c>
      <c r="AI488" s="29" t="s">
        <v>97</v>
      </c>
      <c r="AJ488" s="3" t="s">
        <v>97</v>
      </c>
      <c r="AK488" s="3" t="s">
        <v>97</v>
      </c>
      <c r="AL488" s="29" t="s">
        <v>97</v>
      </c>
      <c r="AM488" s="29" t="s">
        <v>97</v>
      </c>
      <c r="AN488" s="29" t="s">
        <v>97</v>
      </c>
    </row>
    <row r="489" spans="2:40">
      <c r="B489" s="155">
        <v>18031</v>
      </c>
      <c r="C489" s="25" t="s">
        <v>575</v>
      </c>
      <c r="D489" s="109" t="s">
        <v>514</v>
      </c>
      <c r="E489" s="115" t="s">
        <v>514</v>
      </c>
      <c r="F489" s="136" t="s">
        <v>514</v>
      </c>
      <c r="G489" s="136" t="s">
        <v>514</v>
      </c>
      <c r="H489" s="89" t="s">
        <v>97</v>
      </c>
      <c r="I489" s="89" t="s">
        <v>97</v>
      </c>
      <c r="J489" s="89" t="s">
        <v>97</v>
      </c>
      <c r="K489" s="89" t="s">
        <v>97</v>
      </c>
      <c r="L489" s="89" t="s">
        <v>97</v>
      </c>
      <c r="M489" s="89" t="s">
        <v>97</v>
      </c>
      <c r="N489" s="90" t="s">
        <v>97</v>
      </c>
      <c r="O489" s="89" t="s">
        <v>97</v>
      </c>
      <c r="P489" s="89" t="s">
        <v>97</v>
      </c>
      <c r="Q489" s="89" t="s">
        <v>97</v>
      </c>
      <c r="R489" s="89" t="s">
        <v>97</v>
      </c>
      <c r="S489" s="90" t="s">
        <v>97</v>
      </c>
      <c r="T489" s="89" t="s">
        <v>97</v>
      </c>
      <c r="U489" s="90" t="s">
        <v>97</v>
      </c>
      <c r="V489" s="89" t="s">
        <v>97</v>
      </c>
      <c r="W489" s="90" t="s">
        <v>97</v>
      </c>
      <c r="X489" s="89" t="s">
        <v>97</v>
      </c>
      <c r="Y489" s="90" t="s">
        <v>97</v>
      </c>
      <c r="Z489" s="89" t="s">
        <v>97</v>
      </c>
      <c r="AA489" s="90" t="s">
        <v>97</v>
      </c>
      <c r="AB489" s="89" t="s">
        <v>97</v>
      </c>
      <c r="AC489" s="90" t="s">
        <v>97</v>
      </c>
      <c r="AD489" s="89" t="s">
        <v>97</v>
      </c>
      <c r="AE489" s="90" t="s">
        <v>97</v>
      </c>
      <c r="AF489" s="89" t="s">
        <v>97</v>
      </c>
      <c r="AG489" s="90" t="s">
        <v>97</v>
      </c>
      <c r="AH489" s="89" t="s">
        <v>97</v>
      </c>
      <c r="AI489" s="90" t="s">
        <v>97</v>
      </c>
      <c r="AJ489" s="89" t="s">
        <v>97</v>
      </c>
      <c r="AK489" s="89" t="s">
        <v>97</v>
      </c>
      <c r="AL489" s="90" t="s">
        <v>97</v>
      </c>
      <c r="AM489" s="90" t="s">
        <v>97</v>
      </c>
      <c r="AN489" s="90" t="s">
        <v>97</v>
      </c>
    </row>
    <row r="490" spans="2:40" ht="15" customHeight="1">
      <c r="B490" s="180" t="s">
        <v>576</v>
      </c>
      <c r="C490" s="181"/>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2"/>
      <c r="AH490" s="182"/>
      <c r="AI490" s="182"/>
      <c r="AJ490" s="182"/>
      <c r="AK490" s="180"/>
      <c r="AL490" s="183"/>
      <c r="AM490" s="183"/>
      <c r="AN490" s="181"/>
    </row>
    <row r="491" spans="2:40">
      <c r="B491" s="158">
        <v>131003</v>
      </c>
      <c r="C491" s="27" t="s">
        <v>577</v>
      </c>
      <c r="D491" s="112">
        <v>256290.09174999999</v>
      </c>
      <c r="E491" s="118">
        <f>D491*1.05</f>
        <v>269104.59633750003</v>
      </c>
      <c r="F491" s="70">
        <f>E491*1.045</f>
        <v>281214.30317268753</v>
      </c>
      <c r="G491" s="70">
        <f t="shared" si="253"/>
        <v>291000.56092309707</v>
      </c>
      <c r="H491" s="70">
        <f t="shared" si="254"/>
        <v>323336.54325287166</v>
      </c>
      <c r="I491" s="70">
        <f t="shared" si="255"/>
        <v>298857.57606802066</v>
      </c>
      <c r="J491" s="70">
        <f t="shared" si="255"/>
        <v>332066.62992069917</v>
      </c>
      <c r="K491" s="70">
        <f t="shared" si="256"/>
        <v>306030.15789365314</v>
      </c>
      <c r="L491" s="58">
        <f t="shared" si="256"/>
        <v>340036.22903879598</v>
      </c>
      <c r="M491" s="58">
        <f t="shared" si="257"/>
        <v>314292.97215678176</v>
      </c>
      <c r="N491" s="72">
        <f t="shared" si="257"/>
        <v>349217.20722284343</v>
      </c>
      <c r="O491" s="81">
        <f t="shared" si="258"/>
        <v>321207.41754423099</v>
      </c>
      <c r="P491" s="80">
        <f t="shared" si="258"/>
        <v>356899.98578174599</v>
      </c>
      <c r="Q491" s="101">
        <f t="shared" si="269"/>
        <v>328916.39556529257</v>
      </c>
      <c r="R491" s="81">
        <f t="shared" si="270"/>
        <v>365465.58544050792</v>
      </c>
      <c r="S491" s="101">
        <f t="shared" si="271"/>
        <v>341086.30220120837</v>
      </c>
      <c r="T491" s="80">
        <f t="shared" si="272"/>
        <v>378987.81210180669</v>
      </c>
      <c r="U491" s="101">
        <f t="shared" si="273"/>
        <v>350636.71866284224</v>
      </c>
      <c r="V491" s="114">
        <f t="shared" si="274"/>
        <v>389599.4708406573</v>
      </c>
      <c r="W491" s="81">
        <f t="shared" si="275"/>
        <v>355896.26944278483</v>
      </c>
      <c r="X491" s="81">
        <f t="shared" si="276"/>
        <v>395443.46290326712</v>
      </c>
      <c r="Y491" s="81">
        <f t="shared" si="277"/>
        <v>361590.60975386942</v>
      </c>
      <c r="Z491" s="81">
        <f t="shared" si="278"/>
        <v>401770.55830971937</v>
      </c>
      <c r="AA491" s="81">
        <f t="shared" si="279"/>
        <v>368460.83133919293</v>
      </c>
      <c r="AB491" s="81">
        <f t="shared" si="280"/>
        <v>409404.19891760399</v>
      </c>
      <c r="AC491" s="102">
        <f t="shared" si="281"/>
        <v>375461.58713463758</v>
      </c>
      <c r="AD491" s="81">
        <f t="shared" si="282"/>
        <v>417182.87869703845</v>
      </c>
      <c r="AE491" s="102">
        <f t="shared" si="283"/>
        <v>383346.28046446491</v>
      </c>
      <c r="AF491" s="81">
        <f t="shared" si="284"/>
        <v>425943.71914967621</v>
      </c>
      <c r="AG491" s="144">
        <f t="shared" si="261"/>
        <v>388329.78211050294</v>
      </c>
      <c r="AH491" s="175">
        <f t="shared" si="262"/>
        <v>431480.98749862198</v>
      </c>
      <c r="AI491" s="144">
        <f t="shared" si="263"/>
        <v>396096.37775271299</v>
      </c>
      <c r="AJ491" s="175">
        <f t="shared" si="264"/>
        <v>440110.6072485944</v>
      </c>
      <c r="AK491" s="144">
        <f t="shared" si="265"/>
        <v>407583.17270754161</v>
      </c>
      <c r="AL491" s="175">
        <f t="shared" si="266"/>
        <v>452873.81485880358</v>
      </c>
      <c r="AM491" s="144">
        <f t="shared" si="267"/>
        <v>433260.91258811671</v>
      </c>
      <c r="AN491" s="144">
        <f t="shared" si="268"/>
        <v>481404.86519490817</v>
      </c>
    </row>
    <row r="492" spans="2:40">
      <c r="B492" s="159">
        <v>131004</v>
      </c>
      <c r="C492" s="18" t="s">
        <v>578</v>
      </c>
      <c r="D492" s="23" t="s">
        <v>514</v>
      </c>
      <c r="E492" s="28" t="s">
        <v>514</v>
      </c>
      <c r="F492" s="6" t="s">
        <v>514</v>
      </c>
      <c r="G492" s="6" t="s">
        <v>514</v>
      </c>
      <c r="H492" s="3" t="s">
        <v>97</v>
      </c>
      <c r="I492" s="3" t="s">
        <v>97</v>
      </c>
      <c r="J492" s="3" t="s">
        <v>97</v>
      </c>
      <c r="K492" s="3" t="s">
        <v>97</v>
      </c>
      <c r="L492" s="3" t="s">
        <v>97</v>
      </c>
      <c r="M492" s="3" t="s">
        <v>97</v>
      </c>
      <c r="N492" s="29" t="s">
        <v>97</v>
      </c>
      <c r="O492" s="3" t="s">
        <v>97</v>
      </c>
      <c r="P492" s="3" t="s">
        <v>97</v>
      </c>
      <c r="Q492" s="3" t="s">
        <v>97</v>
      </c>
      <c r="R492" s="3" t="s">
        <v>97</v>
      </c>
      <c r="S492" s="29" t="s">
        <v>97</v>
      </c>
      <c r="T492" s="3" t="s">
        <v>97</v>
      </c>
      <c r="U492" s="29" t="s">
        <v>97</v>
      </c>
      <c r="V492" s="3" t="s">
        <v>97</v>
      </c>
      <c r="W492" s="29" t="s">
        <v>97</v>
      </c>
      <c r="X492" s="3" t="s">
        <v>97</v>
      </c>
      <c r="Y492" s="29" t="s">
        <v>97</v>
      </c>
      <c r="Z492" s="3" t="s">
        <v>97</v>
      </c>
      <c r="AA492" s="29" t="s">
        <v>97</v>
      </c>
      <c r="AB492" s="3" t="s">
        <v>97</v>
      </c>
      <c r="AC492" s="29" t="s">
        <v>97</v>
      </c>
      <c r="AD492" s="3" t="s">
        <v>97</v>
      </c>
      <c r="AE492" s="29" t="s">
        <v>97</v>
      </c>
      <c r="AF492" s="3" t="s">
        <v>97</v>
      </c>
      <c r="AG492" s="29" t="s">
        <v>97</v>
      </c>
      <c r="AH492" s="3" t="s">
        <v>97</v>
      </c>
      <c r="AI492" s="29" t="s">
        <v>97</v>
      </c>
      <c r="AJ492" s="3" t="s">
        <v>97</v>
      </c>
      <c r="AK492" s="3" t="s">
        <v>97</v>
      </c>
      <c r="AL492" s="29" t="s">
        <v>97</v>
      </c>
      <c r="AM492" s="29" t="s">
        <v>97</v>
      </c>
      <c r="AN492" s="29" t="s">
        <v>97</v>
      </c>
    </row>
    <row r="493" spans="2:40">
      <c r="B493" s="159">
        <v>131005</v>
      </c>
      <c r="C493" s="18" t="s">
        <v>579</v>
      </c>
      <c r="D493" s="16">
        <v>318135.65740000003</v>
      </c>
      <c r="E493" s="17">
        <f>D493*1.05</f>
        <v>334042.44027000002</v>
      </c>
      <c r="F493" s="57">
        <f>E493*1.045</f>
        <v>349074.35008215002</v>
      </c>
      <c r="G493" s="57">
        <f t="shared" si="253"/>
        <v>361222.13746500883</v>
      </c>
      <c r="H493" s="57">
        <f t="shared" si="254"/>
        <v>401361.14138012065</v>
      </c>
      <c r="I493" s="57">
        <f t="shared" si="255"/>
        <v>370975.13517656404</v>
      </c>
      <c r="J493" s="57">
        <f t="shared" si="255"/>
        <v>412197.89219738386</v>
      </c>
      <c r="K493" s="57">
        <f t="shared" si="256"/>
        <v>379878.53842080157</v>
      </c>
      <c r="L493" s="9">
        <f t="shared" si="256"/>
        <v>422090.64161012106</v>
      </c>
      <c r="M493" s="9">
        <f t="shared" si="257"/>
        <v>390135.25895816321</v>
      </c>
      <c r="N493" s="58">
        <f t="shared" si="257"/>
        <v>433487.08893359429</v>
      </c>
      <c r="O493" s="80">
        <f t="shared" si="258"/>
        <v>398718.23465524282</v>
      </c>
      <c r="P493" s="78">
        <f t="shared" si="258"/>
        <v>443023.80489013338</v>
      </c>
      <c r="Q493" s="1">
        <f t="shared" si="269"/>
        <v>408287.47228696867</v>
      </c>
      <c r="R493" s="80">
        <f t="shared" si="270"/>
        <v>453656.37620749662</v>
      </c>
      <c r="S493" s="1">
        <f t="shared" si="271"/>
        <v>423394.10876158648</v>
      </c>
      <c r="T493" s="78">
        <f t="shared" si="272"/>
        <v>470441.66212717397</v>
      </c>
      <c r="U493" s="1">
        <f t="shared" si="273"/>
        <v>435249.1438069109</v>
      </c>
      <c r="V493" s="99">
        <f t="shared" si="274"/>
        <v>483614.02866673487</v>
      </c>
      <c r="W493" s="80">
        <f t="shared" si="275"/>
        <v>441777.8809640145</v>
      </c>
      <c r="X493" s="80">
        <f t="shared" si="276"/>
        <v>490868.23909673584</v>
      </c>
      <c r="Y493" s="80">
        <f t="shared" si="277"/>
        <v>448846.32705943874</v>
      </c>
      <c r="Z493" s="80">
        <f t="shared" si="278"/>
        <v>498722.13092228363</v>
      </c>
      <c r="AA493" s="80">
        <f t="shared" si="279"/>
        <v>457374.40727356804</v>
      </c>
      <c r="AB493" s="80">
        <f t="shared" si="280"/>
        <v>508197.85140980699</v>
      </c>
      <c r="AC493" s="101">
        <f t="shared" si="281"/>
        <v>466064.52101176581</v>
      </c>
      <c r="AD493" s="80">
        <f t="shared" si="282"/>
        <v>517853.61058659328</v>
      </c>
      <c r="AE493" s="101">
        <f t="shared" si="283"/>
        <v>475851.87595301284</v>
      </c>
      <c r="AF493" s="80">
        <f t="shared" si="284"/>
        <v>528728.53640891169</v>
      </c>
      <c r="AG493" s="143">
        <f t="shared" si="261"/>
        <v>482037.95034040196</v>
      </c>
      <c r="AH493" s="152">
        <f t="shared" si="262"/>
        <v>535602.00738222746</v>
      </c>
      <c r="AI493" s="143">
        <f t="shared" si="263"/>
        <v>491678.70934721001</v>
      </c>
      <c r="AJ493" s="152">
        <f t="shared" si="264"/>
        <v>546314.04752987204</v>
      </c>
      <c r="AK493" s="143">
        <f t="shared" si="265"/>
        <v>505937.39191827906</v>
      </c>
      <c r="AL493" s="152">
        <f t="shared" si="266"/>
        <v>562157.15490823833</v>
      </c>
      <c r="AM493" s="143">
        <f t="shared" si="267"/>
        <v>537811.44760913064</v>
      </c>
      <c r="AN493" s="143">
        <f t="shared" si="268"/>
        <v>597573.05566745729</v>
      </c>
    </row>
    <row r="494" spans="2:40">
      <c r="B494" s="159">
        <v>131006</v>
      </c>
      <c r="C494" s="18" t="s">
        <v>580</v>
      </c>
      <c r="D494" s="16">
        <v>663000</v>
      </c>
      <c r="E494" s="17">
        <f>D494*1.05</f>
        <v>696150</v>
      </c>
      <c r="F494" s="57">
        <f>E494*1.045</f>
        <v>727476.75</v>
      </c>
      <c r="G494" s="57">
        <f t="shared" si="253"/>
        <v>752792.94089999993</v>
      </c>
      <c r="H494" s="57">
        <f t="shared" si="254"/>
        <v>836443.29249280796</v>
      </c>
      <c r="I494" s="57">
        <f t="shared" si="255"/>
        <v>773118.35030429985</v>
      </c>
      <c r="J494" s="57">
        <f t="shared" si="255"/>
        <v>859027.26139011374</v>
      </c>
      <c r="K494" s="57">
        <f t="shared" si="256"/>
        <v>791673.19071160303</v>
      </c>
      <c r="L494" s="9">
        <f t="shared" si="256"/>
        <v>879643.91566347645</v>
      </c>
      <c r="M494" s="9">
        <f t="shared" si="257"/>
        <v>813048.36686081626</v>
      </c>
      <c r="N494" s="71">
        <f t="shared" si="257"/>
        <v>903394.30138639023</v>
      </c>
      <c r="O494" s="79">
        <f t="shared" si="258"/>
        <v>830935.43093175418</v>
      </c>
      <c r="P494" s="78">
        <f t="shared" si="258"/>
        <v>923268.97601689084</v>
      </c>
      <c r="Q494" s="1">
        <f t="shared" si="269"/>
        <v>850877.88127411634</v>
      </c>
      <c r="R494" s="79">
        <f t="shared" si="270"/>
        <v>945427.43144129624</v>
      </c>
      <c r="S494" s="1">
        <f t="shared" si="271"/>
        <v>882360.3628812586</v>
      </c>
      <c r="T494" s="78">
        <f t="shared" si="272"/>
        <v>980408.24640462408</v>
      </c>
      <c r="U494" s="1">
        <f t="shared" si="273"/>
        <v>907066.45304193383</v>
      </c>
      <c r="V494" s="99">
        <f t="shared" si="274"/>
        <v>1007859.6773039536</v>
      </c>
      <c r="W494" s="79">
        <f t="shared" si="275"/>
        <v>920672.44983756274</v>
      </c>
      <c r="X494" s="79">
        <f t="shared" si="276"/>
        <v>1022977.5724635128</v>
      </c>
      <c r="Y494" s="79">
        <f t="shared" si="277"/>
        <v>935403.20903496374</v>
      </c>
      <c r="Z494" s="79">
        <f t="shared" si="278"/>
        <v>1039345.2136229289</v>
      </c>
      <c r="AA494" s="79">
        <f t="shared" si="279"/>
        <v>953175.87000662799</v>
      </c>
      <c r="AB494" s="79">
        <f t="shared" si="280"/>
        <v>1059092.7726817646</v>
      </c>
      <c r="AC494" s="100">
        <f t="shared" si="281"/>
        <v>971286.21153675381</v>
      </c>
      <c r="AD494" s="79">
        <f t="shared" si="282"/>
        <v>1079215.5353627179</v>
      </c>
      <c r="AE494" s="100">
        <f t="shared" si="283"/>
        <v>991683.22197902552</v>
      </c>
      <c r="AF494" s="79">
        <f t="shared" si="284"/>
        <v>1101879.061605335</v>
      </c>
      <c r="AG494" s="142">
        <f t="shared" si="261"/>
        <v>1004575.1038647528</v>
      </c>
      <c r="AH494" s="174">
        <f t="shared" si="262"/>
        <v>1116203.4894062043</v>
      </c>
      <c r="AI494" s="142">
        <f t="shared" si="263"/>
        <v>1024666.6059420479</v>
      </c>
      <c r="AJ494" s="174">
        <f t="shared" si="264"/>
        <v>1138527.5591943285</v>
      </c>
      <c r="AK494" s="142">
        <f t="shared" si="265"/>
        <v>1054381.9375143673</v>
      </c>
      <c r="AL494" s="174">
        <f t="shared" si="266"/>
        <v>1171544.858410964</v>
      </c>
      <c r="AM494" s="142">
        <f t="shared" si="267"/>
        <v>1120807.9995777723</v>
      </c>
      <c r="AN494" s="142">
        <f t="shared" si="268"/>
        <v>1245352.1844908546</v>
      </c>
    </row>
    <row r="495" spans="2:40">
      <c r="B495" s="159">
        <v>131007</v>
      </c>
      <c r="C495" s="18" t="s">
        <v>581</v>
      </c>
      <c r="D495" s="23" t="s">
        <v>514</v>
      </c>
      <c r="E495" s="28" t="s">
        <v>514</v>
      </c>
      <c r="F495" s="6" t="s">
        <v>514</v>
      </c>
      <c r="G495" s="6" t="s">
        <v>514</v>
      </c>
      <c r="H495" s="3" t="s">
        <v>97</v>
      </c>
      <c r="I495" s="3" t="s">
        <v>97</v>
      </c>
      <c r="J495" s="3" t="s">
        <v>97</v>
      </c>
      <c r="K495" s="3" t="s">
        <v>97</v>
      </c>
      <c r="L495" s="3" t="s">
        <v>97</v>
      </c>
      <c r="M495" s="3" t="s">
        <v>97</v>
      </c>
      <c r="N495" s="29" t="s">
        <v>97</v>
      </c>
      <c r="O495" s="3" t="s">
        <v>97</v>
      </c>
      <c r="P495" s="3" t="s">
        <v>97</v>
      </c>
      <c r="Q495" s="3" t="s">
        <v>97</v>
      </c>
      <c r="R495" s="3" t="s">
        <v>97</v>
      </c>
      <c r="S495" s="29" t="s">
        <v>97</v>
      </c>
      <c r="T495" s="3" t="s">
        <v>97</v>
      </c>
      <c r="U495" s="29" t="s">
        <v>97</v>
      </c>
      <c r="V495" s="3" t="s">
        <v>97</v>
      </c>
      <c r="W495" s="29" t="s">
        <v>97</v>
      </c>
      <c r="X495" s="3" t="s">
        <v>97</v>
      </c>
      <c r="Y495" s="29" t="s">
        <v>97</v>
      </c>
      <c r="Z495" s="3" t="s">
        <v>97</v>
      </c>
      <c r="AA495" s="29" t="s">
        <v>97</v>
      </c>
      <c r="AB495" s="3" t="s">
        <v>97</v>
      </c>
      <c r="AC495" s="29" t="s">
        <v>97</v>
      </c>
      <c r="AD495" s="3" t="s">
        <v>97</v>
      </c>
      <c r="AE495" s="29" t="s">
        <v>97</v>
      </c>
      <c r="AF495" s="3" t="s">
        <v>97</v>
      </c>
      <c r="AG495" s="29" t="s">
        <v>97</v>
      </c>
      <c r="AH495" s="3" t="s">
        <v>97</v>
      </c>
      <c r="AI495" s="29" t="s">
        <v>97</v>
      </c>
      <c r="AJ495" s="3" t="s">
        <v>97</v>
      </c>
      <c r="AK495" s="3" t="s">
        <v>97</v>
      </c>
      <c r="AL495" s="29" t="s">
        <v>97</v>
      </c>
      <c r="AM495" s="29" t="s">
        <v>97</v>
      </c>
      <c r="AN495" s="29" t="s">
        <v>97</v>
      </c>
    </row>
    <row r="496" spans="2:40" ht="24.75">
      <c r="B496" s="159">
        <v>131008</v>
      </c>
      <c r="C496" s="18" t="s">
        <v>582</v>
      </c>
      <c r="D496" s="16">
        <v>1286540.6268</v>
      </c>
      <c r="E496" s="17">
        <f t="shared" ref="E496:E506" si="285">D496*1.05</f>
        <v>1350867.65814</v>
      </c>
      <c r="F496" s="57">
        <f>E496*1.045</f>
        <v>1411656.7027562999</v>
      </c>
      <c r="G496" s="57">
        <f t="shared" si="253"/>
        <v>1460782.3560122191</v>
      </c>
      <c r="H496" s="57">
        <f t="shared" si="254"/>
        <v>1623104.4914122971</v>
      </c>
      <c r="I496" s="57">
        <f t="shared" si="255"/>
        <v>1500223.4796245489</v>
      </c>
      <c r="J496" s="57">
        <f t="shared" si="255"/>
        <v>1666928.3126804291</v>
      </c>
      <c r="K496" s="57">
        <f t="shared" si="256"/>
        <v>1536228.843135538</v>
      </c>
      <c r="L496" s="9">
        <f t="shared" si="256"/>
        <v>1706934.5921847594</v>
      </c>
      <c r="M496" s="9">
        <f t="shared" si="257"/>
        <v>1577707.0219001975</v>
      </c>
      <c r="N496" s="58">
        <f t="shared" si="257"/>
        <v>1753021.8261737479</v>
      </c>
      <c r="O496" s="80">
        <f t="shared" si="258"/>
        <v>1612416.5763820019</v>
      </c>
      <c r="P496" s="78">
        <f t="shared" si="258"/>
        <v>1791588.3063495704</v>
      </c>
      <c r="Q496" s="1">
        <f t="shared" si="269"/>
        <v>1651114.57421517</v>
      </c>
      <c r="R496" s="80">
        <f t="shared" si="270"/>
        <v>1834586.4257019602</v>
      </c>
      <c r="S496" s="1">
        <f t="shared" si="271"/>
        <v>1712205.8134611312</v>
      </c>
      <c r="T496" s="78">
        <f t="shared" si="272"/>
        <v>1902466.1234529326</v>
      </c>
      <c r="U496" s="1">
        <f t="shared" si="273"/>
        <v>1760147.5762380429</v>
      </c>
      <c r="V496" s="99">
        <f t="shared" si="274"/>
        <v>1955735.1749096147</v>
      </c>
      <c r="W496" s="80">
        <f t="shared" si="275"/>
        <v>1786549.7898816133</v>
      </c>
      <c r="X496" s="80">
        <f t="shared" si="276"/>
        <v>1985071.2025332588</v>
      </c>
      <c r="Y496" s="80">
        <f t="shared" si="277"/>
        <v>1815134.5865197191</v>
      </c>
      <c r="Z496" s="80">
        <f t="shared" si="278"/>
        <v>2016832.341773791</v>
      </c>
      <c r="AA496" s="80">
        <f t="shared" si="279"/>
        <v>1849622.1436635936</v>
      </c>
      <c r="AB496" s="80">
        <f t="shared" si="280"/>
        <v>2055152.1562674928</v>
      </c>
      <c r="AC496" s="101">
        <f t="shared" si="281"/>
        <v>1884764.9643932017</v>
      </c>
      <c r="AD496" s="80">
        <f t="shared" si="282"/>
        <v>2094200.047236575</v>
      </c>
      <c r="AE496" s="101">
        <f t="shared" si="283"/>
        <v>1924345.0286454589</v>
      </c>
      <c r="AF496" s="80">
        <f t="shared" si="284"/>
        <v>2138178.248228543</v>
      </c>
      <c r="AG496" s="143">
        <f t="shared" si="261"/>
        <v>1949361.5140178497</v>
      </c>
      <c r="AH496" s="152">
        <f t="shared" si="262"/>
        <v>2165974.565455514</v>
      </c>
      <c r="AI496" s="143">
        <f t="shared" si="263"/>
        <v>1988348.7442982066</v>
      </c>
      <c r="AJ496" s="152">
        <f t="shared" si="264"/>
        <v>2209294.0567646245</v>
      </c>
      <c r="AK496" s="143">
        <f t="shared" si="265"/>
        <v>2046010.8578828545</v>
      </c>
      <c r="AL496" s="152">
        <f t="shared" si="266"/>
        <v>2273363.5844107983</v>
      </c>
      <c r="AM496" s="143">
        <f t="shared" si="267"/>
        <v>2174909.5419294741</v>
      </c>
      <c r="AN496" s="143">
        <f t="shared" si="268"/>
        <v>2416585.4902286786</v>
      </c>
    </row>
    <row r="497" spans="2:40" ht="24.75">
      <c r="B497" s="159">
        <v>131009</v>
      </c>
      <c r="C497" s="18" t="s">
        <v>583</v>
      </c>
      <c r="D497" s="16">
        <v>1470295.7841000003</v>
      </c>
      <c r="E497" s="17">
        <f t="shared" si="285"/>
        <v>1543810.5733050003</v>
      </c>
      <c r="F497" s="57">
        <f>E497*1.045</f>
        <v>1613282.0491037252</v>
      </c>
      <c r="G497" s="57">
        <f t="shared" si="253"/>
        <v>1669424.2644125349</v>
      </c>
      <c r="H497" s="57">
        <f t="shared" si="254"/>
        <v>1854930.688674056</v>
      </c>
      <c r="I497" s="57">
        <f t="shared" si="255"/>
        <v>1714498.7195516732</v>
      </c>
      <c r="J497" s="57">
        <f t="shared" si="255"/>
        <v>1905013.8172682554</v>
      </c>
      <c r="K497" s="57">
        <f t="shared" si="256"/>
        <v>1755646.6888209134</v>
      </c>
      <c r="L497" s="9">
        <f t="shared" si="256"/>
        <v>1950734.1488826936</v>
      </c>
      <c r="M497" s="9">
        <f t="shared" si="257"/>
        <v>1803049.1494190779</v>
      </c>
      <c r="N497" s="9">
        <f t="shared" si="257"/>
        <v>2003403.9709025261</v>
      </c>
      <c r="O497" s="78">
        <f t="shared" si="258"/>
        <v>1842716.2307062976</v>
      </c>
      <c r="P497" s="78">
        <f t="shared" si="258"/>
        <v>2047478.8582623817</v>
      </c>
      <c r="Q497" s="1">
        <f t="shared" si="269"/>
        <v>1886941.4202432488</v>
      </c>
      <c r="R497" s="78">
        <f t="shared" si="270"/>
        <v>2096618.3508606791</v>
      </c>
      <c r="S497" s="1">
        <f t="shared" si="271"/>
        <v>1956758.252792249</v>
      </c>
      <c r="T497" s="78">
        <f t="shared" si="272"/>
        <v>2174193.229842524</v>
      </c>
      <c r="U497" s="1">
        <f t="shared" si="273"/>
        <v>2011547.483870432</v>
      </c>
      <c r="V497" s="99">
        <f t="shared" si="274"/>
        <v>2235070.6402781149</v>
      </c>
      <c r="W497" s="78">
        <f t="shared" si="275"/>
        <v>2041720.6961284883</v>
      </c>
      <c r="X497" s="78">
        <f t="shared" si="276"/>
        <v>2268596.6998822866</v>
      </c>
      <c r="Y497" s="78">
        <f t="shared" si="277"/>
        <v>2074388.2272665442</v>
      </c>
      <c r="Z497" s="78">
        <f t="shared" si="278"/>
        <v>2304894.2470804034</v>
      </c>
      <c r="AA497" s="78">
        <f t="shared" si="279"/>
        <v>2113801.6035846085</v>
      </c>
      <c r="AB497" s="78">
        <f t="shared" si="280"/>
        <v>2348687.2377749309</v>
      </c>
      <c r="AC497" s="1">
        <f t="shared" si="281"/>
        <v>2153963.8340527159</v>
      </c>
      <c r="AD497" s="78">
        <f t="shared" si="282"/>
        <v>2393312.2952926545</v>
      </c>
      <c r="AE497" s="1">
        <f t="shared" si="283"/>
        <v>2199197.0745678227</v>
      </c>
      <c r="AF497" s="78">
        <f t="shared" si="284"/>
        <v>2443571.8534937999</v>
      </c>
      <c r="AG497" s="141">
        <f t="shared" si="261"/>
        <v>2227786.636537204</v>
      </c>
      <c r="AH497" s="140">
        <f t="shared" si="262"/>
        <v>2475338.2875892189</v>
      </c>
      <c r="AI497" s="141">
        <f t="shared" si="263"/>
        <v>2272342.369267948</v>
      </c>
      <c r="AJ497" s="140">
        <f t="shared" si="264"/>
        <v>2524845.0533410031</v>
      </c>
      <c r="AK497" s="141">
        <f t="shared" si="265"/>
        <v>2338240.2979767183</v>
      </c>
      <c r="AL497" s="140">
        <f t="shared" si="266"/>
        <v>2598065.5598878921</v>
      </c>
      <c r="AM497" s="141">
        <f t="shared" si="267"/>
        <v>2485549.4367492516</v>
      </c>
      <c r="AN497" s="141">
        <f t="shared" si="268"/>
        <v>2761743.6901608291</v>
      </c>
    </row>
    <row r="498" spans="2:40" ht="24.75">
      <c r="B498" s="159">
        <v>131010</v>
      </c>
      <c r="C498" s="18" t="s">
        <v>584</v>
      </c>
      <c r="D498" s="16">
        <v>1979312.8415499998</v>
      </c>
      <c r="E498" s="17">
        <f t="shared" si="285"/>
        <v>2078278.4836274998</v>
      </c>
      <c r="F498" s="57">
        <f>E498*1.045</f>
        <v>2171801.015390737</v>
      </c>
      <c r="G498" s="57">
        <f t="shared" si="253"/>
        <v>2247379.6907263347</v>
      </c>
      <c r="H498" s="57">
        <f t="shared" si="254"/>
        <v>2497108.5219598454</v>
      </c>
      <c r="I498" s="57">
        <f t="shared" si="255"/>
        <v>2308058.9423759454</v>
      </c>
      <c r="J498" s="57">
        <f t="shared" si="255"/>
        <v>2564530.4520527609</v>
      </c>
      <c r="K498" s="57">
        <f t="shared" si="256"/>
        <v>2363452.3569929684</v>
      </c>
      <c r="L498" s="9">
        <f t="shared" si="256"/>
        <v>2626079.1829020274</v>
      </c>
      <c r="M498" s="9">
        <f t="shared" si="257"/>
        <v>2427265.5706317783</v>
      </c>
      <c r="N498" s="9">
        <f t="shared" si="257"/>
        <v>2696983.320840382</v>
      </c>
      <c r="O498" s="78">
        <f t="shared" si="258"/>
        <v>2480665.4131856775</v>
      </c>
      <c r="P498" s="78">
        <f t="shared" si="258"/>
        <v>2756316.9538988704</v>
      </c>
      <c r="Q498" s="1">
        <f t="shared" si="269"/>
        <v>2540201.3831021339</v>
      </c>
      <c r="R498" s="78">
        <f t="shared" si="270"/>
        <v>2822468.5607924433</v>
      </c>
      <c r="S498" s="1">
        <f t="shared" si="271"/>
        <v>2634188.8342769127</v>
      </c>
      <c r="T498" s="78">
        <f t="shared" si="272"/>
        <v>2926899.8975417637</v>
      </c>
      <c r="U498" s="1">
        <f t="shared" si="273"/>
        <v>2707946.1216366664</v>
      </c>
      <c r="V498" s="99">
        <f t="shared" si="274"/>
        <v>3008853.0946729332</v>
      </c>
      <c r="W498" s="78">
        <f t="shared" si="275"/>
        <v>2748565.3134612162</v>
      </c>
      <c r="X498" s="78">
        <f t="shared" si="276"/>
        <v>3053985.8910930268</v>
      </c>
      <c r="Y498" s="78">
        <f t="shared" si="277"/>
        <v>2792542.3584765955</v>
      </c>
      <c r="Z498" s="78">
        <f t="shared" si="278"/>
        <v>3102849.6653505154</v>
      </c>
      <c r="AA498" s="78">
        <f t="shared" si="279"/>
        <v>2845600.6632876503</v>
      </c>
      <c r="AB498" s="78">
        <f t="shared" si="280"/>
        <v>3161803.8089921749</v>
      </c>
      <c r="AC498" s="1">
        <f t="shared" si="281"/>
        <v>2899667.0758901155</v>
      </c>
      <c r="AD498" s="78">
        <f t="shared" si="282"/>
        <v>3221878.0813630261</v>
      </c>
      <c r="AE498" s="1">
        <f t="shared" si="283"/>
        <v>2960560.0844838074</v>
      </c>
      <c r="AF498" s="78">
        <f t="shared" si="284"/>
        <v>3289537.5210716492</v>
      </c>
      <c r="AG498" s="141">
        <f t="shared" si="261"/>
        <v>2999047.3655820969</v>
      </c>
      <c r="AH498" s="140">
        <f t="shared" si="262"/>
        <v>3332301.5088455803</v>
      </c>
      <c r="AI498" s="141">
        <f>AG498*1.02</f>
        <v>3059028.312893739</v>
      </c>
      <c r="AJ498" s="140">
        <f t="shared" si="264"/>
        <v>3398947.5390224918</v>
      </c>
      <c r="AK498" s="141">
        <f t="shared" si="265"/>
        <v>3147740.1339676571</v>
      </c>
      <c r="AL498" s="140">
        <f t="shared" si="266"/>
        <v>3497517.0176541437</v>
      </c>
      <c r="AM498" s="141">
        <f t="shared" si="267"/>
        <v>3346047.7624076195</v>
      </c>
      <c r="AN498" s="141">
        <f t="shared" si="268"/>
        <v>3717860.5897663548</v>
      </c>
    </row>
    <row r="499" spans="2:40" ht="24.75">
      <c r="B499" s="159">
        <v>131013</v>
      </c>
      <c r="C499" s="18" t="s">
        <v>585</v>
      </c>
      <c r="D499" s="16">
        <v>1979312.8389999999</v>
      </c>
      <c r="E499" s="17">
        <f t="shared" si="285"/>
        <v>2078278.48095</v>
      </c>
      <c r="F499" s="57">
        <f>E499*1.045</f>
        <v>2171801.0125927497</v>
      </c>
      <c r="G499" s="57">
        <f t="shared" si="253"/>
        <v>2247379.6878309771</v>
      </c>
      <c r="H499" s="57">
        <f t="shared" si="254"/>
        <v>2497108.5187427555</v>
      </c>
      <c r="I499" s="57">
        <f t="shared" si="255"/>
        <v>2308058.9394024136</v>
      </c>
      <c r="J499" s="57">
        <f t="shared" si="255"/>
        <v>2564530.4487488098</v>
      </c>
      <c r="K499" s="57">
        <f t="shared" si="256"/>
        <v>2363452.3539480716</v>
      </c>
      <c r="L499" s="9">
        <f t="shared" si="256"/>
        <v>2626079.1795187811</v>
      </c>
      <c r="M499" s="9">
        <f t="shared" si="257"/>
        <v>2427265.5675046695</v>
      </c>
      <c r="N499" s="9">
        <f t="shared" si="257"/>
        <v>2696983.3173657879</v>
      </c>
      <c r="O499" s="78">
        <f t="shared" si="258"/>
        <v>2480665.4099897724</v>
      </c>
      <c r="P499" s="78">
        <f t="shared" si="258"/>
        <v>2756316.9503478352</v>
      </c>
      <c r="Q499" s="1">
        <f t="shared" si="269"/>
        <v>2540201.3798295269</v>
      </c>
      <c r="R499" s="78">
        <f t="shared" si="270"/>
        <v>2822468.5571561833</v>
      </c>
      <c r="S499" s="1">
        <f t="shared" si="271"/>
        <v>2634188.8308832194</v>
      </c>
      <c r="T499" s="78">
        <f t="shared" si="272"/>
        <v>2926899.893770962</v>
      </c>
      <c r="U499" s="1">
        <f t="shared" si="273"/>
        <v>2707946.1181479497</v>
      </c>
      <c r="V499" s="99">
        <f t="shared" si="274"/>
        <v>3008853.0907965489</v>
      </c>
      <c r="W499" s="78">
        <f t="shared" si="275"/>
        <v>2748565.3099201685</v>
      </c>
      <c r="X499" s="78">
        <f t="shared" si="276"/>
        <v>3053985.8871584968</v>
      </c>
      <c r="Y499" s="78">
        <f t="shared" si="277"/>
        <v>2792542.3548788913</v>
      </c>
      <c r="Z499" s="78">
        <f t="shared" si="278"/>
        <v>3102849.6613530326</v>
      </c>
      <c r="AA499" s="78">
        <f t="shared" si="279"/>
        <v>2845600.6596215898</v>
      </c>
      <c r="AB499" s="78">
        <f t="shared" si="280"/>
        <v>3161803.8049187399</v>
      </c>
      <c r="AC499" s="1">
        <f t="shared" si="281"/>
        <v>2899667.0721543999</v>
      </c>
      <c r="AD499" s="78">
        <f t="shared" si="282"/>
        <v>3221878.0772121958</v>
      </c>
      <c r="AE499" s="1">
        <f t="shared" si="283"/>
        <v>2960560.080669642</v>
      </c>
      <c r="AF499" s="78">
        <f t="shared" si="284"/>
        <v>3289537.5168336518</v>
      </c>
      <c r="AG499" s="141">
        <f t="shared" si="261"/>
        <v>2999047.3617183468</v>
      </c>
      <c r="AH499" s="140">
        <f t="shared" si="262"/>
        <v>3332301.5045524891</v>
      </c>
      <c r="AI499" s="141">
        <f t="shared" si="263"/>
        <v>3059028.3089527139</v>
      </c>
      <c r="AJ499" s="140">
        <f t="shared" si="264"/>
        <v>3398947.5346435388</v>
      </c>
      <c r="AK499" s="141">
        <f t="shared" si="265"/>
        <v>3147740.1299123424</v>
      </c>
      <c r="AL499" s="140">
        <f t="shared" si="266"/>
        <v>3497517.0131482012</v>
      </c>
      <c r="AM499" s="141">
        <f t="shared" si="267"/>
        <v>3346047.7580968197</v>
      </c>
      <c r="AN499" s="141">
        <f t="shared" si="268"/>
        <v>3717860.5849765376</v>
      </c>
    </row>
    <row r="500" spans="2:40" ht="24.75">
      <c r="B500" s="159">
        <v>131014</v>
      </c>
      <c r="C500" s="18" t="s">
        <v>586</v>
      </c>
      <c r="D500" s="16">
        <v>2058465.0047500001</v>
      </c>
      <c r="E500" s="17">
        <f t="shared" si="285"/>
        <v>2161388.2549875001</v>
      </c>
      <c r="F500" s="57">
        <f>E500*1.045</f>
        <v>2258650.7264619377</v>
      </c>
      <c r="G500" s="57">
        <f t="shared" si="253"/>
        <v>2337251.7717428128</v>
      </c>
      <c r="H500" s="57">
        <f t="shared" si="254"/>
        <v>2596967.1886188746</v>
      </c>
      <c r="I500" s="57">
        <f t="shared" si="255"/>
        <v>2400357.5695798686</v>
      </c>
      <c r="J500" s="57">
        <f t="shared" si="255"/>
        <v>2667085.3027115841</v>
      </c>
      <c r="K500" s="57">
        <f t="shared" si="256"/>
        <v>2457966.1512497854</v>
      </c>
      <c r="L500" s="9">
        <f t="shared" si="256"/>
        <v>2731095.3499766621</v>
      </c>
      <c r="M500" s="9">
        <f t="shared" si="257"/>
        <v>2524331.2373335296</v>
      </c>
      <c r="N500" s="9">
        <f t="shared" si="257"/>
        <v>2804834.9244260318</v>
      </c>
      <c r="O500" s="78">
        <f t="shared" si="258"/>
        <v>2579866.5245548673</v>
      </c>
      <c r="P500" s="78">
        <f t="shared" si="258"/>
        <v>2866541.2927634045</v>
      </c>
      <c r="Q500" s="1">
        <f t="shared" si="269"/>
        <v>2641783.3211441841</v>
      </c>
      <c r="R500" s="78">
        <f t="shared" si="270"/>
        <v>2935338.2837897264</v>
      </c>
      <c r="S500" s="1">
        <f t="shared" si="271"/>
        <v>2739529.3040265185</v>
      </c>
      <c r="T500" s="78">
        <f t="shared" si="272"/>
        <v>3043945.8002899461</v>
      </c>
      <c r="U500" s="1">
        <f t="shared" si="273"/>
        <v>2816236.1245392612</v>
      </c>
      <c r="V500" s="99">
        <f t="shared" si="274"/>
        <v>3129176.2826980646</v>
      </c>
      <c r="W500" s="78">
        <f t="shared" si="275"/>
        <v>2858479.66640735</v>
      </c>
      <c r="X500" s="78">
        <f t="shared" si="276"/>
        <v>3176113.9269385352</v>
      </c>
      <c r="Y500" s="78">
        <f t="shared" si="277"/>
        <v>2904215.3410698678</v>
      </c>
      <c r="Z500" s="78">
        <f t="shared" si="278"/>
        <v>3226931.7497695517</v>
      </c>
      <c r="AA500" s="78">
        <f t="shared" si="279"/>
        <v>2959395.4325501951</v>
      </c>
      <c r="AB500" s="78">
        <f t="shared" si="280"/>
        <v>3288243.4530151729</v>
      </c>
      <c r="AC500" s="1">
        <f t="shared" si="281"/>
        <v>3015623.9457686488</v>
      </c>
      <c r="AD500" s="78">
        <f t="shared" si="282"/>
        <v>3350720.0786224608</v>
      </c>
      <c r="AE500" s="1">
        <f t="shared" si="283"/>
        <v>3078952.0486297901</v>
      </c>
      <c r="AF500" s="78">
        <f t="shared" si="284"/>
        <v>3421085.2002735324</v>
      </c>
      <c r="AG500" s="141">
        <f t="shared" si="261"/>
        <v>3118978.4252619771</v>
      </c>
      <c r="AH500" s="140">
        <f t="shared" si="262"/>
        <v>3465559.307877088</v>
      </c>
      <c r="AI500" s="141">
        <f t="shared" si="263"/>
        <v>3181357.9937672168</v>
      </c>
      <c r="AJ500" s="140">
        <f t="shared" si="264"/>
        <v>3534870.4940346298</v>
      </c>
      <c r="AK500" s="141">
        <f t="shared" si="265"/>
        <v>3273617.3755864659</v>
      </c>
      <c r="AL500" s="140">
        <f t="shared" si="266"/>
        <v>3637381.7383616338</v>
      </c>
      <c r="AM500" s="141">
        <f t="shared" si="267"/>
        <v>3479855.2702484131</v>
      </c>
      <c r="AN500" s="141">
        <f t="shared" si="268"/>
        <v>3866536.7878784165</v>
      </c>
    </row>
    <row r="501" spans="2:40">
      <c r="B501" s="159">
        <v>131015</v>
      </c>
      <c r="C501" s="18" t="s">
        <v>587</v>
      </c>
      <c r="D501" s="16">
        <v>2209134.0557000004</v>
      </c>
      <c r="E501" s="17">
        <f t="shared" si="285"/>
        <v>2319590.7584850006</v>
      </c>
      <c r="F501" s="57">
        <f>E501*1.045</f>
        <v>2423972.3426168254</v>
      </c>
      <c r="G501" s="57">
        <f t="shared" si="253"/>
        <v>2508326.5801398908</v>
      </c>
      <c r="H501" s="57">
        <f t="shared" si="254"/>
        <v>2787051.8297250359</v>
      </c>
      <c r="I501" s="57">
        <f t="shared" si="255"/>
        <v>2576051.3978036675</v>
      </c>
      <c r="J501" s="57">
        <f t="shared" si="255"/>
        <v>2862302.2291276115</v>
      </c>
      <c r="K501" s="57">
        <f t="shared" si="256"/>
        <v>2637876.6313509555</v>
      </c>
      <c r="L501" s="9">
        <f t="shared" si="256"/>
        <v>2930997.4826266742</v>
      </c>
      <c r="M501" s="9">
        <f t="shared" si="257"/>
        <v>2709099.300397431</v>
      </c>
      <c r="N501" s="9">
        <f t="shared" si="257"/>
        <v>3010134.4146575942</v>
      </c>
      <c r="O501" s="78">
        <f t="shared" si="258"/>
        <v>2768699.4850061745</v>
      </c>
      <c r="P501" s="78">
        <f t="shared" si="258"/>
        <v>3076357.3717800612</v>
      </c>
      <c r="Q501" s="1">
        <f t="shared" si="269"/>
        <v>2835148.2726463228</v>
      </c>
      <c r="R501" s="78">
        <f t="shared" si="270"/>
        <v>3150189.9487027829</v>
      </c>
      <c r="S501" s="1">
        <f t="shared" si="271"/>
        <v>2940048.7587342365</v>
      </c>
      <c r="T501" s="78">
        <f t="shared" si="272"/>
        <v>3266746.9768047854</v>
      </c>
      <c r="U501" s="1">
        <f t="shared" si="273"/>
        <v>3022370.123978795</v>
      </c>
      <c r="V501" s="99">
        <f t="shared" si="274"/>
        <v>3358215.8921553195</v>
      </c>
      <c r="W501" s="78">
        <f t="shared" si="275"/>
        <v>3067705.6758384765</v>
      </c>
      <c r="X501" s="78">
        <f t="shared" si="276"/>
        <v>3408589.1305376487</v>
      </c>
      <c r="Y501" s="78">
        <f t="shared" si="277"/>
        <v>3116788.9666518923</v>
      </c>
      <c r="Z501" s="78">
        <f t="shared" si="278"/>
        <v>3463126.556626251</v>
      </c>
      <c r="AA501" s="78">
        <f t="shared" si="279"/>
        <v>3176007.9570182781</v>
      </c>
      <c r="AB501" s="78">
        <f t="shared" si="280"/>
        <v>3528925.9612021493</v>
      </c>
      <c r="AC501" s="1">
        <f t="shared" si="281"/>
        <v>3236352.1082016248</v>
      </c>
      <c r="AD501" s="78">
        <f t="shared" si="282"/>
        <v>3595975.5544649898</v>
      </c>
      <c r="AE501" s="1">
        <f t="shared" si="283"/>
        <v>3304315.5024738587</v>
      </c>
      <c r="AF501" s="78">
        <f t="shared" si="284"/>
        <v>3671491.0411087545</v>
      </c>
      <c r="AG501" s="141">
        <f t="shared" si="261"/>
        <v>3347271.6040060185</v>
      </c>
      <c r="AH501" s="140">
        <f t="shared" si="262"/>
        <v>3719220.4246431678</v>
      </c>
      <c r="AI501" s="141">
        <f t="shared" si="263"/>
        <v>3414217.0360861388</v>
      </c>
      <c r="AJ501" s="140">
        <f t="shared" si="264"/>
        <v>3793604.8331360314</v>
      </c>
      <c r="AK501" s="141">
        <f t="shared" si="265"/>
        <v>3513229.3301326367</v>
      </c>
      <c r="AL501" s="140">
        <f t="shared" si="266"/>
        <v>3903619.3732969761</v>
      </c>
      <c r="AM501" s="141">
        <f t="shared" si="267"/>
        <v>3734562.7779309927</v>
      </c>
      <c r="AN501" s="141">
        <f t="shared" si="268"/>
        <v>4149547.3938146853</v>
      </c>
    </row>
    <row r="502" spans="2:40">
      <c r="B502" s="159">
        <v>131016</v>
      </c>
      <c r="C502" s="18" t="s">
        <v>588</v>
      </c>
      <c r="D502" s="16">
        <v>2753782.3082000003</v>
      </c>
      <c r="E502" s="17">
        <f t="shared" si="285"/>
        <v>2891471.4236100004</v>
      </c>
      <c r="F502" s="57">
        <f>E502*1.045</f>
        <v>3021587.6376724504</v>
      </c>
      <c r="G502" s="57">
        <f t="shared" si="253"/>
        <v>3126738.8874634514</v>
      </c>
      <c r="H502" s="57">
        <f t="shared" si="254"/>
        <v>3474182.1126383906</v>
      </c>
      <c r="I502" s="57">
        <f t="shared" si="255"/>
        <v>3211160.8374249642</v>
      </c>
      <c r="J502" s="57">
        <f t="shared" si="255"/>
        <v>3567985.0296796267</v>
      </c>
      <c r="K502" s="57">
        <f t="shared" si="256"/>
        <v>3288228.6975231632</v>
      </c>
      <c r="L502" s="9">
        <f t="shared" si="256"/>
        <v>3653616.6703919377</v>
      </c>
      <c r="M502" s="9">
        <f t="shared" si="257"/>
        <v>3377010.8723562881</v>
      </c>
      <c r="N502" s="9">
        <f t="shared" si="257"/>
        <v>3752264.3204925195</v>
      </c>
      <c r="O502" s="78">
        <f t="shared" si="258"/>
        <v>3451305.1115481267</v>
      </c>
      <c r="P502" s="78">
        <f t="shared" si="258"/>
        <v>3834814.1355433553</v>
      </c>
      <c r="Q502" s="1">
        <f t="shared" si="269"/>
        <v>3534136.4342252817</v>
      </c>
      <c r="R502" s="78">
        <f t="shared" si="270"/>
        <v>3926849.6747963959</v>
      </c>
      <c r="S502" s="1">
        <f t="shared" si="271"/>
        <v>3664899.482291617</v>
      </c>
      <c r="T502" s="78">
        <f t="shared" si="272"/>
        <v>4072143.1127638621</v>
      </c>
      <c r="U502" s="1">
        <f t="shared" si="273"/>
        <v>3767516.6677957824</v>
      </c>
      <c r="V502" s="99">
        <f t="shared" si="274"/>
        <v>4186163.1199212503</v>
      </c>
      <c r="W502" s="78">
        <f t="shared" si="275"/>
        <v>3824029.417812719</v>
      </c>
      <c r="X502" s="78">
        <f t="shared" si="276"/>
        <v>4248955.5667200685</v>
      </c>
      <c r="Y502" s="78">
        <f t="shared" si="277"/>
        <v>3885213.8884977228</v>
      </c>
      <c r="Z502" s="78">
        <f t="shared" si="278"/>
        <v>4316938.8557875892</v>
      </c>
      <c r="AA502" s="78">
        <f t="shared" si="279"/>
        <v>3959032.9523791792</v>
      </c>
      <c r="AB502" s="78">
        <f t="shared" si="280"/>
        <v>4398960.6940475535</v>
      </c>
      <c r="AC502" s="1">
        <f t="shared" si="281"/>
        <v>4034254.5784743833</v>
      </c>
      <c r="AD502" s="78">
        <f t="shared" si="282"/>
        <v>4482540.9472344564</v>
      </c>
      <c r="AE502" s="1">
        <f t="shared" si="283"/>
        <v>4118973.9246223448</v>
      </c>
      <c r="AF502" s="78">
        <f t="shared" si="284"/>
        <v>4576674.3071263796</v>
      </c>
      <c r="AG502" s="141">
        <f t="shared" si="261"/>
        <v>4172520.5856424347</v>
      </c>
      <c r="AH502" s="140">
        <f t="shared" si="262"/>
        <v>4636171.073119022</v>
      </c>
      <c r="AI502" s="141">
        <f t="shared" si="263"/>
        <v>4255970.9973552832</v>
      </c>
      <c r="AJ502" s="140">
        <f t="shared" si="264"/>
        <v>4728894.4945814023</v>
      </c>
      <c r="AK502" s="141">
        <f t="shared" si="265"/>
        <v>4379394.156278586</v>
      </c>
      <c r="AL502" s="140">
        <f t="shared" si="266"/>
        <v>4866032.4349242626</v>
      </c>
      <c r="AM502" s="141">
        <f t="shared" si="267"/>
        <v>4655295.9881241368</v>
      </c>
      <c r="AN502" s="141">
        <f t="shared" si="268"/>
        <v>5172592.4783244906</v>
      </c>
    </row>
    <row r="503" spans="2:40">
      <c r="B503" s="159">
        <v>131017</v>
      </c>
      <c r="C503" s="18" t="s">
        <v>589</v>
      </c>
      <c r="D503" s="16">
        <v>1654050.9413999999</v>
      </c>
      <c r="E503" s="17">
        <f t="shared" si="285"/>
        <v>1736753.48847</v>
      </c>
      <c r="F503" s="57">
        <f>E503*1.045</f>
        <v>1814907.3954511499</v>
      </c>
      <c r="G503" s="57">
        <f t="shared" si="253"/>
        <v>1878066.1728128497</v>
      </c>
      <c r="H503" s="57">
        <f t="shared" si="254"/>
        <v>2086756.8859358139</v>
      </c>
      <c r="I503" s="57">
        <f t="shared" si="255"/>
        <v>1928773.9594787965</v>
      </c>
      <c r="J503" s="57">
        <f t="shared" si="255"/>
        <v>2143099.3218560806</v>
      </c>
      <c r="K503" s="57">
        <f t="shared" si="256"/>
        <v>1975064.5345062877</v>
      </c>
      <c r="L503" s="9">
        <f t="shared" si="256"/>
        <v>2194533.7055806266</v>
      </c>
      <c r="M503" s="9">
        <f t="shared" si="257"/>
        <v>2028391.2769379572</v>
      </c>
      <c r="N503" s="9">
        <f t="shared" si="257"/>
        <v>2253786.1156313033</v>
      </c>
      <c r="O503" s="78">
        <f t="shared" si="258"/>
        <v>2073015.8850305923</v>
      </c>
      <c r="P503" s="78">
        <f t="shared" si="258"/>
        <v>2303369.4101751922</v>
      </c>
      <c r="Q503" s="1">
        <f t="shared" si="269"/>
        <v>2122768.2662713267</v>
      </c>
      <c r="R503" s="78">
        <f t="shared" si="270"/>
        <v>2358650.2760193967</v>
      </c>
      <c r="S503" s="1">
        <f t="shared" si="271"/>
        <v>2201310.6921233656</v>
      </c>
      <c r="T503" s="78">
        <f t="shared" si="272"/>
        <v>2445920.3362321141</v>
      </c>
      <c r="U503" s="1">
        <f t="shared" si="273"/>
        <v>2262947.39150282</v>
      </c>
      <c r="V503" s="99">
        <f t="shared" si="274"/>
        <v>2514406.1056466135</v>
      </c>
      <c r="W503" s="78">
        <f t="shared" si="275"/>
        <v>2296891.6023753621</v>
      </c>
      <c r="X503" s="78">
        <f t="shared" si="276"/>
        <v>2552122.1972313123</v>
      </c>
      <c r="Y503" s="78">
        <f t="shared" si="277"/>
        <v>2333641.868013368</v>
      </c>
      <c r="Z503" s="78">
        <f t="shared" si="278"/>
        <v>2592956.1523870132</v>
      </c>
      <c r="AA503" s="78">
        <f t="shared" si="279"/>
        <v>2377981.0635056216</v>
      </c>
      <c r="AB503" s="78">
        <f t="shared" si="280"/>
        <v>2642222.3192823664</v>
      </c>
      <c r="AC503" s="1">
        <f t="shared" si="281"/>
        <v>2423162.7037122282</v>
      </c>
      <c r="AD503" s="78">
        <f t="shared" si="282"/>
        <v>2692424.543348731</v>
      </c>
      <c r="AE503" s="1">
        <f t="shared" si="283"/>
        <v>2474049.120490185</v>
      </c>
      <c r="AF503" s="78">
        <f t="shared" si="284"/>
        <v>2748965.4587590541</v>
      </c>
      <c r="AG503" s="141">
        <f t="shared" si="261"/>
        <v>2506211.759056557</v>
      </c>
      <c r="AH503" s="140">
        <f t="shared" si="262"/>
        <v>2784702.0097229215</v>
      </c>
      <c r="AI503" s="141">
        <f t="shared" si="263"/>
        <v>2556335.9942376884</v>
      </c>
      <c r="AJ503" s="140">
        <f t="shared" si="264"/>
        <v>2840396.0499173799</v>
      </c>
      <c r="AK503" s="141">
        <f t="shared" si="265"/>
        <v>2630469.7380705811</v>
      </c>
      <c r="AL503" s="140">
        <f t="shared" si="266"/>
        <v>2922767.5353649836</v>
      </c>
      <c r="AM503" s="141">
        <f t="shared" si="267"/>
        <v>2796189.3315690276</v>
      </c>
      <c r="AN503" s="141">
        <f t="shared" si="268"/>
        <v>3106901.8900929773</v>
      </c>
    </row>
    <row r="504" spans="2:40">
      <c r="B504" s="159">
        <v>131018</v>
      </c>
      <c r="C504" s="18" t="s">
        <v>590</v>
      </c>
      <c r="D504" s="16">
        <v>1727603.9132000001</v>
      </c>
      <c r="E504" s="17">
        <f t="shared" si="285"/>
        <v>1813984.10886</v>
      </c>
      <c r="F504" s="57">
        <f>E504*1.045</f>
        <v>1895613.3937587</v>
      </c>
      <c r="G504" s="57">
        <f t="shared" ref="G504:G545" si="286">F504*1.0348</f>
        <v>1961580.7398615025</v>
      </c>
      <c r="H504" s="57">
        <f t="shared" ref="H504:H545" si="287">G504*1.11112</f>
        <v>2179551.5916749127</v>
      </c>
      <c r="I504" s="57">
        <f t="shared" ref="I504:J545" si="288">G504*1.027</f>
        <v>2014543.4198377628</v>
      </c>
      <c r="J504" s="57">
        <f t="shared" si="288"/>
        <v>2238399.484650135</v>
      </c>
      <c r="K504" s="57">
        <f t="shared" ref="K504:L545" si="289">I504*1.024</f>
        <v>2062892.4619138693</v>
      </c>
      <c r="L504" s="9">
        <f t="shared" si="289"/>
        <v>2292121.0722817383</v>
      </c>
      <c r="M504" s="9">
        <f t="shared" ref="M504:N545" si="290">K504*1.027</f>
        <v>2118590.5583855435</v>
      </c>
      <c r="N504" s="9">
        <f t="shared" si="290"/>
        <v>2354008.3412333452</v>
      </c>
      <c r="O504" s="78">
        <f t="shared" ref="O504:P565" si="291">M504*1.022</f>
        <v>2165199.5506700254</v>
      </c>
      <c r="P504" s="78">
        <f t="shared" si="291"/>
        <v>2405796.524740479</v>
      </c>
      <c r="Q504" s="1">
        <f t="shared" si="269"/>
        <v>2217164.3398861061</v>
      </c>
      <c r="R504" s="78">
        <f t="shared" si="270"/>
        <v>2463535.6413342506</v>
      </c>
      <c r="S504" s="1">
        <f t="shared" si="271"/>
        <v>2299199.4204618917</v>
      </c>
      <c r="T504" s="78">
        <f t="shared" si="272"/>
        <v>2554686.4600636177</v>
      </c>
      <c r="U504" s="1">
        <f t="shared" si="273"/>
        <v>2363577.0042348248</v>
      </c>
      <c r="V504" s="99">
        <f t="shared" si="274"/>
        <v>2626217.6809453992</v>
      </c>
      <c r="W504" s="78">
        <f t="shared" si="275"/>
        <v>2399030.6592983468</v>
      </c>
      <c r="X504" s="78">
        <f t="shared" si="276"/>
        <v>2665610.9461595798</v>
      </c>
      <c r="Y504" s="78">
        <f t="shared" si="277"/>
        <v>2437415.1498471205</v>
      </c>
      <c r="Z504" s="78">
        <f t="shared" si="278"/>
        <v>2708260.721298133</v>
      </c>
      <c r="AA504" s="78">
        <f t="shared" si="279"/>
        <v>2483726.0376942158</v>
      </c>
      <c r="AB504" s="78">
        <f t="shared" si="280"/>
        <v>2759717.6750027975</v>
      </c>
      <c r="AC504" s="1">
        <f t="shared" si="281"/>
        <v>2530916.8324104059</v>
      </c>
      <c r="AD504" s="78">
        <f t="shared" si="282"/>
        <v>2812152.3108278504</v>
      </c>
      <c r="AE504" s="1">
        <f t="shared" si="283"/>
        <v>2584066.0858910242</v>
      </c>
      <c r="AF504" s="78">
        <f t="shared" si="284"/>
        <v>2871207.5093552349</v>
      </c>
      <c r="AG504" s="141">
        <f t="shared" si="261"/>
        <v>2617658.9450076073</v>
      </c>
      <c r="AH504" s="140">
        <f t="shared" si="262"/>
        <v>2908533.2069768528</v>
      </c>
      <c r="AI504" s="141">
        <f t="shared" si="263"/>
        <v>2670012.1239077593</v>
      </c>
      <c r="AJ504" s="140">
        <f t="shared" si="264"/>
        <v>2966703.87111639</v>
      </c>
      <c r="AK504" s="141">
        <f t="shared" si="265"/>
        <v>2747442.4755010842</v>
      </c>
      <c r="AL504" s="140">
        <f t="shared" si="266"/>
        <v>3052738.283378765</v>
      </c>
      <c r="AM504" s="141">
        <f t="shared" si="267"/>
        <v>2920531.3514576522</v>
      </c>
      <c r="AN504" s="141">
        <f t="shared" si="268"/>
        <v>3245060.7952316268</v>
      </c>
    </row>
    <row r="505" spans="2:40" ht="37.5">
      <c r="B505" s="159">
        <v>131019</v>
      </c>
      <c r="C505" s="18" t="s">
        <v>591</v>
      </c>
      <c r="D505" s="16">
        <v>1709279.297</v>
      </c>
      <c r="E505" s="17">
        <f t="shared" si="285"/>
        <v>1794743.2618500001</v>
      </c>
      <c r="F505" s="57">
        <f>E505*1.045</f>
        <v>1875506.7086332501</v>
      </c>
      <c r="G505" s="57">
        <f t="shared" si="286"/>
        <v>1940774.342093687</v>
      </c>
      <c r="H505" s="57">
        <f t="shared" si="287"/>
        <v>2156433.1869871379</v>
      </c>
      <c r="I505" s="57">
        <f t="shared" si="288"/>
        <v>1993175.2493302163</v>
      </c>
      <c r="J505" s="57">
        <f t="shared" si="288"/>
        <v>2214656.8830357906</v>
      </c>
      <c r="K505" s="57">
        <f t="shared" si="289"/>
        <v>2041011.4553141415</v>
      </c>
      <c r="L505" s="9">
        <f t="shared" si="289"/>
        <v>2267808.6482286495</v>
      </c>
      <c r="M505" s="9">
        <f t="shared" si="290"/>
        <v>2096118.7646076232</v>
      </c>
      <c r="N505" s="9">
        <f t="shared" si="290"/>
        <v>2329039.4817308229</v>
      </c>
      <c r="O505" s="78">
        <f t="shared" si="291"/>
        <v>2142233.3774289908</v>
      </c>
      <c r="P505" s="78">
        <f t="shared" si="291"/>
        <v>2380278.3503289013</v>
      </c>
      <c r="Q505" s="1">
        <f t="shared" si="269"/>
        <v>2193646.9784872867</v>
      </c>
      <c r="R505" s="78">
        <f t="shared" si="270"/>
        <v>2437405.0307367952</v>
      </c>
      <c r="S505" s="1">
        <f t="shared" si="271"/>
        <v>2274811.9166913163</v>
      </c>
      <c r="T505" s="78">
        <f t="shared" si="272"/>
        <v>2527589.0168740563</v>
      </c>
      <c r="U505" s="1">
        <f t="shared" si="273"/>
        <v>2338506.6503586732</v>
      </c>
      <c r="V505" s="99">
        <f t="shared" si="274"/>
        <v>2598361.5093465298</v>
      </c>
      <c r="W505" s="78">
        <f t="shared" si="275"/>
        <v>2373584.250114053</v>
      </c>
      <c r="X505" s="78">
        <f t="shared" si="276"/>
        <v>2637336.9319867278</v>
      </c>
      <c r="Y505" s="78">
        <f t="shared" si="277"/>
        <v>2411561.5981158777</v>
      </c>
      <c r="Z505" s="78">
        <f t="shared" si="278"/>
        <v>2679534.3228985155</v>
      </c>
      <c r="AA505" s="78">
        <f t="shared" si="279"/>
        <v>2457381.2684800792</v>
      </c>
      <c r="AB505" s="78">
        <f t="shared" si="280"/>
        <v>2730445.4750335868</v>
      </c>
      <c r="AC505" s="1">
        <f t="shared" si="281"/>
        <v>2504071.5125812003</v>
      </c>
      <c r="AD505" s="78">
        <f t="shared" si="282"/>
        <v>2782323.9390592249</v>
      </c>
      <c r="AE505" s="1">
        <f t="shared" si="283"/>
        <v>2556657.0143454052</v>
      </c>
      <c r="AF505" s="78">
        <f t="shared" si="284"/>
        <v>2840752.7417794685</v>
      </c>
      <c r="AG505" s="141">
        <f t="shared" si="261"/>
        <v>2589893.5555318953</v>
      </c>
      <c r="AH505" s="140">
        <f t="shared" si="262"/>
        <v>2877682.5274226014</v>
      </c>
      <c r="AI505" s="141">
        <f t="shared" si="263"/>
        <v>2641691.4266425334</v>
      </c>
      <c r="AJ505" s="140">
        <f t="shared" si="264"/>
        <v>2935236.1779710534</v>
      </c>
      <c r="AK505" s="141">
        <f t="shared" si="265"/>
        <v>2718300.4780151667</v>
      </c>
      <c r="AL505" s="140">
        <f t="shared" si="266"/>
        <v>3020358.0271322136</v>
      </c>
      <c r="AM505" s="141">
        <f t="shared" si="267"/>
        <v>2889553.4081301219</v>
      </c>
      <c r="AN505" s="141">
        <f t="shared" si="268"/>
        <v>3210640.582841543</v>
      </c>
    </row>
    <row r="506" spans="2:40" ht="24.75">
      <c r="B506" s="159">
        <v>131020</v>
      </c>
      <c r="C506" s="18" t="s">
        <v>592</v>
      </c>
      <c r="D506" s="16">
        <v>1546393.83525</v>
      </c>
      <c r="E506" s="17">
        <f t="shared" si="285"/>
        <v>1623713.5270125</v>
      </c>
      <c r="F506" s="57">
        <f>E506*1.045</f>
        <v>1696780.6357280624</v>
      </c>
      <c r="G506" s="57">
        <f t="shared" si="286"/>
        <v>1755828.6018513988</v>
      </c>
      <c r="H506" s="57">
        <f t="shared" si="287"/>
        <v>1950936.2760891265</v>
      </c>
      <c r="I506" s="57">
        <f t="shared" si="288"/>
        <v>1803235.9741013865</v>
      </c>
      <c r="J506" s="57">
        <f t="shared" si="288"/>
        <v>2003611.5555435328</v>
      </c>
      <c r="K506" s="57">
        <f t="shared" si="289"/>
        <v>1846513.6374798198</v>
      </c>
      <c r="L506" s="9">
        <f t="shared" si="289"/>
        <v>2051698.2328765776</v>
      </c>
      <c r="M506" s="9">
        <f t="shared" si="290"/>
        <v>1896369.5056917749</v>
      </c>
      <c r="N506" s="71">
        <f t="shared" si="290"/>
        <v>2107094.0851642452</v>
      </c>
      <c r="O506" s="79">
        <f t="shared" si="291"/>
        <v>1938089.634816994</v>
      </c>
      <c r="P506" s="78">
        <f t="shared" si="291"/>
        <v>2153450.1550378585</v>
      </c>
      <c r="Q506" s="1">
        <f t="shared" si="269"/>
        <v>1984603.7860526019</v>
      </c>
      <c r="R506" s="79">
        <f t="shared" si="270"/>
        <v>2205132.9587587672</v>
      </c>
      <c r="S506" s="1">
        <f t="shared" si="271"/>
        <v>2058034.1261365479</v>
      </c>
      <c r="T506" s="78">
        <f t="shared" si="272"/>
        <v>2286722.8782328414</v>
      </c>
      <c r="U506" s="1">
        <f t="shared" si="273"/>
        <v>2115659.0816683713</v>
      </c>
      <c r="V506" s="99">
        <f t="shared" si="274"/>
        <v>2350751.1188233611</v>
      </c>
      <c r="W506" s="79">
        <f t="shared" si="275"/>
        <v>2147393.9678933965</v>
      </c>
      <c r="X506" s="79">
        <f t="shared" si="276"/>
        <v>2386012.3856057115</v>
      </c>
      <c r="Y506" s="79">
        <f t="shared" si="277"/>
        <v>2181752.2713796911</v>
      </c>
      <c r="Z506" s="79">
        <f t="shared" si="278"/>
        <v>2424188.583775403</v>
      </c>
      <c r="AA506" s="79">
        <f t="shared" si="279"/>
        <v>2223205.5645359051</v>
      </c>
      <c r="AB506" s="79">
        <f t="shared" si="280"/>
        <v>2470248.1668671356</v>
      </c>
      <c r="AC506" s="100">
        <f t="shared" si="281"/>
        <v>2265446.470262087</v>
      </c>
      <c r="AD506" s="79">
        <f t="shared" si="282"/>
        <v>2517182.8820376107</v>
      </c>
      <c r="AE506" s="100">
        <f t="shared" si="283"/>
        <v>2313020.8461375907</v>
      </c>
      <c r="AF506" s="79">
        <f t="shared" si="284"/>
        <v>2570043.7225604001</v>
      </c>
      <c r="AG506" s="142">
        <f t="shared" si="261"/>
        <v>2343090.117137379</v>
      </c>
      <c r="AH506" s="174">
        <f t="shared" si="262"/>
        <v>2603454.2909536851</v>
      </c>
      <c r="AI506" s="142">
        <f t="shared" si="263"/>
        <v>2389951.9194801268</v>
      </c>
      <c r="AJ506" s="174">
        <f t="shared" si="264"/>
        <v>2655523.376772759</v>
      </c>
      <c r="AK506" s="142">
        <f t="shared" si="265"/>
        <v>2459260.5251450501</v>
      </c>
      <c r="AL506" s="174">
        <f t="shared" si="266"/>
        <v>2732533.554699169</v>
      </c>
      <c r="AM506" s="142">
        <f t="shared" si="267"/>
        <v>2614193.9382291883</v>
      </c>
      <c r="AN506" s="142">
        <f t="shared" si="268"/>
        <v>2904683.1686452166</v>
      </c>
    </row>
    <row r="507" spans="2:40" ht="24.75">
      <c r="B507" s="159">
        <v>131021</v>
      </c>
      <c r="C507" s="18" t="s">
        <v>593</v>
      </c>
      <c r="D507" s="23" t="s">
        <v>514</v>
      </c>
      <c r="E507" s="28" t="s">
        <v>514</v>
      </c>
      <c r="F507" s="6" t="s">
        <v>514</v>
      </c>
      <c r="G507" s="6" t="s">
        <v>514</v>
      </c>
      <c r="H507" s="3" t="s">
        <v>97</v>
      </c>
      <c r="I507" s="3" t="s">
        <v>97</v>
      </c>
      <c r="J507" s="3" t="s">
        <v>97</v>
      </c>
      <c r="K507" s="3" t="s">
        <v>97</v>
      </c>
      <c r="L507" s="3" t="s">
        <v>97</v>
      </c>
      <c r="M507" s="3" t="s">
        <v>97</v>
      </c>
      <c r="N507" s="29" t="s">
        <v>97</v>
      </c>
      <c r="O507" s="3" t="s">
        <v>97</v>
      </c>
      <c r="P507" s="3" t="s">
        <v>97</v>
      </c>
      <c r="Q507" s="3" t="s">
        <v>97</v>
      </c>
      <c r="R507" s="3" t="s">
        <v>97</v>
      </c>
      <c r="S507" s="29" t="s">
        <v>97</v>
      </c>
      <c r="T507" s="3" t="s">
        <v>97</v>
      </c>
      <c r="U507" s="29" t="s">
        <v>97</v>
      </c>
      <c r="V507" s="3" t="s">
        <v>97</v>
      </c>
      <c r="W507" s="29" t="s">
        <v>97</v>
      </c>
      <c r="X507" s="3" t="s">
        <v>97</v>
      </c>
      <c r="Y507" s="29" t="s">
        <v>97</v>
      </c>
      <c r="Z507" s="3" t="s">
        <v>97</v>
      </c>
      <c r="AA507" s="29" t="s">
        <v>97</v>
      </c>
      <c r="AB507" s="3" t="s">
        <v>97</v>
      </c>
      <c r="AC507" s="29" t="s">
        <v>97</v>
      </c>
      <c r="AD507" s="3" t="s">
        <v>97</v>
      </c>
      <c r="AE507" s="29" t="s">
        <v>97</v>
      </c>
      <c r="AF507" s="3" t="s">
        <v>97</v>
      </c>
      <c r="AG507" s="29" t="s">
        <v>97</v>
      </c>
      <c r="AH507" s="3" t="s">
        <v>97</v>
      </c>
      <c r="AI507" s="29" t="s">
        <v>97</v>
      </c>
      <c r="AJ507" s="3" t="s">
        <v>97</v>
      </c>
      <c r="AK507" s="3" t="s">
        <v>97</v>
      </c>
      <c r="AL507" s="29" t="s">
        <v>97</v>
      </c>
      <c r="AM507" s="29" t="s">
        <v>97</v>
      </c>
      <c r="AN507" s="29" t="s">
        <v>97</v>
      </c>
    </row>
    <row r="508" spans="2:40" ht="24.75">
      <c r="B508" s="159">
        <v>131022</v>
      </c>
      <c r="C508" s="18" t="s">
        <v>594</v>
      </c>
      <c r="D508" s="23" t="s">
        <v>514</v>
      </c>
      <c r="E508" s="28" t="s">
        <v>514</v>
      </c>
      <c r="F508" s="6" t="s">
        <v>514</v>
      </c>
      <c r="G508" s="6" t="s">
        <v>514</v>
      </c>
      <c r="H508" s="3" t="s">
        <v>97</v>
      </c>
      <c r="I508" s="3" t="s">
        <v>97</v>
      </c>
      <c r="J508" s="3" t="s">
        <v>97</v>
      </c>
      <c r="K508" s="3" t="s">
        <v>97</v>
      </c>
      <c r="L508" s="3" t="s">
        <v>97</v>
      </c>
      <c r="M508" s="3" t="s">
        <v>97</v>
      </c>
      <c r="N508" s="29" t="s">
        <v>97</v>
      </c>
      <c r="O508" s="3" t="s">
        <v>97</v>
      </c>
      <c r="P508" s="3" t="s">
        <v>97</v>
      </c>
      <c r="Q508" s="3" t="s">
        <v>97</v>
      </c>
      <c r="R508" s="3" t="s">
        <v>97</v>
      </c>
      <c r="S508" s="29" t="s">
        <v>97</v>
      </c>
      <c r="T508" s="3" t="s">
        <v>97</v>
      </c>
      <c r="U508" s="29" t="s">
        <v>97</v>
      </c>
      <c r="V508" s="3" t="s">
        <v>97</v>
      </c>
      <c r="W508" s="29" t="s">
        <v>97</v>
      </c>
      <c r="X508" s="3" t="s">
        <v>97</v>
      </c>
      <c r="Y508" s="29" t="s">
        <v>97</v>
      </c>
      <c r="Z508" s="3" t="s">
        <v>97</v>
      </c>
      <c r="AA508" s="29" t="s">
        <v>97</v>
      </c>
      <c r="AB508" s="3" t="s">
        <v>97</v>
      </c>
      <c r="AC508" s="29" t="s">
        <v>97</v>
      </c>
      <c r="AD508" s="3" t="s">
        <v>97</v>
      </c>
      <c r="AE508" s="29" t="s">
        <v>97</v>
      </c>
      <c r="AF508" s="3" t="s">
        <v>97</v>
      </c>
      <c r="AG508" s="29" t="s">
        <v>97</v>
      </c>
      <c r="AH508" s="3" t="s">
        <v>97</v>
      </c>
      <c r="AI508" s="29" t="s">
        <v>97</v>
      </c>
      <c r="AJ508" s="3" t="s">
        <v>97</v>
      </c>
      <c r="AK508" s="3" t="s">
        <v>97</v>
      </c>
      <c r="AL508" s="29" t="s">
        <v>97</v>
      </c>
      <c r="AM508" s="29" t="s">
        <v>97</v>
      </c>
      <c r="AN508" s="29" t="s">
        <v>97</v>
      </c>
    </row>
    <row r="509" spans="2:40" ht="24.75">
      <c r="B509" s="160">
        <v>131023</v>
      </c>
      <c r="C509" s="25" t="s">
        <v>595</v>
      </c>
      <c r="D509" s="54">
        <v>589187.24864999996</v>
      </c>
      <c r="E509" s="55">
        <f>D509*1.05</f>
        <v>618646.61108249996</v>
      </c>
      <c r="F509" s="75">
        <f>E509*1.045</f>
        <v>646485.70858121244</v>
      </c>
      <c r="G509" s="75">
        <f t="shared" si="286"/>
        <v>668983.41123983858</v>
      </c>
      <c r="H509" s="75">
        <f t="shared" si="287"/>
        <v>743320.84789680946</v>
      </c>
      <c r="I509" s="75">
        <f t="shared" si="288"/>
        <v>687045.96334331413</v>
      </c>
      <c r="J509" s="75">
        <f t="shared" si="288"/>
        <v>763390.51079002325</v>
      </c>
      <c r="K509" s="75">
        <f t="shared" si="289"/>
        <v>703535.0664635537</v>
      </c>
      <c r="L509" s="71">
        <f t="shared" si="289"/>
        <v>781711.88304898387</v>
      </c>
      <c r="M509" s="71">
        <f t="shared" si="290"/>
        <v>722530.51325806964</v>
      </c>
      <c r="N509" s="72">
        <f t="shared" si="290"/>
        <v>802818.10389130632</v>
      </c>
      <c r="O509" s="81">
        <f t="shared" si="291"/>
        <v>738426.18454974715</v>
      </c>
      <c r="P509" s="79">
        <f t="shared" si="291"/>
        <v>820480.10217691504</v>
      </c>
      <c r="Q509" s="100">
        <f t="shared" si="269"/>
        <v>756148.41297894111</v>
      </c>
      <c r="R509" s="81">
        <f t="shared" si="270"/>
        <v>840171.62462916097</v>
      </c>
      <c r="S509" s="100">
        <f t="shared" si="271"/>
        <v>784125.90425916191</v>
      </c>
      <c r="T509" s="79">
        <f t="shared" si="272"/>
        <v>871257.97474043991</v>
      </c>
      <c r="U509" s="100">
        <f t="shared" si="273"/>
        <v>806081.42957841849</v>
      </c>
      <c r="V509" s="119">
        <f t="shared" si="274"/>
        <v>895653.19803317229</v>
      </c>
      <c r="W509" s="81">
        <f t="shared" si="275"/>
        <v>818172.65102209465</v>
      </c>
      <c r="X509" s="81">
        <f t="shared" si="276"/>
        <v>909087.9960036698</v>
      </c>
      <c r="Y509" s="81">
        <f t="shared" si="277"/>
        <v>831263.41343844822</v>
      </c>
      <c r="Z509" s="81">
        <f t="shared" si="278"/>
        <v>923633.40393972851</v>
      </c>
      <c r="AA509" s="81">
        <f t="shared" si="279"/>
        <v>847057.41829377867</v>
      </c>
      <c r="AB509" s="81">
        <f t="shared" si="280"/>
        <v>941182.43861458322</v>
      </c>
      <c r="AC509" s="102">
        <f t="shared" si="281"/>
        <v>863151.50924136036</v>
      </c>
      <c r="AD509" s="81">
        <f t="shared" si="282"/>
        <v>959064.90494826017</v>
      </c>
      <c r="AE509" s="102">
        <f t="shared" si="283"/>
        <v>881277.69093542884</v>
      </c>
      <c r="AF509" s="81">
        <f t="shared" si="284"/>
        <v>979205.2679521736</v>
      </c>
      <c r="AG509" s="144">
        <f t="shared" si="261"/>
        <v>892734.30091758934</v>
      </c>
      <c r="AH509" s="175">
        <f t="shared" si="262"/>
        <v>991934.93643555173</v>
      </c>
      <c r="AI509" s="144">
        <f t="shared" si="263"/>
        <v>910588.98693594115</v>
      </c>
      <c r="AJ509" s="175">
        <f t="shared" si="264"/>
        <v>1011773.6351642627</v>
      </c>
      <c r="AK509" s="144">
        <f t="shared" si="265"/>
        <v>936996.06755708333</v>
      </c>
      <c r="AL509" s="175">
        <f t="shared" si="266"/>
        <v>1041115.0705840263</v>
      </c>
      <c r="AM509" s="144">
        <f t="shared" si="267"/>
        <v>996026.81981317955</v>
      </c>
      <c r="AN509" s="144">
        <f t="shared" si="268"/>
        <v>1106705.3200308199</v>
      </c>
    </row>
    <row r="510" spans="2:40" ht="15" customHeight="1">
      <c r="B510" s="180" t="s">
        <v>596</v>
      </c>
      <c r="C510" s="181"/>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182"/>
      <c r="AH510" s="182"/>
      <c r="AI510" s="182"/>
      <c r="AJ510" s="182"/>
      <c r="AK510" s="180"/>
      <c r="AL510" s="183"/>
      <c r="AM510" s="183"/>
      <c r="AN510" s="181"/>
    </row>
    <row r="511" spans="2:40">
      <c r="B511" s="158">
        <v>134011</v>
      </c>
      <c r="C511" s="27" t="s">
        <v>597</v>
      </c>
      <c r="D511" s="112">
        <v>382780.83745000005</v>
      </c>
      <c r="E511" s="118">
        <f t="shared" ref="E511:E512" si="292">D511*1.05</f>
        <v>401919.87932250008</v>
      </c>
      <c r="F511" s="70">
        <f>E511*1.045</f>
        <v>420006.27389201254</v>
      </c>
      <c r="G511" s="70">
        <f t="shared" si="286"/>
        <v>434622.49222345458</v>
      </c>
      <c r="H511" s="70">
        <f t="shared" si="287"/>
        <v>482917.74355932488</v>
      </c>
      <c r="I511" s="70">
        <f t="shared" si="288"/>
        <v>446357.29951348784</v>
      </c>
      <c r="J511" s="70">
        <f t="shared" si="288"/>
        <v>495956.52263542661</v>
      </c>
      <c r="K511" s="70">
        <f t="shared" si="289"/>
        <v>457069.87470181158</v>
      </c>
      <c r="L511" s="58">
        <f t="shared" si="289"/>
        <v>507859.47917867685</v>
      </c>
      <c r="M511" s="58">
        <f t="shared" si="290"/>
        <v>469410.76131876046</v>
      </c>
      <c r="N511" s="58">
        <f t="shared" si="290"/>
        <v>521571.68511650106</v>
      </c>
      <c r="O511" s="80">
        <f t="shared" si="291"/>
        <v>479737.79806777323</v>
      </c>
      <c r="P511" s="80">
        <f t="shared" si="291"/>
        <v>533046.26218906406</v>
      </c>
      <c r="Q511" s="101">
        <f t="shared" si="269"/>
        <v>491251.50522139977</v>
      </c>
      <c r="R511" s="80">
        <f t="shared" si="270"/>
        <v>545839.37248160166</v>
      </c>
      <c r="S511" s="101">
        <f t="shared" si="271"/>
        <v>509427.81091459154</v>
      </c>
      <c r="T511" s="80">
        <f t="shared" si="272"/>
        <v>566035.42926342087</v>
      </c>
      <c r="U511" s="101">
        <f t="shared" si="273"/>
        <v>523691.78962020011</v>
      </c>
      <c r="V511" s="114">
        <f t="shared" si="274"/>
        <v>581884.42128279665</v>
      </c>
      <c r="W511" s="80">
        <f t="shared" si="275"/>
        <v>531547.16646450304</v>
      </c>
      <c r="X511" s="80">
        <f t="shared" si="276"/>
        <v>590612.6876020385</v>
      </c>
      <c r="Y511" s="80">
        <f t="shared" si="277"/>
        <v>540051.92112793506</v>
      </c>
      <c r="Z511" s="80">
        <f t="shared" si="278"/>
        <v>600062.49060367118</v>
      </c>
      <c r="AA511" s="80">
        <f t="shared" si="279"/>
        <v>550312.9076293658</v>
      </c>
      <c r="AB511" s="80">
        <f t="shared" si="280"/>
        <v>611463.67792514083</v>
      </c>
      <c r="AC511" s="101">
        <f t="shared" si="281"/>
        <v>560768.85287432373</v>
      </c>
      <c r="AD511" s="80">
        <f t="shared" si="282"/>
        <v>623081.48780571844</v>
      </c>
      <c r="AE511" s="101">
        <f t="shared" si="283"/>
        <v>572544.99878468446</v>
      </c>
      <c r="AF511" s="80">
        <f t="shared" si="284"/>
        <v>636166.19904963847</v>
      </c>
      <c r="AG511" s="143">
        <f t="shared" si="261"/>
        <v>579988.08376888535</v>
      </c>
      <c r="AH511" s="152">
        <f t="shared" si="262"/>
        <v>644436.35963728372</v>
      </c>
      <c r="AI511" s="143">
        <f t="shared" si="263"/>
        <v>591587.84544426308</v>
      </c>
      <c r="AJ511" s="152">
        <f t="shared" si="264"/>
        <v>657325.08683002938</v>
      </c>
      <c r="AK511" s="143">
        <f t="shared" si="265"/>
        <v>608743.89296214667</v>
      </c>
      <c r="AL511" s="152">
        <f t="shared" si="266"/>
        <v>676387.51434810017</v>
      </c>
      <c r="AM511" s="143">
        <f t="shared" si="267"/>
        <v>647094.75821876188</v>
      </c>
      <c r="AN511" s="143">
        <f t="shared" si="268"/>
        <v>718999.92775203043</v>
      </c>
    </row>
    <row r="512" spans="2:40">
      <c r="B512" s="159">
        <v>134012</v>
      </c>
      <c r="C512" s="18" t="s">
        <v>598</v>
      </c>
      <c r="D512" s="16">
        <v>3239893.6047500004</v>
      </c>
      <c r="E512" s="17">
        <f t="shared" si="292"/>
        <v>3401888.2849875004</v>
      </c>
      <c r="F512" s="57">
        <f>E512*1.045</f>
        <v>3554973.2578119375</v>
      </c>
      <c r="G512" s="57">
        <f t="shared" si="286"/>
        <v>3678686.3271837928</v>
      </c>
      <c r="H512" s="57">
        <f t="shared" si="287"/>
        <v>4087461.9518604563</v>
      </c>
      <c r="I512" s="57">
        <f t="shared" si="288"/>
        <v>3778010.8580177547</v>
      </c>
      <c r="J512" s="57">
        <f t="shared" si="288"/>
        <v>4197823.4245606884</v>
      </c>
      <c r="K512" s="57">
        <f t="shared" si="289"/>
        <v>3868683.1186101809</v>
      </c>
      <c r="L512" s="9">
        <f t="shared" si="289"/>
        <v>4298571.1867501447</v>
      </c>
      <c r="M512" s="9">
        <f t="shared" si="290"/>
        <v>3973137.5628126552</v>
      </c>
      <c r="N512" s="71">
        <f t="shared" si="290"/>
        <v>4414632.6087923981</v>
      </c>
      <c r="O512" s="79">
        <f t="shared" si="291"/>
        <v>4060546.5891945339</v>
      </c>
      <c r="P512" s="78">
        <f t="shared" si="291"/>
        <v>4511754.5261858311</v>
      </c>
      <c r="Q512" s="1">
        <f t="shared" si="269"/>
        <v>4157999.707335203</v>
      </c>
      <c r="R512" s="79">
        <f t="shared" si="270"/>
        <v>4620036.6348142913</v>
      </c>
      <c r="S512" s="1">
        <f t="shared" si="271"/>
        <v>4311845.6965066055</v>
      </c>
      <c r="T512" s="78">
        <f t="shared" si="272"/>
        <v>4790977.9903024193</v>
      </c>
      <c r="U512" s="1">
        <f t="shared" si="273"/>
        <v>4432577.3760087909</v>
      </c>
      <c r="V512" s="99">
        <f t="shared" si="274"/>
        <v>4925125.3740308871</v>
      </c>
      <c r="W512" s="79">
        <f t="shared" si="275"/>
        <v>4499066.0366489226</v>
      </c>
      <c r="X512" s="79">
        <f t="shared" si="276"/>
        <v>4999002.2546413504</v>
      </c>
      <c r="Y512" s="79">
        <f t="shared" si="277"/>
        <v>4571051.0932353055</v>
      </c>
      <c r="Z512" s="79">
        <f t="shared" si="278"/>
        <v>5078986.2907156125</v>
      </c>
      <c r="AA512" s="79">
        <f t="shared" si="279"/>
        <v>4657901.0640067756</v>
      </c>
      <c r="AB512" s="79">
        <f t="shared" si="280"/>
        <v>5175487.0302392086</v>
      </c>
      <c r="AC512" s="100">
        <f t="shared" si="281"/>
        <v>4746401.184222904</v>
      </c>
      <c r="AD512" s="79">
        <f t="shared" si="282"/>
        <v>5273821.2838137532</v>
      </c>
      <c r="AE512" s="100">
        <f t="shared" si="283"/>
        <v>4846075.6090915846</v>
      </c>
      <c r="AF512" s="79">
        <f t="shared" si="284"/>
        <v>5384571.5307738418</v>
      </c>
      <c r="AG512" s="142">
        <f t="shared" si="261"/>
        <v>4909074.5920097744</v>
      </c>
      <c r="AH512" s="174">
        <f t="shared" si="262"/>
        <v>5454570.9606739013</v>
      </c>
      <c r="AI512" s="142">
        <f t="shared" si="263"/>
        <v>5007256.0838499703</v>
      </c>
      <c r="AJ512" s="174">
        <f t="shared" si="264"/>
        <v>5563662.3798873797</v>
      </c>
      <c r="AK512" s="142">
        <f t="shared" si="265"/>
        <v>5152466.5102816187</v>
      </c>
      <c r="AL512" s="174">
        <f t="shared" si="266"/>
        <v>5725008.5889041135</v>
      </c>
      <c r="AM512" s="142">
        <f t="shared" si="267"/>
        <v>5477071.9004293606</v>
      </c>
      <c r="AN512" s="142">
        <f t="shared" si="268"/>
        <v>6085684.1300050728</v>
      </c>
    </row>
    <row r="513" spans="2:40">
      <c r="B513" s="159">
        <v>134013</v>
      </c>
      <c r="C513" s="18" t="s">
        <v>599</v>
      </c>
      <c r="D513" s="23" t="s">
        <v>514</v>
      </c>
      <c r="E513" s="28" t="s">
        <v>514</v>
      </c>
      <c r="F513" s="6" t="s">
        <v>514</v>
      </c>
      <c r="G513" s="6" t="s">
        <v>514</v>
      </c>
      <c r="H513" s="3" t="s">
        <v>97</v>
      </c>
      <c r="I513" s="3" t="s">
        <v>97</v>
      </c>
      <c r="J513" s="3" t="s">
        <v>97</v>
      </c>
      <c r="K513" s="3" t="s">
        <v>97</v>
      </c>
      <c r="L513" s="3" t="s">
        <v>97</v>
      </c>
      <c r="M513" s="3" t="s">
        <v>97</v>
      </c>
      <c r="N513" s="29" t="s">
        <v>97</v>
      </c>
      <c r="O513" s="3" t="s">
        <v>97</v>
      </c>
      <c r="P513" s="3" t="s">
        <v>97</v>
      </c>
      <c r="Q513" s="3" t="s">
        <v>97</v>
      </c>
      <c r="R513" s="3" t="s">
        <v>97</v>
      </c>
      <c r="S513" s="29" t="s">
        <v>97</v>
      </c>
      <c r="T513" s="3" t="s">
        <v>97</v>
      </c>
      <c r="U513" s="29" t="s">
        <v>97</v>
      </c>
      <c r="V513" s="3" t="s">
        <v>97</v>
      </c>
      <c r="W513" s="29" t="s">
        <v>97</v>
      </c>
      <c r="X513" s="3" t="s">
        <v>97</v>
      </c>
      <c r="Y513" s="29" t="s">
        <v>97</v>
      </c>
      <c r="Z513" s="3" t="s">
        <v>97</v>
      </c>
      <c r="AA513" s="29" t="s">
        <v>97</v>
      </c>
      <c r="AB513" s="3" t="s">
        <v>97</v>
      </c>
      <c r="AC513" s="29" t="s">
        <v>97</v>
      </c>
      <c r="AD513" s="3" t="s">
        <v>97</v>
      </c>
      <c r="AE513" s="29" t="s">
        <v>97</v>
      </c>
      <c r="AF513" s="3" t="s">
        <v>97</v>
      </c>
      <c r="AG513" s="29" t="s">
        <v>97</v>
      </c>
      <c r="AH513" s="3" t="s">
        <v>97</v>
      </c>
      <c r="AI513" s="29" t="s">
        <v>97</v>
      </c>
      <c r="AJ513" s="3" t="s">
        <v>97</v>
      </c>
      <c r="AK513" s="3" t="s">
        <v>97</v>
      </c>
      <c r="AL513" s="29" t="s">
        <v>97</v>
      </c>
      <c r="AM513" s="29" t="s">
        <v>97</v>
      </c>
      <c r="AN513" s="29" t="s">
        <v>97</v>
      </c>
    </row>
    <row r="514" spans="2:40">
      <c r="B514" s="159">
        <v>134014</v>
      </c>
      <c r="C514" s="18" t="s">
        <v>600</v>
      </c>
      <c r="D514" s="23" t="s">
        <v>514</v>
      </c>
      <c r="E514" s="28" t="s">
        <v>514</v>
      </c>
      <c r="F514" s="6" t="s">
        <v>514</v>
      </c>
      <c r="G514" s="6" t="s">
        <v>514</v>
      </c>
      <c r="H514" s="3" t="s">
        <v>97</v>
      </c>
      <c r="I514" s="3" t="s">
        <v>97</v>
      </c>
      <c r="J514" s="3" t="s">
        <v>97</v>
      </c>
      <c r="K514" s="3" t="s">
        <v>97</v>
      </c>
      <c r="L514" s="3" t="s">
        <v>97</v>
      </c>
      <c r="M514" s="3" t="s">
        <v>97</v>
      </c>
      <c r="N514" s="29" t="s">
        <v>97</v>
      </c>
      <c r="O514" s="3" t="s">
        <v>97</v>
      </c>
      <c r="P514" s="3" t="s">
        <v>97</v>
      </c>
      <c r="Q514" s="3" t="s">
        <v>97</v>
      </c>
      <c r="R514" s="3" t="s">
        <v>97</v>
      </c>
      <c r="S514" s="29" t="s">
        <v>97</v>
      </c>
      <c r="T514" s="3" t="s">
        <v>97</v>
      </c>
      <c r="U514" s="29" t="s">
        <v>97</v>
      </c>
      <c r="V514" s="3" t="s">
        <v>97</v>
      </c>
      <c r="W514" s="29" t="s">
        <v>97</v>
      </c>
      <c r="X514" s="3" t="s">
        <v>97</v>
      </c>
      <c r="Y514" s="29" t="s">
        <v>97</v>
      </c>
      <c r="Z514" s="3" t="s">
        <v>97</v>
      </c>
      <c r="AA514" s="29" t="s">
        <v>97</v>
      </c>
      <c r="AB514" s="3" t="s">
        <v>97</v>
      </c>
      <c r="AC514" s="29" t="s">
        <v>97</v>
      </c>
      <c r="AD514" s="3" t="s">
        <v>97</v>
      </c>
      <c r="AE514" s="29" t="s">
        <v>97</v>
      </c>
      <c r="AF514" s="3" t="s">
        <v>97</v>
      </c>
      <c r="AG514" s="29" t="s">
        <v>97</v>
      </c>
      <c r="AH514" s="3" t="s">
        <v>97</v>
      </c>
      <c r="AI514" s="29" t="s">
        <v>97</v>
      </c>
      <c r="AJ514" s="3" t="s">
        <v>97</v>
      </c>
      <c r="AK514" s="3" t="s">
        <v>97</v>
      </c>
      <c r="AL514" s="29" t="s">
        <v>97</v>
      </c>
      <c r="AM514" s="29" t="s">
        <v>97</v>
      </c>
      <c r="AN514" s="29" t="s">
        <v>97</v>
      </c>
    </row>
    <row r="515" spans="2:40">
      <c r="B515" s="159">
        <v>134015</v>
      </c>
      <c r="C515" s="18" t="s">
        <v>601</v>
      </c>
      <c r="D515" s="16">
        <v>1325480.4315500001</v>
      </c>
      <c r="E515" s="17">
        <f t="shared" ref="E515:E524" si="293">D515*1.05</f>
        <v>1391754.4531275001</v>
      </c>
      <c r="F515" s="57">
        <f>E515*1.045</f>
        <v>1454383.4035182376</v>
      </c>
      <c r="G515" s="57">
        <f t="shared" si="286"/>
        <v>1504995.9459606723</v>
      </c>
      <c r="H515" s="57">
        <f t="shared" si="287"/>
        <v>1672231.0954758225</v>
      </c>
      <c r="I515" s="57">
        <f t="shared" si="288"/>
        <v>1545630.8365016105</v>
      </c>
      <c r="J515" s="57">
        <f t="shared" si="288"/>
        <v>1717381.3350536695</v>
      </c>
      <c r="K515" s="57">
        <f t="shared" si="289"/>
        <v>1582725.9765776491</v>
      </c>
      <c r="L515" s="9">
        <f t="shared" si="289"/>
        <v>1758598.4870949576</v>
      </c>
      <c r="M515" s="9">
        <f t="shared" si="290"/>
        <v>1625459.5779452454</v>
      </c>
      <c r="N515" s="58">
        <f t="shared" si="290"/>
        <v>1806080.6462465213</v>
      </c>
      <c r="O515" s="80">
        <f t="shared" si="291"/>
        <v>1661219.688660041</v>
      </c>
      <c r="P515" s="78">
        <f t="shared" si="291"/>
        <v>1845814.4204639448</v>
      </c>
      <c r="Q515" s="1">
        <f t="shared" si="269"/>
        <v>1701088.9611878819</v>
      </c>
      <c r="R515" s="80">
        <f t="shared" si="270"/>
        <v>1890113.9665550794</v>
      </c>
      <c r="S515" s="1">
        <f t="shared" si="271"/>
        <v>1764029.2527518333</v>
      </c>
      <c r="T515" s="78">
        <f t="shared" si="272"/>
        <v>1960048.1833176173</v>
      </c>
      <c r="U515" s="1">
        <f t="shared" si="273"/>
        <v>1813422.0718288848</v>
      </c>
      <c r="V515" s="99">
        <f t="shared" si="274"/>
        <v>2014929.5324505107</v>
      </c>
      <c r="W515" s="80">
        <f t="shared" si="275"/>
        <v>1840623.402906318</v>
      </c>
      <c r="X515" s="80">
        <f t="shared" si="276"/>
        <v>2045153.4754372681</v>
      </c>
      <c r="Y515" s="80">
        <f t="shared" si="277"/>
        <v>1870073.3773528191</v>
      </c>
      <c r="Z515" s="80">
        <f t="shared" si="278"/>
        <v>2077875.9310442645</v>
      </c>
      <c r="AA515" s="80">
        <f t="shared" si="279"/>
        <v>1905604.7715225224</v>
      </c>
      <c r="AB515" s="80">
        <f t="shared" si="280"/>
        <v>2117355.5737341051</v>
      </c>
      <c r="AC515" s="101">
        <f t="shared" si="281"/>
        <v>1941811.2621814501</v>
      </c>
      <c r="AD515" s="80">
        <f t="shared" si="282"/>
        <v>2157585.3296350529</v>
      </c>
      <c r="AE515" s="101">
        <f t="shared" si="283"/>
        <v>1982589.2986872604</v>
      </c>
      <c r="AF515" s="80">
        <f t="shared" si="284"/>
        <v>2202894.6215573889</v>
      </c>
      <c r="AG515" s="143">
        <f t="shared" si="261"/>
        <v>2008362.9595701946</v>
      </c>
      <c r="AH515" s="152">
        <f t="shared" si="262"/>
        <v>2231532.2516376348</v>
      </c>
      <c r="AI515" s="143">
        <f t="shared" si="263"/>
        <v>2048530.2187615985</v>
      </c>
      <c r="AJ515" s="152">
        <f t="shared" si="264"/>
        <v>2276162.8966703876</v>
      </c>
      <c r="AK515" s="143">
        <f t="shared" si="265"/>
        <v>2107937.5951056848</v>
      </c>
      <c r="AL515" s="152">
        <f t="shared" si="266"/>
        <v>2342171.6206738288</v>
      </c>
      <c r="AM515" s="143">
        <f t="shared" si="267"/>
        <v>2240737.663597343</v>
      </c>
      <c r="AN515" s="143">
        <f t="shared" si="268"/>
        <v>2489728.4327762797</v>
      </c>
    </row>
    <row r="516" spans="2:40">
      <c r="B516" s="160">
        <v>134016</v>
      </c>
      <c r="C516" s="25" t="s">
        <v>602</v>
      </c>
      <c r="D516" s="54">
        <v>1413794.8935000002</v>
      </c>
      <c r="E516" s="55">
        <f t="shared" si="293"/>
        <v>1484484.6381750002</v>
      </c>
      <c r="F516" s="75">
        <f>E516*1.045</f>
        <v>1551286.446892875</v>
      </c>
      <c r="G516" s="75">
        <f t="shared" si="286"/>
        <v>1605271.215244747</v>
      </c>
      <c r="H516" s="75">
        <f t="shared" si="287"/>
        <v>1783648.9526827435</v>
      </c>
      <c r="I516" s="75">
        <f t="shared" si="288"/>
        <v>1648613.538056355</v>
      </c>
      <c r="J516" s="75">
        <f t="shared" si="288"/>
        <v>1831807.4744051774</v>
      </c>
      <c r="K516" s="75">
        <f t="shared" si="289"/>
        <v>1688180.2629697076</v>
      </c>
      <c r="L516" s="71">
        <f t="shared" si="289"/>
        <v>1875770.8537909016</v>
      </c>
      <c r="M516" s="71">
        <f t="shared" si="290"/>
        <v>1733761.1300698896</v>
      </c>
      <c r="N516" s="71">
        <f t="shared" si="290"/>
        <v>1926416.6668432557</v>
      </c>
      <c r="O516" s="79">
        <f t="shared" si="291"/>
        <v>1771903.8749314272</v>
      </c>
      <c r="P516" s="79">
        <f t="shared" si="291"/>
        <v>1968797.8335138075</v>
      </c>
      <c r="Q516" s="100">
        <f t="shared" si="269"/>
        <v>1814429.5679297815</v>
      </c>
      <c r="R516" s="79">
        <f t="shared" si="270"/>
        <v>2016048.9815181389</v>
      </c>
      <c r="S516" s="100">
        <f t="shared" si="271"/>
        <v>1881563.4619431833</v>
      </c>
      <c r="T516" s="79">
        <f t="shared" si="272"/>
        <v>2090642.7938343098</v>
      </c>
      <c r="U516" s="100">
        <f t="shared" si="273"/>
        <v>1934247.2388775926</v>
      </c>
      <c r="V516" s="119">
        <f t="shared" si="274"/>
        <v>2149180.7920616707</v>
      </c>
      <c r="W516" s="79">
        <f t="shared" si="275"/>
        <v>1963260.9474607564</v>
      </c>
      <c r="X516" s="79">
        <f t="shared" si="276"/>
        <v>2181418.5039425953</v>
      </c>
      <c r="Y516" s="79">
        <f t="shared" si="277"/>
        <v>1994673.1226201286</v>
      </c>
      <c r="Z516" s="79">
        <f t="shared" si="278"/>
        <v>2216321.2000056771</v>
      </c>
      <c r="AA516" s="79">
        <f t="shared" si="279"/>
        <v>2032571.9119499109</v>
      </c>
      <c r="AB516" s="79">
        <f t="shared" si="280"/>
        <v>2258431.3028057846</v>
      </c>
      <c r="AC516" s="100">
        <f t="shared" si="281"/>
        <v>2071190.778276959</v>
      </c>
      <c r="AD516" s="79">
        <f t="shared" si="282"/>
        <v>2301341.4975590943</v>
      </c>
      <c r="AE516" s="100">
        <f t="shared" si="283"/>
        <v>2114685.7846207749</v>
      </c>
      <c r="AF516" s="79">
        <f t="shared" si="284"/>
        <v>2349669.669007835</v>
      </c>
      <c r="AG516" s="142">
        <f t="shared" si="261"/>
        <v>2142176.6998208449</v>
      </c>
      <c r="AH516" s="174">
        <f t="shared" si="262"/>
        <v>2380215.3747049365</v>
      </c>
      <c r="AI516" s="142">
        <f t="shared" si="263"/>
        <v>2185020.2338172616</v>
      </c>
      <c r="AJ516" s="174">
        <f t="shared" si="264"/>
        <v>2427819.6821990353</v>
      </c>
      <c r="AK516" s="142">
        <f t="shared" si="265"/>
        <v>2248385.820597962</v>
      </c>
      <c r="AL516" s="174">
        <f t="shared" si="266"/>
        <v>2498226.4529828071</v>
      </c>
      <c r="AM516" s="142">
        <f t="shared" si="267"/>
        <v>2390034.1272956333</v>
      </c>
      <c r="AN516" s="142">
        <f t="shared" si="268"/>
        <v>2655614.7195207239</v>
      </c>
    </row>
    <row r="517" spans="2:40" ht="15" customHeight="1">
      <c r="B517" s="180" t="s">
        <v>603</v>
      </c>
      <c r="C517" s="181"/>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182"/>
      <c r="AE517" s="182"/>
      <c r="AF517" s="182"/>
      <c r="AG517" s="182"/>
      <c r="AH517" s="182"/>
      <c r="AI517" s="182"/>
      <c r="AJ517" s="182"/>
      <c r="AK517" s="180"/>
      <c r="AL517" s="183"/>
      <c r="AM517" s="183"/>
      <c r="AN517" s="181"/>
    </row>
    <row r="518" spans="2:40">
      <c r="B518" s="158"/>
      <c r="C518" s="30" t="s">
        <v>604</v>
      </c>
      <c r="D518" s="112">
        <v>2667249.4046</v>
      </c>
      <c r="E518" s="118">
        <f t="shared" si="293"/>
        <v>2800611.8748300001</v>
      </c>
      <c r="F518" s="70">
        <f>E518*1.045</f>
        <v>2926639.40919735</v>
      </c>
      <c r="G518" s="70">
        <f t="shared" si="286"/>
        <v>3028486.4606374176</v>
      </c>
      <c r="H518" s="70">
        <f t="shared" si="287"/>
        <v>3365011.8761434476</v>
      </c>
      <c r="I518" s="70">
        <f t="shared" si="288"/>
        <v>3110255.5950746275</v>
      </c>
      <c r="J518" s="70">
        <f t="shared" si="288"/>
        <v>3455867.1967993202</v>
      </c>
      <c r="K518" s="70">
        <f t="shared" si="289"/>
        <v>3184901.7293564188</v>
      </c>
      <c r="L518" s="58">
        <f t="shared" si="289"/>
        <v>3538808.0095225037</v>
      </c>
      <c r="M518" s="58">
        <f t="shared" si="290"/>
        <v>3270894.0760490419</v>
      </c>
      <c r="N518" s="58">
        <f t="shared" si="290"/>
        <v>3634355.8257796108</v>
      </c>
      <c r="O518" s="80">
        <f t="shared" si="291"/>
        <v>3342853.7457221211</v>
      </c>
      <c r="P518" s="80">
        <f t="shared" si="291"/>
        <v>3714311.6539467624</v>
      </c>
      <c r="Q518" s="101">
        <f t="shared" si="269"/>
        <v>3423082.2356194519</v>
      </c>
      <c r="R518" s="80">
        <f t="shared" si="270"/>
        <v>3803455.1336414847</v>
      </c>
      <c r="S518" s="101">
        <f t="shared" si="271"/>
        <v>3549736.2783373711</v>
      </c>
      <c r="T518" s="80">
        <f t="shared" si="272"/>
        <v>3944182.9735862194</v>
      </c>
      <c r="U518" s="101">
        <f t="shared" si="273"/>
        <v>3649128.8941308176</v>
      </c>
      <c r="V518" s="114">
        <f t="shared" si="274"/>
        <v>4054620.0968466336</v>
      </c>
      <c r="W518" s="80">
        <f t="shared" si="275"/>
        <v>3703865.8275427795</v>
      </c>
      <c r="X518" s="80">
        <f t="shared" si="276"/>
        <v>4115439.3982993327</v>
      </c>
      <c r="Y518" s="80">
        <f t="shared" si="277"/>
        <v>3763127.6807834641</v>
      </c>
      <c r="Z518" s="80">
        <f t="shared" si="278"/>
        <v>4181286.4286721223</v>
      </c>
      <c r="AA518" s="80">
        <f t="shared" si="279"/>
        <v>3834627.1067183497</v>
      </c>
      <c r="AB518" s="80">
        <f t="shared" si="280"/>
        <v>4260730.870816892</v>
      </c>
      <c r="AC518" s="101">
        <f t="shared" si="281"/>
        <v>3907485.0217459979</v>
      </c>
      <c r="AD518" s="80">
        <f t="shared" si="282"/>
        <v>4341684.7573624123</v>
      </c>
      <c r="AE518" s="101">
        <f t="shared" si="283"/>
        <v>3989542.2072026636</v>
      </c>
      <c r="AF518" s="80">
        <f t="shared" si="284"/>
        <v>4432860.1372670224</v>
      </c>
      <c r="AG518" s="143">
        <f t="shared" si="261"/>
        <v>4041406.2558962977</v>
      </c>
      <c r="AH518" s="152">
        <f t="shared" si="262"/>
        <v>4490487.319051493</v>
      </c>
      <c r="AI518" s="143">
        <f t="shared" si="263"/>
        <v>4122234.3810142237</v>
      </c>
      <c r="AJ518" s="152">
        <f t="shared" si="264"/>
        <v>4580297.0654325224</v>
      </c>
      <c r="AK518" s="143">
        <f t="shared" si="265"/>
        <v>4241779.1780636357</v>
      </c>
      <c r="AL518" s="152">
        <f t="shared" si="266"/>
        <v>4713125.6803300651</v>
      </c>
      <c r="AM518" s="143">
        <f t="shared" si="267"/>
        <v>4509011.2662816448</v>
      </c>
      <c r="AN518" s="143">
        <f t="shared" si="268"/>
        <v>5010052.598190859</v>
      </c>
    </row>
    <row r="519" spans="2:40">
      <c r="B519" s="159"/>
      <c r="C519" s="32" t="s">
        <v>605</v>
      </c>
      <c r="D519" s="16">
        <v>1920266.8716000002</v>
      </c>
      <c r="E519" s="17">
        <f t="shared" si="293"/>
        <v>2016280.2151800003</v>
      </c>
      <c r="F519" s="57">
        <f>E519*1.045</f>
        <v>2107012.8248631</v>
      </c>
      <c r="G519" s="57">
        <f t="shared" si="286"/>
        <v>2180336.8711683359</v>
      </c>
      <c r="H519" s="57">
        <f t="shared" si="287"/>
        <v>2422615.9042925616</v>
      </c>
      <c r="I519" s="57">
        <f t="shared" si="288"/>
        <v>2239205.9666898809</v>
      </c>
      <c r="J519" s="57">
        <f t="shared" si="288"/>
        <v>2488026.5337084606</v>
      </c>
      <c r="K519" s="57">
        <f t="shared" si="289"/>
        <v>2292946.909890438</v>
      </c>
      <c r="L519" s="9">
        <f t="shared" si="289"/>
        <v>2547739.1705174637</v>
      </c>
      <c r="M519" s="9">
        <f t="shared" si="290"/>
        <v>2354856.4764574794</v>
      </c>
      <c r="N519" s="9">
        <f t="shared" si="290"/>
        <v>2616528.1281214352</v>
      </c>
      <c r="O519" s="78">
        <f t="shared" si="291"/>
        <v>2406663.3189395438</v>
      </c>
      <c r="P519" s="78">
        <f t="shared" si="291"/>
        <v>2674091.7469401066</v>
      </c>
      <c r="Q519" s="1">
        <f t="shared" si="269"/>
        <v>2464423.2385940929</v>
      </c>
      <c r="R519" s="78">
        <f t="shared" si="270"/>
        <v>2738269.9488666691</v>
      </c>
      <c r="S519" s="1">
        <f t="shared" si="271"/>
        <v>2555606.898422074</v>
      </c>
      <c r="T519" s="78">
        <f t="shared" si="272"/>
        <v>2839585.9369747355</v>
      </c>
      <c r="U519" s="1">
        <f t="shared" si="273"/>
        <v>2627163.891577892</v>
      </c>
      <c r="V519" s="99">
        <f t="shared" si="274"/>
        <v>2919094.343210028</v>
      </c>
      <c r="W519" s="78">
        <f t="shared" si="275"/>
        <v>2666571.3499515601</v>
      </c>
      <c r="X519" s="78">
        <f t="shared" si="276"/>
        <v>2962880.7583581782</v>
      </c>
      <c r="Y519" s="78">
        <f t="shared" si="277"/>
        <v>2709236.491550785</v>
      </c>
      <c r="Z519" s="78">
        <f t="shared" si="278"/>
        <v>3010286.8504919093</v>
      </c>
      <c r="AA519" s="78">
        <f t="shared" si="279"/>
        <v>2760711.9848902496</v>
      </c>
      <c r="AB519" s="78">
        <f t="shared" si="280"/>
        <v>3067482.3006512555</v>
      </c>
      <c r="AC519" s="1">
        <f t="shared" si="281"/>
        <v>2813165.5126031642</v>
      </c>
      <c r="AD519" s="78">
        <f t="shared" si="282"/>
        <v>3125764.464363629</v>
      </c>
      <c r="AE519" s="1">
        <f t="shared" si="283"/>
        <v>2872241.9883678304</v>
      </c>
      <c r="AF519" s="78">
        <f t="shared" si="284"/>
        <v>3191405.5181152648</v>
      </c>
      <c r="AG519" s="141">
        <f t="shared" si="261"/>
        <v>2909581.1342166117</v>
      </c>
      <c r="AH519" s="140">
        <f t="shared" si="262"/>
        <v>3232893.789850763</v>
      </c>
      <c r="AI519" s="141">
        <f t="shared" si="263"/>
        <v>2967772.7569009438</v>
      </c>
      <c r="AJ519" s="140">
        <f t="shared" si="264"/>
        <v>3297551.6656477782</v>
      </c>
      <c r="AK519" s="141">
        <f t="shared" si="265"/>
        <v>3053838.1668510707</v>
      </c>
      <c r="AL519" s="140">
        <f t="shared" si="266"/>
        <v>3393180.6639515636</v>
      </c>
      <c r="AM519" s="141">
        <f t="shared" si="267"/>
        <v>3246229.9713626881</v>
      </c>
      <c r="AN519" s="141">
        <f t="shared" si="268"/>
        <v>3606951.045780512</v>
      </c>
    </row>
    <row r="520" spans="2:40">
      <c r="B520" s="159"/>
      <c r="C520" s="32" t="s">
        <v>606</v>
      </c>
      <c r="D520" s="16">
        <v>1531632.3451</v>
      </c>
      <c r="E520" s="17">
        <f t="shared" si="293"/>
        <v>1608213.9623550002</v>
      </c>
      <c r="F520" s="57">
        <f>E520*1.045</f>
        <v>1680583.5906609751</v>
      </c>
      <c r="G520" s="57">
        <f t="shared" si="286"/>
        <v>1739067.899615977</v>
      </c>
      <c r="H520" s="57">
        <f t="shared" si="287"/>
        <v>1932313.1246213045</v>
      </c>
      <c r="I520" s="57">
        <f t="shared" si="288"/>
        <v>1786022.7329056081</v>
      </c>
      <c r="J520" s="57">
        <f t="shared" si="288"/>
        <v>1984485.5789860794</v>
      </c>
      <c r="K520" s="57">
        <f t="shared" si="289"/>
        <v>1828887.2784953427</v>
      </c>
      <c r="L520" s="9">
        <f t="shared" si="289"/>
        <v>2032113.2328817453</v>
      </c>
      <c r="M520" s="9">
        <f t="shared" si="290"/>
        <v>1878267.2350147169</v>
      </c>
      <c r="N520" s="9">
        <f t="shared" si="290"/>
        <v>2086980.2901695522</v>
      </c>
      <c r="O520" s="78">
        <f t="shared" si="291"/>
        <v>1919589.1141850406</v>
      </c>
      <c r="P520" s="78">
        <f t="shared" si="291"/>
        <v>2132893.8565532826</v>
      </c>
      <c r="Q520" s="1">
        <f t="shared" si="269"/>
        <v>1965659.2529254816</v>
      </c>
      <c r="R520" s="78">
        <f t="shared" si="270"/>
        <v>2184083.3091105614</v>
      </c>
      <c r="S520" s="1">
        <f t="shared" si="271"/>
        <v>2038388.6452837244</v>
      </c>
      <c r="T520" s="78">
        <f t="shared" si="272"/>
        <v>2264894.391547652</v>
      </c>
      <c r="U520" s="1">
        <f t="shared" si="273"/>
        <v>2095463.5273516688</v>
      </c>
      <c r="V520" s="99">
        <f t="shared" si="274"/>
        <v>2328311.4345109863</v>
      </c>
      <c r="W520" s="78">
        <f t="shared" si="275"/>
        <v>2126895.4802619438</v>
      </c>
      <c r="X520" s="78">
        <f t="shared" si="276"/>
        <v>2363236.1060286509</v>
      </c>
      <c r="Y520" s="78">
        <f t="shared" si="277"/>
        <v>2160925.8079461348</v>
      </c>
      <c r="Z520" s="78">
        <f t="shared" si="278"/>
        <v>2401047.8837251095</v>
      </c>
      <c r="AA520" s="78">
        <f t="shared" si="279"/>
        <v>2201983.398297111</v>
      </c>
      <c r="AB520" s="78">
        <f t="shared" si="280"/>
        <v>2446667.7935158862</v>
      </c>
      <c r="AC520" s="1">
        <f t="shared" si="281"/>
        <v>2243821.0828647558</v>
      </c>
      <c r="AD520" s="78">
        <f t="shared" si="282"/>
        <v>2493154.4815926878</v>
      </c>
      <c r="AE520" s="1">
        <f t="shared" si="283"/>
        <v>2290941.3256049156</v>
      </c>
      <c r="AF520" s="78">
        <f t="shared" si="284"/>
        <v>2545510.725706134</v>
      </c>
      <c r="AG520" s="141">
        <f t="shared" si="261"/>
        <v>2320723.5628377795</v>
      </c>
      <c r="AH520" s="140">
        <f t="shared" si="262"/>
        <v>2578602.3651403133</v>
      </c>
      <c r="AI520" s="141">
        <f t="shared" si="263"/>
        <v>2367138.0340945353</v>
      </c>
      <c r="AJ520" s="140">
        <f t="shared" si="264"/>
        <v>2630174.4124431196</v>
      </c>
      <c r="AK520" s="141">
        <f t="shared" si="265"/>
        <v>2435785.0370832765</v>
      </c>
      <c r="AL520" s="140">
        <f t="shared" si="266"/>
        <v>2706449.4704039698</v>
      </c>
      <c r="AM520" s="141">
        <f t="shared" si="267"/>
        <v>2589239.494419523</v>
      </c>
      <c r="AN520" s="141">
        <f t="shared" si="268"/>
        <v>2876955.7870394196</v>
      </c>
    </row>
    <row r="521" spans="2:40">
      <c r="B521" s="159"/>
      <c r="C521" s="32" t="s">
        <v>607</v>
      </c>
      <c r="D521" s="16">
        <v>724585.78610000014</v>
      </c>
      <c r="E521" s="17">
        <f t="shared" si="293"/>
        <v>760815.07540500013</v>
      </c>
      <c r="F521" s="57">
        <f>E521*1.045</f>
        <v>795051.75379822508</v>
      </c>
      <c r="G521" s="57">
        <f t="shared" si="286"/>
        <v>822719.5548304033</v>
      </c>
      <c r="H521" s="57">
        <f t="shared" si="287"/>
        <v>914140.1517631578</v>
      </c>
      <c r="I521" s="57">
        <f t="shared" si="288"/>
        <v>844932.98281082406</v>
      </c>
      <c r="J521" s="57">
        <f t="shared" si="288"/>
        <v>938821.93586076295</v>
      </c>
      <c r="K521" s="57">
        <f t="shared" si="289"/>
        <v>865211.37439828389</v>
      </c>
      <c r="L521" s="9">
        <f t="shared" si="289"/>
        <v>961353.66232142132</v>
      </c>
      <c r="M521" s="9">
        <f t="shared" si="290"/>
        <v>888572.08150703751</v>
      </c>
      <c r="N521" s="9">
        <f t="shared" si="290"/>
        <v>987310.21120409959</v>
      </c>
      <c r="O521" s="78">
        <f t="shared" si="291"/>
        <v>908120.66730019241</v>
      </c>
      <c r="P521" s="78">
        <f t="shared" si="291"/>
        <v>1009031.0358505897</v>
      </c>
      <c r="Q521" s="1">
        <f t="shared" si="269"/>
        <v>929915.56331539701</v>
      </c>
      <c r="R521" s="78">
        <f t="shared" si="270"/>
        <v>1033247.7807110039</v>
      </c>
      <c r="S521" s="1">
        <f t="shared" si="271"/>
        <v>964322.43915806664</v>
      </c>
      <c r="T521" s="78">
        <f t="shared" si="272"/>
        <v>1071477.948597311</v>
      </c>
      <c r="U521" s="1">
        <f t="shared" si="273"/>
        <v>991323.46745449258</v>
      </c>
      <c r="V521" s="99">
        <f t="shared" si="274"/>
        <v>1101479.3311580357</v>
      </c>
      <c r="W521" s="78">
        <f t="shared" si="275"/>
        <v>1006193.3194663099</v>
      </c>
      <c r="X521" s="78">
        <f t="shared" si="276"/>
        <v>1118001.521125406</v>
      </c>
      <c r="Y521" s="78">
        <f t="shared" si="277"/>
        <v>1022292.4125777709</v>
      </c>
      <c r="Z521" s="78">
        <f t="shared" si="278"/>
        <v>1135889.5454634125</v>
      </c>
      <c r="AA521" s="78">
        <f t="shared" si="279"/>
        <v>1041715.9684167485</v>
      </c>
      <c r="AB521" s="78">
        <f t="shared" si="280"/>
        <v>1157471.4468272172</v>
      </c>
      <c r="AC521" s="1">
        <f t="shared" si="281"/>
        <v>1061508.5718166665</v>
      </c>
      <c r="AD521" s="78">
        <f t="shared" si="282"/>
        <v>1179463.4043169343</v>
      </c>
      <c r="AE521" s="1">
        <f t="shared" si="283"/>
        <v>1083800.2518248165</v>
      </c>
      <c r="AF521" s="78">
        <f t="shared" si="284"/>
        <v>1204232.1358075899</v>
      </c>
      <c r="AG521" s="141">
        <f t="shared" ref="AG521:AG565" si="294">AE521*1.013</f>
        <v>1097889.6550985388</v>
      </c>
      <c r="AH521" s="140">
        <f t="shared" ref="AH521:AH565" si="295">AF521*1.013</f>
        <v>1219887.1535730883</v>
      </c>
      <c r="AI521" s="141">
        <f t="shared" ref="AI521:AI565" si="296">AG521*1.02</f>
        <v>1119847.4482005097</v>
      </c>
      <c r="AJ521" s="140">
        <f t="shared" ref="AJ521:AJ565" si="297">AH521*1.02</f>
        <v>1244284.8966445501</v>
      </c>
      <c r="AK521" s="141">
        <f t="shared" ref="AK521:AK565" si="298">AI521*1.029</f>
        <v>1152323.0241983244</v>
      </c>
      <c r="AL521" s="140">
        <f t="shared" ref="AL521:AL565" si="299">AJ521*1.029</f>
        <v>1280369.158647242</v>
      </c>
      <c r="AM521" s="141">
        <f t="shared" ref="AM521:AM565" si="300">AK521*1.063</f>
        <v>1224919.3747228188</v>
      </c>
      <c r="AN521" s="141">
        <f t="shared" ref="AN521:AN565" si="301">AL521*1.063</f>
        <v>1361032.4156420182</v>
      </c>
    </row>
    <row r="522" spans="2:40">
      <c r="B522" s="160"/>
      <c r="C522" s="33" t="s">
        <v>608</v>
      </c>
      <c r="D522" s="54">
        <v>617437.6939500001</v>
      </c>
      <c r="E522" s="55">
        <f t="shared" si="293"/>
        <v>648309.57864750014</v>
      </c>
      <c r="F522" s="75">
        <f>E522*1.045</f>
        <v>677483.50968663755</v>
      </c>
      <c r="G522" s="75">
        <f t="shared" si="286"/>
        <v>701059.93582373252</v>
      </c>
      <c r="H522" s="75">
        <f t="shared" si="287"/>
        <v>778961.71589246579</v>
      </c>
      <c r="I522" s="75">
        <f t="shared" si="288"/>
        <v>719988.55409097322</v>
      </c>
      <c r="J522" s="75">
        <f t="shared" si="288"/>
        <v>799993.68222156225</v>
      </c>
      <c r="K522" s="75">
        <f t="shared" si="289"/>
        <v>737268.27938915661</v>
      </c>
      <c r="L522" s="71">
        <f t="shared" si="289"/>
        <v>819193.53059487976</v>
      </c>
      <c r="M522" s="71">
        <f t="shared" si="290"/>
        <v>757174.52293266379</v>
      </c>
      <c r="N522" s="71">
        <f t="shared" si="290"/>
        <v>841311.75592094148</v>
      </c>
      <c r="O522" s="79">
        <f t="shared" si="291"/>
        <v>773832.36243718246</v>
      </c>
      <c r="P522" s="79">
        <f t="shared" si="291"/>
        <v>859820.61455120216</v>
      </c>
      <c r="Q522" s="100">
        <f t="shared" si="269"/>
        <v>792404.33913567488</v>
      </c>
      <c r="R522" s="79">
        <f t="shared" si="270"/>
        <v>880456.30930043105</v>
      </c>
      <c r="S522" s="100">
        <f t="shared" si="271"/>
        <v>821723.29968369473</v>
      </c>
      <c r="T522" s="79">
        <f t="shared" si="272"/>
        <v>913033.19274454692</v>
      </c>
      <c r="U522" s="100">
        <f t="shared" si="273"/>
        <v>844731.5520748382</v>
      </c>
      <c r="V522" s="119">
        <f t="shared" si="274"/>
        <v>938598.1221413943</v>
      </c>
      <c r="W522" s="79">
        <f t="shared" si="275"/>
        <v>857402.52535596071</v>
      </c>
      <c r="X522" s="79">
        <f t="shared" si="276"/>
        <v>952677.09397351509</v>
      </c>
      <c r="Y522" s="79">
        <f t="shared" si="277"/>
        <v>871120.96576165606</v>
      </c>
      <c r="Z522" s="79">
        <f t="shared" si="278"/>
        <v>967919.92747709132</v>
      </c>
      <c r="AA522" s="79">
        <f t="shared" si="279"/>
        <v>887672.26411112747</v>
      </c>
      <c r="AB522" s="79">
        <f t="shared" si="280"/>
        <v>986310.40609915601</v>
      </c>
      <c r="AC522" s="100">
        <f t="shared" si="281"/>
        <v>904538.03712923883</v>
      </c>
      <c r="AD522" s="79">
        <f t="shared" si="282"/>
        <v>1005050.3038150399</v>
      </c>
      <c r="AE522" s="100">
        <f t="shared" si="283"/>
        <v>923533.33590895275</v>
      </c>
      <c r="AF522" s="79">
        <f t="shared" si="284"/>
        <v>1026156.3601951557</v>
      </c>
      <c r="AG522" s="142">
        <f t="shared" si="294"/>
        <v>935539.26927576901</v>
      </c>
      <c r="AH522" s="174">
        <f t="shared" si="295"/>
        <v>1039496.3928776926</v>
      </c>
      <c r="AI522" s="142">
        <f t="shared" si="296"/>
        <v>954250.05466128443</v>
      </c>
      <c r="AJ522" s="174">
        <f t="shared" si="297"/>
        <v>1060286.3207352464</v>
      </c>
      <c r="AK522" s="142">
        <f t="shared" si="298"/>
        <v>981923.30624646158</v>
      </c>
      <c r="AL522" s="174">
        <f t="shared" si="299"/>
        <v>1091034.6240365684</v>
      </c>
      <c r="AM522" s="142">
        <f t="shared" si="300"/>
        <v>1043784.4745399886</v>
      </c>
      <c r="AN522" s="142">
        <f t="shared" si="301"/>
        <v>1159769.8053508722</v>
      </c>
    </row>
    <row r="523" spans="2:40" ht="15" customHeight="1">
      <c r="B523" s="180" t="s">
        <v>609</v>
      </c>
      <c r="C523" s="181"/>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c r="AC523" s="182"/>
      <c r="AD523" s="182"/>
      <c r="AE523" s="182"/>
      <c r="AF523" s="182"/>
      <c r="AG523" s="182"/>
      <c r="AH523" s="182"/>
      <c r="AI523" s="182"/>
      <c r="AJ523" s="182"/>
      <c r="AK523" s="180"/>
      <c r="AL523" s="183"/>
      <c r="AM523" s="183"/>
      <c r="AN523" s="181"/>
    </row>
    <row r="524" spans="2:40">
      <c r="B524" s="158"/>
      <c r="C524" s="30" t="s">
        <v>610</v>
      </c>
      <c r="D524" s="112">
        <v>3092614.6020000004</v>
      </c>
      <c r="E524" s="118">
        <f t="shared" si="293"/>
        <v>3247245.3321000007</v>
      </c>
      <c r="F524" s="70">
        <f>E524*1.045</f>
        <v>3393371.3720445004</v>
      </c>
      <c r="G524" s="70">
        <f t="shared" si="286"/>
        <v>3511460.6957916487</v>
      </c>
      <c r="H524" s="70">
        <f t="shared" si="287"/>
        <v>3901654.2083080169</v>
      </c>
      <c r="I524" s="70">
        <f t="shared" si="288"/>
        <v>3606270.1345780231</v>
      </c>
      <c r="J524" s="70">
        <f t="shared" si="288"/>
        <v>4006998.8719323329</v>
      </c>
      <c r="K524" s="70">
        <f t="shared" si="289"/>
        <v>3692820.6178078959</v>
      </c>
      <c r="L524" s="58">
        <f t="shared" si="289"/>
        <v>4103166.8448587088</v>
      </c>
      <c r="M524" s="58">
        <f t="shared" si="290"/>
        <v>3792526.7744887089</v>
      </c>
      <c r="N524" s="72">
        <f t="shared" si="290"/>
        <v>4213952.3496698933</v>
      </c>
      <c r="O524" s="81">
        <f t="shared" si="291"/>
        <v>3875962.3635274605</v>
      </c>
      <c r="P524" s="80">
        <f t="shared" si="291"/>
        <v>4306659.3013626309</v>
      </c>
      <c r="Q524" s="101">
        <f t="shared" si="269"/>
        <v>3968985.4602521197</v>
      </c>
      <c r="R524" s="81">
        <f t="shared" si="270"/>
        <v>4410019.1245953338</v>
      </c>
      <c r="S524" s="101">
        <f t="shared" si="271"/>
        <v>4115837.9222814478</v>
      </c>
      <c r="T524" s="80">
        <f t="shared" si="272"/>
        <v>4573189.8322053608</v>
      </c>
      <c r="U524" s="101">
        <f t="shared" si="273"/>
        <v>4231081.3841053285</v>
      </c>
      <c r="V524" s="114">
        <f t="shared" si="274"/>
        <v>4701239.1475071106</v>
      </c>
      <c r="W524" s="81">
        <f t="shared" si="275"/>
        <v>4294547.6048669079</v>
      </c>
      <c r="X524" s="81">
        <f t="shared" si="276"/>
        <v>4771757.7347197169</v>
      </c>
      <c r="Y524" s="81">
        <f t="shared" si="277"/>
        <v>4363260.3665447785</v>
      </c>
      <c r="Z524" s="81">
        <f t="shared" si="278"/>
        <v>4848105.8584752325</v>
      </c>
      <c r="AA524" s="81">
        <f t="shared" si="279"/>
        <v>4446162.313509129</v>
      </c>
      <c r="AB524" s="81">
        <f t="shared" si="280"/>
        <v>4940219.8697862616</v>
      </c>
      <c r="AC524" s="102">
        <f t="shared" si="281"/>
        <v>4530639.3974658018</v>
      </c>
      <c r="AD524" s="81">
        <f t="shared" si="282"/>
        <v>5034084.0473122001</v>
      </c>
      <c r="AE524" s="102">
        <f t="shared" si="283"/>
        <v>4625782.8248125836</v>
      </c>
      <c r="AF524" s="81">
        <f t="shared" si="284"/>
        <v>5139799.8123057559</v>
      </c>
      <c r="AG524" s="144">
        <f t="shared" si="294"/>
        <v>4685918.0015351465</v>
      </c>
      <c r="AH524" s="175">
        <f t="shared" si="295"/>
        <v>5206617.2098657303</v>
      </c>
      <c r="AI524" s="144">
        <f t="shared" si="296"/>
        <v>4779636.3615658497</v>
      </c>
      <c r="AJ524" s="175">
        <f t="shared" si="297"/>
        <v>5310749.5540630445</v>
      </c>
      <c r="AK524" s="144">
        <f t="shared" si="298"/>
        <v>4918245.8160512587</v>
      </c>
      <c r="AL524" s="175">
        <f t="shared" si="299"/>
        <v>5464761.2911308724</v>
      </c>
      <c r="AM524" s="144">
        <f t="shared" si="300"/>
        <v>5228095.3024624875</v>
      </c>
      <c r="AN524" s="144">
        <f t="shared" si="301"/>
        <v>5809041.2524721175</v>
      </c>
    </row>
    <row r="525" spans="2:40">
      <c r="B525" s="159"/>
      <c r="C525" s="32" t="s">
        <v>611</v>
      </c>
      <c r="D525" s="23" t="s">
        <v>514</v>
      </c>
      <c r="E525" s="28" t="s">
        <v>514</v>
      </c>
      <c r="F525" s="6" t="s">
        <v>514</v>
      </c>
      <c r="G525" s="6" t="s">
        <v>514</v>
      </c>
      <c r="H525" s="3" t="s">
        <v>97</v>
      </c>
      <c r="I525" s="3" t="s">
        <v>97</v>
      </c>
      <c r="J525" s="3" t="s">
        <v>97</v>
      </c>
      <c r="K525" s="3" t="s">
        <v>97</v>
      </c>
      <c r="L525" s="3" t="s">
        <v>97</v>
      </c>
      <c r="M525" s="3" t="s">
        <v>97</v>
      </c>
      <c r="N525" s="29" t="s">
        <v>97</v>
      </c>
      <c r="O525" s="3" t="s">
        <v>97</v>
      </c>
      <c r="P525" s="3" t="s">
        <v>97</v>
      </c>
      <c r="Q525" s="3" t="s">
        <v>97</v>
      </c>
      <c r="R525" s="3" t="s">
        <v>97</v>
      </c>
      <c r="S525" s="29" t="s">
        <v>97</v>
      </c>
      <c r="T525" s="3" t="s">
        <v>97</v>
      </c>
      <c r="U525" s="29" t="s">
        <v>97</v>
      </c>
      <c r="V525" s="3" t="s">
        <v>97</v>
      </c>
      <c r="W525" s="29" t="s">
        <v>97</v>
      </c>
      <c r="X525" s="3" t="s">
        <v>97</v>
      </c>
      <c r="Y525" s="29" t="s">
        <v>97</v>
      </c>
      <c r="Z525" s="3" t="s">
        <v>97</v>
      </c>
      <c r="AA525" s="29" t="s">
        <v>97</v>
      </c>
      <c r="AB525" s="3" t="s">
        <v>97</v>
      </c>
      <c r="AC525" s="29" t="s">
        <v>97</v>
      </c>
      <c r="AD525" s="3" t="s">
        <v>97</v>
      </c>
      <c r="AE525" s="29" t="s">
        <v>97</v>
      </c>
      <c r="AF525" s="3" t="s">
        <v>97</v>
      </c>
      <c r="AG525" s="29" t="s">
        <v>97</v>
      </c>
      <c r="AH525" s="3" t="s">
        <v>97</v>
      </c>
      <c r="AI525" s="29" t="s">
        <v>97</v>
      </c>
      <c r="AJ525" s="3" t="s">
        <v>97</v>
      </c>
      <c r="AK525" s="3" t="s">
        <v>97</v>
      </c>
      <c r="AL525" s="29" t="s">
        <v>97</v>
      </c>
      <c r="AM525" s="29" t="s">
        <v>97</v>
      </c>
      <c r="AN525" s="29" t="s">
        <v>97</v>
      </c>
    </row>
    <row r="526" spans="2:40">
      <c r="B526" s="159"/>
      <c r="C526" s="32" t="s">
        <v>612</v>
      </c>
      <c r="D526" s="23" t="s">
        <v>514</v>
      </c>
      <c r="E526" s="28" t="s">
        <v>514</v>
      </c>
      <c r="F526" s="6" t="s">
        <v>514</v>
      </c>
      <c r="G526" s="6" t="s">
        <v>514</v>
      </c>
      <c r="H526" s="3" t="s">
        <v>97</v>
      </c>
      <c r="I526" s="3" t="s">
        <v>97</v>
      </c>
      <c r="J526" s="3" t="s">
        <v>97</v>
      </c>
      <c r="K526" s="3" t="s">
        <v>97</v>
      </c>
      <c r="L526" s="3" t="s">
        <v>97</v>
      </c>
      <c r="M526" s="3" t="s">
        <v>97</v>
      </c>
      <c r="N526" s="29" t="s">
        <v>97</v>
      </c>
      <c r="O526" s="3" t="s">
        <v>97</v>
      </c>
      <c r="P526" s="3" t="s">
        <v>97</v>
      </c>
      <c r="Q526" s="3" t="s">
        <v>97</v>
      </c>
      <c r="R526" s="3" t="s">
        <v>97</v>
      </c>
      <c r="S526" s="29" t="s">
        <v>97</v>
      </c>
      <c r="T526" s="3" t="s">
        <v>97</v>
      </c>
      <c r="U526" s="29" t="s">
        <v>97</v>
      </c>
      <c r="V526" s="3" t="s">
        <v>97</v>
      </c>
      <c r="W526" s="29" t="s">
        <v>97</v>
      </c>
      <c r="X526" s="3" t="s">
        <v>97</v>
      </c>
      <c r="Y526" s="29" t="s">
        <v>97</v>
      </c>
      <c r="Z526" s="3" t="s">
        <v>97</v>
      </c>
      <c r="AA526" s="29" t="s">
        <v>97</v>
      </c>
      <c r="AB526" s="3" t="s">
        <v>97</v>
      </c>
      <c r="AC526" s="29" t="s">
        <v>97</v>
      </c>
      <c r="AD526" s="3" t="s">
        <v>97</v>
      </c>
      <c r="AE526" s="29" t="s">
        <v>97</v>
      </c>
      <c r="AF526" s="3" t="s">
        <v>97</v>
      </c>
      <c r="AG526" s="29" t="s">
        <v>97</v>
      </c>
      <c r="AH526" s="3" t="s">
        <v>97</v>
      </c>
      <c r="AI526" s="29" t="s">
        <v>97</v>
      </c>
      <c r="AJ526" s="3" t="s">
        <v>97</v>
      </c>
      <c r="AK526" s="3" t="s">
        <v>97</v>
      </c>
      <c r="AL526" s="29" t="s">
        <v>97</v>
      </c>
      <c r="AM526" s="29" t="s">
        <v>97</v>
      </c>
      <c r="AN526" s="29" t="s">
        <v>97</v>
      </c>
    </row>
    <row r="527" spans="2:40">
      <c r="B527" s="159"/>
      <c r="C527" s="32" t="s">
        <v>613</v>
      </c>
      <c r="D527" s="23" t="s">
        <v>514</v>
      </c>
      <c r="E527" s="28" t="s">
        <v>514</v>
      </c>
      <c r="F527" s="6" t="s">
        <v>514</v>
      </c>
      <c r="G527" s="6" t="s">
        <v>514</v>
      </c>
      <c r="H527" s="3" t="s">
        <v>97</v>
      </c>
      <c r="I527" s="3" t="s">
        <v>97</v>
      </c>
      <c r="J527" s="3" t="s">
        <v>97</v>
      </c>
      <c r="K527" s="3" t="s">
        <v>97</v>
      </c>
      <c r="L527" s="3" t="s">
        <v>97</v>
      </c>
      <c r="M527" s="3" t="s">
        <v>97</v>
      </c>
      <c r="N527" s="29" t="s">
        <v>97</v>
      </c>
      <c r="O527" s="3" t="s">
        <v>97</v>
      </c>
      <c r="P527" s="3" t="s">
        <v>97</v>
      </c>
      <c r="Q527" s="3" t="s">
        <v>97</v>
      </c>
      <c r="R527" s="3" t="s">
        <v>97</v>
      </c>
      <c r="S527" s="29" t="s">
        <v>97</v>
      </c>
      <c r="T527" s="3" t="s">
        <v>97</v>
      </c>
      <c r="U527" s="29" t="s">
        <v>97</v>
      </c>
      <c r="V527" s="3" t="s">
        <v>97</v>
      </c>
      <c r="W527" s="29" t="s">
        <v>97</v>
      </c>
      <c r="X527" s="3" t="s">
        <v>97</v>
      </c>
      <c r="Y527" s="29" t="s">
        <v>97</v>
      </c>
      <c r="Z527" s="3" t="s">
        <v>97</v>
      </c>
      <c r="AA527" s="29" t="s">
        <v>97</v>
      </c>
      <c r="AB527" s="3" t="s">
        <v>97</v>
      </c>
      <c r="AC527" s="29" t="s">
        <v>97</v>
      </c>
      <c r="AD527" s="3" t="s">
        <v>97</v>
      </c>
      <c r="AE527" s="29" t="s">
        <v>97</v>
      </c>
      <c r="AF527" s="3" t="s">
        <v>97</v>
      </c>
      <c r="AG527" s="29" t="s">
        <v>97</v>
      </c>
      <c r="AH527" s="3" t="s">
        <v>97</v>
      </c>
      <c r="AI527" s="29" t="s">
        <v>97</v>
      </c>
      <c r="AJ527" s="3" t="s">
        <v>97</v>
      </c>
      <c r="AK527" s="3" t="s">
        <v>97</v>
      </c>
      <c r="AL527" s="108" t="s">
        <v>97</v>
      </c>
      <c r="AM527" s="108" t="s">
        <v>97</v>
      </c>
      <c r="AN527" s="108" t="s">
        <v>97</v>
      </c>
    </row>
    <row r="528" spans="2:40">
      <c r="B528" s="159"/>
      <c r="C528" s="32" t="s">
        <v>614</v>
      </c>
      <c r="D528" s="16">
        <v>6921614.0169000011</v>
      </c>
      <c r="E528" s="17">
        <f t="shared" ref="E528:E529" si="302">D528*1.05</f>
        <v>7267694.7177450014</v>
      </c>
      <c r="F528" s="57">
        <f>E528*1.045</f>
        <v>7594740.9800435258</v>
      </c>
      <c r="G528" s="57">
        <f t="shared" si="286"/>
        <v>7859037.9661490405</v>
      </c>
      <c r="H528" s="57">
        <f t="shared" si="287"/>
        <v>8732334.2649475224</v>
      </c>
      <c r="I528" s="57">
        <f t="shared" si="288"/>
        <v>8071231.9912350643</v>
      </c>
      <c r="J528" s="57">
        <f t="shared" si="288"/>
        <v>8968107.2901011053</v>
      </c>
      <c r="K528" s="57">
        <f t="shared" si="289"/>
        <v>8264941.5590247065</v>
      </c>
      <c r="L528" s="9">
        <f t="shared" si="289"/>
        <v>9183341.8650635313</v>
      </c>
      <c r="M528" s="9">
        <f t="shared" si="290"/>
        <v>8488094.9811183736</v>
      </c>
      <c r="N528" s="58">
        <f t="shared" si="290"/>
        <v>9431292.0954202451</v>
      </c>
      <c r="O528" s="80">
        <f t="shared" si="291"/>
        <v>8674833.0707029775</v>
      </c>
      <c r="P528" s="78">
        <f t="shared" si="291"/>
        <v>9638780.5215194914</v>
      </c>
      <c r="Q528" s="1">
        <f t="shared" ref="Q525:Q565" si="303">O528*1.024</f>
        <v>8883029.0643998496</v>
      </c>
      <c r="R528" s="80">
        <f t="shared" ref="R525:R565" si="304">P528*1.024</f>
        <v>9870111.254035959</v>
      </c>
      <c r="S528" s="1">
        <f t="shared" ref="S525:S565" si="305">Q528*1.037</f>
        <v>9211701.1397826429</v>
      </c>
      <c r="T528" s="78">
        <f t="shared" ref="T525:T565" si="306">R528*1.037</f>
        <v>10235305.370435288</v>
      </c>
      <c r="U528" s="1">
        <f t="shared" ref="U525:U565" si="307">S528*1.028</f>
        <v>9469628.7716965564</v>
      </c>
      <c r="V528" s="99">
        <f t="shared" ref="V525:V565" si="308">T528*1.028</f>
        <v>10521893.920807477</v>
      </c>
      <c r="W528" s="80">
        <f t="shared" ref="W525:W565" si="309">U528*1.015</f>
        <v>9611673.2032720037</v>
      </c>
      <c r="X528" s="80">
        <f t="shared" ref="X525:X565" si="310">V528*1.015</f>
        <v>10679722.329619588</v>
      </c>
      <c r="Y528" s="80">
        <f t="shared" ref="Y525:Y565" si="311">W528*1.016</f>
        <v>9765459.9745243564</v>
      </c>
      <c r="Z528" s="80">
        <f t="shared" ref="Z525:Z565" si="312">X528*1.016</f>
        <v>10850597.886893502</v>
      </c>
      <c r="AA528" s="80">
        <f t="shared" ref="AA525:AA565" si="313">Y528*1.019</f>
        <v>9951003.7140403185</v>
      </c>
      <c r="AB528" s="80">
        <f t="shared" ref="AB525:AB565" si="314">Z528*1.019</f>
        <v>11056759.246744476</v>
      </c>
      <c r="AC528" s="101">
        <f t="shared" ref="AC525:AC565" si="315">AA528*1.019</f>
        <v>10140072.784607084</v>
      </c>
      <c r="AD528" s="80">
        <f t="shared" ref="AD525:AD565" si="316">AB528*1.019</f>
        <v>11266837.67243262</v>
      </c>
      <c r="AE528" s="101">
        <f t="shared" ref="AE525:AE565" si="317">AC528*1.021</f>
        <v>10353014.313083833</v>
      </c>
      <c r="AF528" s="80">
        <f t="shared" ref="AF525:AF565" si="318">AD528*1.021</f>
        <v>11503441.263553703</v>
      </c>
      <c r="AG528" s="143">
        <f t="shared" si="294"/>
        <v>10487603.499153921</v>
      </c>
      <c r="AH528" s="152">
        <f t="shared" si="295"/>
        <v>11652985.9999799</v>
      </c>
      <c r="AI528" s="143">
        <f t="shared" si="296"/>
        <v>10697355.569137</v>
      </c>
      <c r="AJ528" s="152">
        <f t="shared" si="297"/>
        <v>11886045.719979499</v>
      </c>
      <c r="AK528" s="143">
        <f t="shared" si="298"/>
        <v>11007578.880641971</v>
      </c>
      <c r="AL528" s="152">
        <f t="shared" si="299"/>
        <v>12230741.045858903</v>
      </c>
      <c r="AM528" s="143">
        <f t="shared" si="300"/>
        <v>11701056.350122415</v>
      </c>
      <c r="AN528" s="143">
        <f t="shared" si="301"/>
        <v>13001277.731748013</v>
      </c>
    </row>
    <row r="529" spans="2:40">
      <c r="B529" s="159"/>
      <c r="C529" s="32" t="s">
        <v>615</v>
      </c>
      <c r="D529" s="16">
        <v>2753782.3082000003</v>
      </c>
      <c r="E529" s="17">
        <f t="shared" si="302"/>
        <v>2891471.4236100004</v>
      </c>
      <c r="F529" s="57">
        <f>E529*1.045</f>
        <v>3021587.6376724504</v>
      </c>
      <c r="G529" s="57">
        <f t="shared" si="286"/>
        <v>3126738.8874634514</v>
      </c>
      <c r="H529" s="57">
        <f t="shared" si="287"/>
        <v>3474182.1126383906</v>
      </c>
      <c r="I529" s="57">
        <f t="shared" si="288"/>
        <v>3211160.8374249642</v>
      </c>
      <c r="J529" s="57">
        <f t="shared" si="288"/>
        <v>3567985.0296796267</v>
      </c>
      <c r="K529" s="57">
        <f t="shared" si="289"/>
        <v>3288228.6975231632</v>
      </c>
      <c r="L529" s="9">
        <f t="shared" si="289"/>
        <v>3653616.6703919377</v>
      </c>
      <c r="M529" s="9">
        <f t="shared" si="290"/>
        <v>3377010.8723562881</v>
      </c>
      <c r="N529" s="71">
        <f t="shared" si="290"/>
        <v>3752264.3204925195</v>
      </c>
      <c r="O529" s="79">
        <f t="shared" si="291"/>
        <v>3451305.1115481267</v>
      </c>
      <c r="P529" s="78">
        <f t="shared" si="291"/>
        <v>3834814.1355433553</v>
      </c>
      <c r="Q529" s="1">
        <f t="shared" si="303"/>
        <v>3534136.4342252817</v>
      </c>
      <c r="R529" s="79">
        <f t="shared" si="304"/>
        <v>3926849.6747963959</v>
      </c>
      <c r="S529" s="1">
        <f t="shared" si="305"/>
        <v>3664899.482291617</v>
      </c>
      <c r="T529" s="78">
        <f t="shared" si="306"/>
        <v>4072143.1127638621</v>
      </c>
      <c r="U529" s="1">
        <f t="shared" si="307"/>
        <v>3767516.6677957824</v>
      </c>
      <c r="V529" s="99">
        <f t="shared" si="308"/>
        <v>4186163.1199212503</v>
      </c>
      <c r="W529" s="79">
        <f t="shared" si="309"/>
        <v>3824029.417812719</v>
      </c>
      <c r="X529" s="79">
        <f t="shared" si="310"/>
        <v>4248955.5667200685</v>
      </c>
      <c r="Y529" s="79">
        <f t="shared" si="311"/>
        <v>3885213.8884977228</v>
      </c>
      <c r="Z529" s="79">
        <f t="shared" si="312"/>
        <v>4316938.8557875892</v>
      </c>
      <c r="AA529" s="79">
        <f t="shared" si="313"/>
        <v>3959032.9523791792</v>
      </c>
      <c r="AB529" s="79">
        <f t="shared" si="314"/>
        <v>4398960.6940475535</v>
      </c>
      <c r="AC529" s="100">
        <f t="shared" si="315"/>
        <v>4034254.5784743833</v>
      </c>
      <c r="AD529" s="79">
        <f t="shared" si="316"/>
        <v>4482540.9472344564</v>
      </c>
      <c r="AE529" s="100">
        <f t="shared" si="317"/>
        <v>4118973.9246223448</v>
      </c>
      <c r="AF529" s="79">
        <f t="shared" si="318"/>
        <v>4576674.3071263796</v>
      </c>
      <c r="AG529" s="142">
        <f t="shared" si="294"/>
        <v>4172520.5856424347</v>
      </c>
      <c r="AH529" s="174">
        <f t="shared" si="295"/>
        <v>4636171.073119022</v>
      </c>
      <c r="AI529" s="142">
        <f t="shared" si="296"/>
        <v>4255970.9973552832</v>
      </c>
      <c r="AJ529" s="174">
        <f t="shared" si="297"/>
        <v>4728894.4945814023</v>
      </c>
      <c r="AK529" s="142">
        <f t="shared" si="298"/>
        <v>4379394.156278586</v>
      </c>
      <c r="AL529" s="174">
        <f t="shared" si="299"/>
        <v>4866032.4349242626</v>
      </c>
      <c r="AM529" s="142">
        <f t="shared" si="300"/>
        <v>4655295.9881241368</v>
      </c>
      <c r="AN529" s="142">
        <f t="shared" si="301"/>
        <v>5172592.4783244906</v>
      </c>
    </row>
    <row r="530" spans="2:40">
      <c r="B530" s="160"/>
      <c r="C530" s="33" t="s">
        <v>616</v>
      </c>
      <c r="D530" s="109" t="s">
        <v>514</v>
      </c>
      <c r="E530" s="115" t="s">
        <v>514</v>
      </c>
      <c r="F530" s="136" t="s">
        <v>514</v>
      </c>
      <c r="G530" s="136" t="s">
        <v>514</v>
      </c>
      <c r="H530" s="89" t="s">
        <v>97</v>
      </c>
      <c r="I530" s="89" t="s">
        <v>97</v>
      </c>
      <c r="J530" s="89" t="s">
        <v>97</v>
      </c>
      <c r="K530" s="89" t="s">
        <v>97</v>
      </c>
      <c r="L530" s="89" t="s">
        <v>97</v>
      </c>
      <c r="M530" s="89" t="s">
        <v>97</v>
      </c>
      <c r="N530" s="90" t="s">
        <v>97</v>
      </c>
      <c r="O530" s="89" t="s">
        <v>97</v>
      </c>
      <c r="P530" s="89" t="s">
        <v>97</v>
      </c>
      <c r="Q530" s="89" t="s">
        <v>97</v>
      </c>
      <c r="R530" s="89" t="s">
        <v>97</v>
      </c>
      <c r="S530" s="90" t="s">
        <v>97</v>
      </c>
      <c r="T530" s="89" t="s">
        <v>97</v>
      </c>
      <c r="U530" s="90" t="s">
        <v>97</v>
      </c>
      <c r="V530" s="89" t="s">
        <v>97</v>
      </c>
      <c r="W530" s="90" t="s">
        <v>97</v>
      </c>
      <c r="X530" s="89" t="s">
        <v>97</v>
      </c>
      <c r="Y530" s="90" t="s">
        <v>97</v>
      </c>
      <c r="Z530" s="89" t="s">
        <v>97</v>
      </c>
      <c r="AA530" s="90" t="s">
        <v>97</v>
      </c>
      <c r="AB530" s="89" t="s">
        <v>97</v>
      </c>
      <c r="AC530" s="90" t="s">
        <v>97</v>
      </c>
      <c r="AD530" s="89" t="s">
        <v>97</v>
      </c>
      <c r="AE530" s="90" t="s">
        <v>97</v>
      </c>
      <c r="AF530" s="89" t="s">
        <v>97</v>
      </c>
      <c r="AG530" s="90" t="s">
        <v>97</v>
      </c>
      <c r="AH530" s="89" t="s">
        <v>97</v>
      </c>
      <c r="AI530" s="90" t="s">
        <v>97</v>
      </c>
      <c r="AJ530" s="89" t="s">
        <v>97</v>
      </c>
      <c r="AK530" s="89" t="s">
        <v>97</v>
      </c>
      <c r="AL530" s="90" t="s">
        <v>97</v>
      </c>
      <c r="AM530" s="90" t="s">
        <v>97</v>
      </c>
      <c r="AN530" s="90" t="s">
        <v>97</v>
      </c>
    </row>
    <row r="531" spans="2:40" ht="15" customHeight="1">
      <c r="B531" s="180" t="s">
        <v>617</v>
      </c>
      <c r="C531" s="181"/>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182"/>
      <c r="AH531" s="182"/>
      <c r="AI531" s="182"/>
      <c r="AJ531" s="182"/>
      <c r="AK531" s="180"/>
      <c r="AL531" s="183"/>
      <c r="AM531" s="183"/>
      <c r="AN531" s="181"/>
    </row>
    <row r="532" spans="2:40">
      <c r="B532" s="158"/>
      <c r="C532" s="30" t="s">
        <v>618</v>
      </c>
      <c r="D532" s="112">
        <v>1067683.6527499999</v>
      </c>
      <c r="E532" s="118">
        <f t="shared" ref="E532:E545" si="319">D532*1.05</f>
        <v>1121067.8353875</v>
      </c>
      <c r="F532" s="70">
        <f>E532*1.045</f>
        <v>1171515.8879799375</v>
      </c>
      <c r="G532" s="70">
        <f t="shared" si="286"/>
        <v>1212284.6408816392</v>
      </c>
      <c r="H532" s="70">
        <f t="shared" si="287"/>
        <v>1346993.7101764071</v>
      </c>
      <c r="I532" s="70">
        <f t="shared" si="288"/>
        <v>1245016.3261854434</v>
      </c>
      <c r="J532" s="70">
        <f t="shared" si="288"/>
        <v>1383362.5403511701</v>
      </c>
      <c r="K532" s="70">
        <f t="shared" si="289"/>
        <v>1274896.718013894</v>
      </c>
      <c r="L532" s="58">
        <f t="shared" si="289"/>
        <v>1416563.2413195982</v>
      </c>
      <c r="M532" s="58">
        <f t="shared" si="290"/>
        <v>1309318.9294002692</v>
      </c>
      <c r="N532" s="58">
        <f t="shared" si="290"/>
        <v>1454810.4488352272</v>
      </c>
      <c r="O532" s="80">
        <f t="shared" si="291"/>
        <v>1338123.9458470752</v>
      </c>
      <c r="P532" s="80">
        <f t="shared" si="291"/>
        <v>1486816.2787096023</v>
      </c>
      <c r="Q532" s="101">
        <f t="shared" si="303"/>
        <v>1370238.920547405</v>
      </c>
      <c r="R532" s="80">
        <f t="shared" si="304"/>
        <v>1522499.8693986328</v>
      </c>
      <c r="S532" s="101">
        <f t="shared" si="305"/>
        <v>1420937.7606076589</v>
      </c>
      <c r="T532" s="80">
        <f t="shared" si="306"/>
        <v>1578832.364566382</v>
      </c>
      <c r="U532" s="101">
        <f t="shared" si="307"/>
        <v>1460724.0179046735</v>
      </c>
      <c r="V532" s="114">
        <f t="shared" si="308"/>
        <v>1623039.6707742407</v>
      </c>
      <c r="W532" s="80">
        <f t="shared" si="309"/>
        <v>1482634.8781732435</v>
      </c>
      <c r="X532" s="80">
        <f t="shared" si="310"/>
        <v>1647385.2658358542</v>
      </c>
      <c r="Y532" s="80">
        <f t="shared" si="311"/>
        <v>1506357.0362240153</v>
      </c>
      <c r="Z532" s="80">
        <f t="shared" si="312"/>
        <v>1673743.4300892279</v>
      </c>
      <c r="AA532" s="80">
        <f t="shared" si="313"/>
        <v>1534977.8199122713</v>
      </c>
      <c r="AB532" s="80">
        <f t="shared" si="314"/>
        <v>1705544.555260923</v>
      </c>
      <c r="AC532" s="101">
        <f t="shared" si="315"/>
        <v>1564142.3984906042</v>
      </c>
      <c r="AD532" s="80">
        <f t="shared" si="316"/>
        <v>1737949.9018108803</v>
      </c>
      <c r="AE532" s="101">
        <f t="shared" si="317"/>
        <v>1596989.3888589067</v>
      </c>
      <c r="AF532" s="80">
        <f t="shared" si="318"/>
        <v>1774446.8497489085</v>
      </c>
      <c r="AG532" s="143">
        <f t="shared" si="294"/>
        <v>1617750.2509140724</v>
      </c>
      <c r="AH532" s="152">
        <f t="shared" si="295"/>
        <v>1797514.6587956441</v>
      </c>
      <c r="AI532" s="143">
        <f t="shared" si="296"/>
        <v>1650105.2559323539</v>
      </c>
      <c r="AJ532" s="152">
        <f t="shared" si="297"/>
        <v>1833464.951971557</v>
      </c>
      <c r="AK532" s="143">
        <f t="shared" si="298"/>
        <v>1697958.3083543919</v>
      </c>
      <c r="AL532" s="152">
        <f t="shared" si="299"/>
        <v>1886635.4355787321</v>
      </c>
      <c r="AM532" s="143">
        <f t="shared" si="300"/>
        <v>1804929.6817807185</v>
      </c>
      <c r="AN532" s="143">
        <f t="shared" si="301"/>
        <v>2005493.4680201921</v>
      </c>
    </row>
    <row r="533" spans="2:40">
      <c r="B533" s="159"/>
      <c r="C533" s="32" t="s">
        <v>619</v>
      </c>
      <c r="D533" s="16">
        <v>869115.92625000002</v>
      </c>
      <c r="E533" s="17">
        <f t="shared" si="319"/>
        <v>912571.72256250004</v>
      </c>
      <c r="F533" s="57">
        <f>E533*1.045</f>
        <v>953637.45007781254</v>
      </c>
      <c r="G533" s="57">
        <f t="shared" si="286"/>
        <v>986824.03334052034</v>
      </c>
      <c r="H533" s="57">
        <f t="shared" si="287"/>
        <v>1096479.919925319</v>
      </c>
      <c r="I533" s="57">
        <f t="shared" si="288"/>
        <v>1013468.2822407143</v>
      </c>
      <c r="J533" s="57">
        <f t="shared" si="288"/>
        <v>1126084.8777633025</v>
      </c>
      <c r="K533" s="57">
        <f t="shared" si="289"/>
        <v>1037791.5210144914</v>
      </c>
      <c r="L533" s="9">
        <f t="shared" si="289"/>
        <v>1153110.9148296218</v>
      </c>
      <c r="M533" s="9">
        <f t="shared" si="290"/>
        <v>1065811.8920818826</v>
      </c>
      <c r="N533" s="9">
        <f t="shared" si="290"/>
        <v>1184244.9095300215</v>
      </c>
      <c r="O533" s="78">
        <f t="shared" si="291"/>
        <v>1089259.7537076841</v>
      </c>
      <c r="P533" s="78">
        <f t="shared" si="291"/>
        <v>1210298.2975396819</v>
      </c>
      <c r="Q533" s="1">
        <f t="shared" si="303"/>
        <v>1115401.9877966687</v>
      </c>
      <c r="R533" s="78">
        <f t="shared" si="304"/>
        <v>1239345.4566806343</v>
      </c>
      <c r="S533" s="1">
        <f t="shared" si="305"/>
        <v>1156671.8613451454</v>
      </c>
      <c r="T533" s="78">
        <f t="shared" si="306"/>
        <v>1285201.2385778176</v>
      </c>
      <c r="U533" s="1">
        <f t="shared" si="307"/>
        <v>1189058.6734628095</v>
      </c>
      <c r="V533" s="99">
        <f t="shared" si="308"/>
        <v>1321186.8732579965</v>
      </c>
      <c r="W533" s="78">
        <f t="shared" si="309"/>
        <v>1206894.5535647515</v>
      </c>
      <c r="X533" s="78">
        <f t="shared" si="310"/>
        <v>1341004.6763568663</v>
      </c>
      <c r="Y533" s="78">
        <f t="shared" si="311"/>
        <v>1226204.8664217875</v>
      </c>
      <c r="Z533" s="78">
        <f t="shared" si="312"/>
        <v>1362460.7511785761</v>
      </c>
      <c r="AA533" s="78">
        <f t="shared" si="313"/>
        <v>1249502.7588838013</v>
      </c>
      <c r="AB533" s="78">
        <f t="shared" si="314"/>
        <v>1388347.5054509689</v>
      </c>
      <c r="AC533" s="1">
        <f t="shared" si="315"/>
        <v>1273243.3113025934</v>
      </c>
      <c r="AD533" s="78">
        <f t="shared" si="316"/>
        <v>1414726.1080545371</v>
      </c>
      <c r="AE533" s="1">
        <f t="shared" si="317"/>
        <v>1299981.4208399479</v>
      </c>
      <c r="AF533" s="78">
        <f t="shared" si="318"/>
        <v>1444435.3563236822</v>
      </c>
      <c r="AG533" s="141">
        <f t="shared" si="294"/>
        <v>1316881.1793108671</v>
      </c>
      <c r="AH533" s="140">
        <f t="shared" si="295"/>
        <v>1463213.0159558901</v>
      </c>
      <c r="AI533" s="141">
        <f t="shared" si="296"/>
        <v>1343218.8028970845</v>
      </c>
      <c r="AJ533" s="140">
        <f t="shared" si="297"/>
        <v>1492477.276275008</v>
      </c>
      <c r="AK533" s="141">
        <f t="shared" si="298"/>
        <v>1382172.1481810999</v>
      </c>
      <c r="AL533" s="140">
        <f t="shared" si="299"/>
        <v>1535759.1172869832</v>
      </c>
      <c r="AM533" s="141">
        <f t="shared" si="300"/>
        <v>1469248.9935165092</v>
      </c>
      <c r="AN533" s="141">
        <f t="shared" si="301"/>
        <v>1632511.941676063</v>
      </c>
    </row>
    <row r="534" spans="2:40">
      <c r="B534" s="159"/>
      <c r="C534" s="32" t="s">
        <v>620</v>
      </c>
      <c r="D534" s="16">
        <v>863038.42625000002</v>
      </c>
      <c r="E534" s="17">
        <f t="shared" si="319"/>
        <v>906190.34756250004</v>
      </c>
      <c r="F534" s="57">
        <f>E534*1.045</f>
        <v>946968.91320281243</v>
      </c>
      <c r="G534" s="57">
        <f t="shared" si="286"/>
        <v>979923.4313822703</v>
      </c>
      <c r="H534" s="57">
        <f t="shared" si="287"/>
        <v>1088812.5230774684</v>
      </c>
      <c r="I534" s="57">
        <f t="shared" si="288"/>
        <v>1006381.3640295916</v>
      </c>
      <c r="J534" s="57">
        <f t="shared" si="288"/>
        <v>1118210.46120056</v>
      </c>
      <c r="K534" s="57">
        <f t="shared" si="289"/>
        <v>1030534.5167663018</v>
      </c>
      <c r="L534" s="9">
        <f t="shared" si="289"/>
        <v>1145047.5122693735</v>
      </c>
      <c r="M534" s="9">
        <f t="shared" si="290"/>
        <v>1058358.9487189918</v>
      </c>
      <c r="N534" s="9">
        <f t="shared" si="290"/>
        <v>1175963.7951006466</v>
      </c>
      <c r="O534" s="78">
        <f t="shared" si="291"/>
        <v>1081642.8455908096</v>
      </c>
      <c r="P534" s="78">
        <f t="shared" si="291"/>
        <v>1201834.9985928608</v>
      </c>
      <c r="Q534" s="1">
        <f t="shared" si="303"/>
        <v>1107602.2738849891</v>
      </c>
      <c r="R534" s="78">
        <f t="shared" si="304"/>
        <v>1230679.0385590894</v>
      </c>
      <c r="S534" s="1">
        <f t="shared" si="305"/>
        <v>1148583.5580187335</v>
      </c>
      <c r="T534" s="78">
        <f t="shared" si="306"/>
        <v>1276214.1629857756</v>
      </c>
      <c r="U534" s="1">
        <f t="shared" si="307"/>
        <v>1180743.8976432581</v>
      </c>
      <c r="V534" s="99">
        <f t="shared" si="308"/>
        <v>1311948.1595493774</v>
      </c>
      <c r="W534" s="78">
        <f t="shared" si="309"/>
        <v>1198455.0561079069</v>
      </c>
      <c r="X534" s="78">
        <f t="shared" si="310"/>
        <v>1331627.3819426179</v>
      </c>
      <c r="Y534" s="78">
        <f t="shared" si="311"/>
        <v>1217630.3370056334</v>
      </c>
      <c r="Z534" s="78">
        <f t="shared" si="312"/>
        <v>1352933.4200536998</v>
      </c>
      <c r="AA534" s="78">
        <f t="shared" si="313"/>
        <v>1240765.3134087403</v>
      </c>
      <c r="AB534" s="78">
        <f t="shared" si="314"/>
        <v>1378639.15503472</v>
      </c>
      <c r="AC534" s="1">
        <f t="shared" si="315"/>
        <v>1264339.8543635062</v>
      </c>
      <c r="AD534" s="78">
        <f t="shared" si="316"/>
        <v>1404833.2989803795</v>
      </c>
      <c r="AE534" s="1">
        <f t="shared" si="317"/>
        <v>1290890.9913051396</v>
      </c>
      <c r="AF534" s="78">
        <f t="shared" si="318"/>
        <v>1434334.7982589672</v>
      </c>
      <c r="AG534" s="141">
        <f t="shared" si="294"/>
        <v>1307672.5741921063</v>
      </c>
      <c r="AH534" s="140">
        <f t="shared" si="295"/>
        <v>1452981.1506363337</v>
      </c>
      <c r="AI534" s="141">
        <f t="shared" si="296"/>
        <v>1333826.0256759485</v>
      </c>
      <c r="AJ534" s="140">
        <f t="shared" si="297"/>
        <v>1482040.7736490604</v>
      </c>
      <c r="AK534" s="141">
        <f t="shared" si="298"/>
        <v>1372506.9804205508</v>
      </c>
      <c r="AL534" s="140">
        <f t="shared" si="299"/>
        <v>1525019.9560848831</v>
      </c>
      <c r="AM534" s="141">
        <f t="shared" si="300"/>
        <v>1458974.9201870454</v>
      </c>
      <c r="AN534" s="141">
        <f t="shared" si="301"/>
        <v>1621096.2133182306</v>
      </c>
    </row>
    <row r="535" spans="2:40">
      <c r="B535" s="159"/>
      <c r="C535" s="32" t="s">
        <v>621</v>
      </c>
      <c r="D535" s="16">
        <v>721531.69275000005</v>
      </c>
      <c r="E535" s="17">
        <f t="shared" si="319"/>
        <v>757608.27738750004</v>
      </c>
      <c r="F535" s="57">
        <f>E535*1.045</f>
        <v>791700.64986993745</v>
      </c>
      <c r="G535" s="57">
        <f t="shared" si="286"/>
        <v>819251.8324854112</v>
      </c>
      <c r="H535" s="57">
        <f t="shared" si="287"/>
        <v>910287.09611119016</v>
      </c>
      <c r="I535" s="57">
        <f t="shared" si="288"/>
        <v>841371.63196251728</v>
      </c>
      <c r="J535" s="57">
        <f t="shared" si="288"/>
        <v>934864.84770619217</v>
      </c>
      <c r="K535" s="57">
        <f t="shared" si="289"/>
        <v>861564.55112961773</v>
      </c>
      <c r="L535" s="9">
        <f t="shared" si="289"/>
        <v>957301.60405114084</v>
      </c>
      <c r="M535" s="9">
        <f t="shared" si="290"/>
        <v>884826.7940101173</v>
      </c>
      <c r="N535" s="9">
        <f t="shared" si="290"/>
        <v>983148.74736052158</v>
      </c>
      <c r="O535" s="78">
        <f t="shared" si="291"/>
        <v>904292.98347833985</v>
      </c>
      <c r="P535" s="78">
        <f t="shared" si="291"/>
        <v>1004778.0198024531</v>
      </c>
      <c r="Q535" s="1">
        <f t="shared" si="303"/>
        <v>925996.01508182008</v>
      </c>
      <c r="R535" s="78">
        <f t="shared" si="304"/>
        <v>1028892.692277712</v>
      </c>
      <c r="S535" s="1">
        <f t="shared" si="305"/>
        <v>960257.86763984733</v>
      </c>
      <c r="T535" s="78">
        <f t="shared" si="306"/>
        <v>1066961.7218919874</v>
      </c>
      <c r="U535" s="1">
        <f t="shared" si="307"/>
        <v>987145.08793376305</v>
      </c>
      <c r="V535" s="99">
        <f t="shared" si="308"/>
        <v>1096836.650104963</v>
      </c>
      <c r="W535" s="78">
        <f t="shared" si="309"/>
        <v>1001952.2642527694</v>
      </c>
      <c r="X535" s="78">
        <f t="shared" si="310"/>
        <v>1113289.1998565374</v>
      </c>
      <c r="Y535" s="78">
        <f t="shared" si="311"/>
        <v>1017983.5004808138</v>
      </c>
      <c r="Z535" s="78">
        <f t="shared" si="312"/>
        <v>1131101.8270542419</v>
      </c>
      <c r="AA535" s="78">
        <f t="shared" si="313"/>
        <v>1037325.1869899492</v>
      </c>
      <c r="AB535" s="78">
        <f t="shared" si="314"/>
        <v>1152592.7617682724</v>
      </c>
      <c r="AC535" s="1">
        <f t="shared" si="315"/>
        <v>1057034.365542758</v>
      </c>
      <c r="AD535" s="78">
        <f t="shared" si="316"/>
        <v>1174492.0242418693</v>
      </c>
      <c r="AE535" s="1">
        <f t="shared" si="317"/>
        <v>1079232.0872191559</v>
      </c>
      <c r="AF535" s="78">
        <f t="shared" si="318"/>
        <v>1199156.3567509486</v>
      </c>
      <c r="AG535" s="141">
        <f t="shared" si="294"/>
        <v>1093262.1043530048</v>
      </c>
      <c r="AH535" s="140">
        <f t="shared" si="295"/>
        <v>1214745.3893887107</v>
      </c>
      <c r="AI535" s="141">
        <f t="shared" si="296"/>
        <v>1115127.346440065</v>
      </c>
      <c r="AJ535" s="140">
        <f t="shared" si="297"/>
        <v>1239040.2971764849</v>
      </c>
      <c r="AK535" s="141">
        <f t="shared" si="298"/>
        <v>1147466.0394868266</v>
      </c>
      <c r="AL535" s="140">
        <f t="shared" si="299"/>
        <v>1274972.4657946029</v>
      </c>
      <c r="AM535" s="141">
        <f t="shared" si="300"/>
        <v>1219756.3999744966</v>
      </c>
      <c r="AN535" s="141">
        <f t="shared" si="301"/>
        <v>1355295.7311396627</v>
      </c>
    </row>
    <row r="536" spans="2:40">
      <c r="B536" s="160"/>
      <c r="C536" s="33" t="s">
        <v>622</v>
      </c>
      <c r="D536" s="54">
        <v>500618.28905000008</v>
      </c>
      <c r="E536" s="55">
        <f t="shared" si="319"/>
        <v>525649.20350250008</v>
      </c>
      <c r="F536" s="75">
        <f>E536*1.045</f>
        <v>549303.41766011249</v>
      </c>
      <c r="G536" s="75">
        <f t="shared" si="286"/>
        <v>568419.17659468437</v>
      </c>
      <c r="H536" s="75">
        <f t="shared" si="287"/>
        <v>631581.91549788578</v>
      </c>
      <c r="I536" s="75">
        <f t="shared" si="288"/>
        <v>583766.49436274078</v>
      </c>
      <c r="J536" s="75">
        <f t="shared" si="288"/>
        <v>648634.62721632863</v>
      </c>
      <c r="K536" s="75">
        <f t="shared" si="289"/>
        <v>597776.89022744657</v>
      </c>
      <c r="L536" s="71">
        <f t="shared" si="289"/>
        <v>664201.85826952057</v>
      </c>
      <c r="M536" s="71">
        <f t="shared" si="290"/>
        <v>613916.86626358761</v>
      </c>
      <c r="N536" s="71">
        <f t="shared" si="290"/>
        <v>682135.30844279751</v>
      </c>
      <c r="O536" s="79">
        <f t="shared" si="291"/>
        <v>627423.03732138651</v>
      </c>
      <c r="P536" s="79">
        <f t="shared" si="291"/>
        <v>697142.28522853903</v>
      </c>
      <c r="Q536" s="100">
        <f t="shared" si="303"/>
        <v>642481.19021709985</v>
      </c>
      <c r="R536" s="79">
        <f t="shared" si="304"/>
        <v>713873.70007402403</v>
      </c>
      <c r="S536" s="100">
        <f t="shared" si="305"/>
        <v>666252.99425513251</v>
      </c>
      <c r="T536" s="79">
        <f t="shared" si="306"/>
        <v>740287.02697676292</v>
      </c>
      <c r="U536" s="100">
        <f t="shared" si="307"/>
        <v>684908.07809427625</v>
      </c>
      <c r="V536" s="119">
        <f t="shared" si="308"/>
        <v>761015.06373211229</v>
      </c>
      <c r="W536" s="79">
        <f t="shared" si="309"/>
        <v>695181.69926569029</v>
      </c>
      <c r="X536" s="79">
        <f t="shared" si="310"/>
        <v>772430.28968809394</v>
      </c>
      <c r="Y536" s="79">
        <f t="shared" si="311"/>
        <v>706304.60645394132</v>
      </c>
      <c r="Z536" s="79">
        <f t="shared" si="312"/>
        <v>784789.17432310351</v>
      </c>
      <c r="AA536" s="79">
        <f t="shared" si="313"/>
        <v>719724.39397656615</v>
      </c>
      <c r="AB536" s="79">
        <f t="shared" si="314"/>
        <v>799700.16863524239</v>
      </c>
      <c r="AC536" s="100">
        <f t="shared" si="315"/>
        <v>733399.15746212087</v>
      </c>
      <c r="AD536" s="79">
        <f t="shared" si="316"/>
        <v>814894.47183931188</v>
      </c>
      <c r="AE536" s="100">
        <f t="shared" si="317"/>
        <v>748800.53976882529</v>
      </c>
      <c r="AF536" s="79">
        <f t="shared" si="318"/>
        <v>832007.25574793736</v>
      </c>
      <c r="AG536" s="142">
        <f t="shared" si="294"/>
        <v>758534.94678581995</v>
      </c>
      <c r="AH536" s="174">
        <f t="shared" si="295"/>
        <v>842823.35007266048</v>
      </c>
      <c r="AI536" s="142">
        <f t="shared" si="296"/>
        <v>773705.64572153636</v>
      </c>
      <c r="AJ536" s="174">
        <f t="shared" si="297"/>
        <v>859679.81707411376</v>
      </c>
      <c r="AK536" s="142">
        <f t="shared" si="298"/>
        <v>796143.10944746085</v>
      </c>
      <c r="AL536" s="174">
        <f t="shared" si="299"/>
        <v>884610.53176926298</v>
      </c>
      <c r="AM536" s="142">
        <f t="shared" si="300"/>
        <v>846300.1253426508</v>
      </c>
      <c r="AN536" s="142">
        <f t="shared" si="301"/>
        <v>940340.9952707265</v>
      </c>
    </row>
    <row r="537" spans="2:40" ht="15" customHeight="1">
      <c r="B537" s="180" t="s">
        <v>623</v>
      </c>
      <c r="C537" s="181"/>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c r="AC537" s="182"/>
      <c r="AD537" s="182"/>
      <c r="AE537" s="182"/>
      <c r="AF537" s="182"/>
      <c r="AG537" s="182"/>
      <c r="AH537" s="182"/>
      <c r="AI537" s="182"/>
      <c r="AJ537" s="182"/>
      <c r="AK537" s="180"/>
      <c r="AL537" s="183"/>
      <c r="AM537" s="183"/>
      <c r="AN537" s="181"/>
    </row>
    <row r="538" spans="2:40">
      <c r="B538" s="168"/>
      <c r="C538" s="48" t="s">
        <v>624</v>
      </c>
      <c r="D538" s="112">
        <v>471942.65250000003</v>
      </c>
      <c r="E538" s="118">
        <f t="shared" si="319"/>
        <v>495539.78512500005</v>
      </c>
      <c r="F538" s="70">
        <f>E538*1.045</f>
        <v>517839.07545562502</v>
      </c>
      <c r="G538" s="70">
        <f t="shared" si="286"/>
        <v>535859.87528148072</v>
      </c>
      <c r="H538" s="70">
        <f t="shared" si="287"/>
        <v>595404.62462275894</v>
      </c>
      <c r="I538" s="70">
        <f t="shared" si="288"/>
        <v>550328.09191408067</v>
      </c>
      <c r="J538" s="70">
        <f t="shared" si="288"/>
        <v>611480.54948757333</v>
      </c>
      <c r="K538" s="70">
        <f t="shared" si="289"/>
        <v>563535.96612001862</v>
      </c>
      <c r="L538" s="58">
        <f t="shared" si="289"/>
        <v>626156.08267527504</v>
      </c>
      <c r="M538" s="58">
        <f t="shared" si="290"/>
        <v>578751.43720525911</v>
      </c>
      <c r="N538" s="58">
        <f t="shared" si="290"/>
        <v>643062.29690750747</v>
      </c>
      <c r="O538" s="80">
        <f t="shared" si="291"/>
        <v>591483.96882377483</v>
      </c>
      <c r="P538" s="80">
        <f t="shared" si="291"/>
        <v>657209.66743947263</v>
      </c>
      <c r="Q538" s="101">
        <f t="shared" si="303"/>
        <v>605679.58407554543</v>
      </c>
      <c r="R538" s="80">
        <f t="shared" si="304"/>
        <v>672982.69945802004</v>
      </c>
      <c r="S538" s="101">
        <f t="shared" si="305"/>
        <v>628089.7286863405</v>
      </c>
      <c r="T538" s="80">
        <f t="shared" si="306"/>
        <v>697883.05933796673</v>
      </c>
      <c r="U538" s="101">
        <f t="shared" si="307"/>
        <v>645676.241089558</v>
      </c>
      <c r="V538" s="114">
        <f t="shared" si="308"/>
        <v>717423.78499942983</v>
      </c>
      <c r="W538" s="80">
        <f t="shared" si="309"/>
        <v>655361.38470590126</v>
      </c>
      <c r="X538" s="80">
        <f t="shared" si="310"/>
        <v>728185.14177442121</v>
      </c>
      <c r="Y538" s="80">
        <f t="shared" si="311"/>
        <v>665847.1668611957</v>
      </c>
      <c r="Z538" s="80">
        <f t="shared" si="312"/>
        <v>739836.1040428119</v>
      </c>
      <c r="AA538" s="80">
        <f t="shared" si="313"/>
        <v>678498.26303155837</v>
      </c>
      <c r="AB538" s="80">
        <f t="shared" si="314"/>
        <v>753892.99001962529</v>
      </c>
      <c r="AC538" s="101">
        <f t="shared" si="315"/>
        <v>691389.73002915794</v>
      </c>
      <c r="AD538" s="80">
        <f t="shared" si="316"/>
        <v>768216.95682999806</v>
      </c>
      <c r="AE538" s="101">
        <f t="shared" si="317"/>
        <v>705908.91435977025</v>
      </c>
      <c r="AF538" s="80">
        <f t="shared" si="318"/>
        <v>784349.51292342797</v>
      </c>
      <c r="AG538" s="143">
        <f t="shared" si="294"/>
        <v>715085.73024644714</v>
      </c>
      <c r="AH538" s="152">
        <f t="shared" si="295"/>
        <v>794546.05659143243</v>
      </c>
      <c r="AI538" s="143">
        <f t="shared" si="296"/>
        <v>729387.44485137612</v>
      </c>
      <c r="AJ538" s="152">
        <f t="shared" si="297"/>
        <v>810436.97772326111</v>
      </c>
      <c r="AK538" s="143">
        <f t="shared" si="298"/>
        <v>750539.68075206596</v>
      </c>
      <c r="AL538" s="152">
        <f t="shared" si="299"/>
        <v>833939.65007723565</v>
      </c>
      <c r="AM538" s="143">
        <f t="shared" si="300"/>
        <v>797823.68063944613</v>
      </c>
      <c r="AN538" s="143">
        <f t="shared" si="301"/>
        <v>886477.84803210141</v>
      </c>
    </row>
    <row r="539" spans="2:40">
      <c r="B539" s="169"/>
      <c r="C539" s="49" t="s">
        <v>625</v>
      </c>
      <c r="D539" s="16">
        <v>643556.51690000005</v>
      </c>
      <c r="E539" s="17">
        <f t="shared" si="319"/>
        <v>675734.34274500003</v>
      </c>
      <c r="F539" s="57">
        <f>E539*1.045</f>
        <v>706142.38816852495</v>
      </c>
      <c r="G539" s="57">
        <f t="shared" si="286"/>
        <v>730716.14327678957</v>
      </c>
      <c r="H539" s="57">
        <f t="shared" si="287"/>
        <v>811913.32111770648</v>
      </c>
      <c r="I539" s="57">
        <f t="shared" si="288"/>
        <v>750445.47914526286</v>
      </c>
      <c r="J539" s="57">
        <f t="shared" si="288"/>
        <v>833834.98078788444</v>
      </c>
      <c r="K539" s="57">
        <f t="shared" si="289"/>
        <v>768456.17064474919</v>
      </c>
      <c r="L539" s="9">
        <f t="shared" si="289"/>
        <v>853847.02032679366</v>
      </c>
      <c r="M539" s="9">
        <f t="shared" si="290"/>
        <v>789204.4872521573</v>
      </c>
      <c r="N539" s="9">
        <f t="shared" si="290"/>
        <v>876900.88987561699</v>
      </c>
      <c r="O539" s="78">
        <f t="shared" si="291"/>
        <v>806566.98597170482</v>
      </c>
      <c r="P539" s="78">
        <f t="shared" si="291"/>
        <v>896192.70945288055</v>
      </c>
      <c r="Q539" s="1">
        <f t="shared" si="303"/>
        <v>825924.59363502578</v>
      </c>
      <c r="R539" s="78">
        <f t="shared" si="304"/>
        <v>917701.33447974967</v>
      </c>
      <c r="S539" s="1">
        <f t="shared" si="305"/>
        <v>856483.80359952163</v>
      </c>
      <c r="T539" s="78">
        <f t="shared" si="306"/>
        <v>951656.28385550028</v>
      </c>
      <c r="U539" s="1">
        <f t="shared" si="307"/>
        <v>880465.35010030831</v>
      </c>
      <c r="V539" s="99">
        <f t="shared" si="308"/>
        <v>978302.6598034543</v>
      </c>
      <c r="W539" s="78">
        <f t="shared" si="309"/>
        <v>893672.33035181288</v>
      </c>
      <c r="X539" s="78">
        <f t="shared" si="310"/>
        <v>992977.19970050605</v>
      </c>
      <c r="Y539" s="78">
        <f t="shared" si="311"/>
        <v>907971.08763744193</v>
      </c>
      <c r="Z539" s="78">
        <f t="shared" si="312"/>
        <v>1008864.8348957142</v>
      </c>
      <c r="AA539" s="78">
        <f t="shared" si="313"/>
        <v>925222.53830255324</v>
      </c>
      <c r="AB539" s="78">
        <f t="shared" si="314"/>
        <v>1028033.2667587326</v>
      </c>
      <c r="AC539" s="1">
        <f t="shared" si="315"/>
        <v>942801.76653030165</v>
      </c>
      <c r="AD539" s="78">
        <f t="shared" si="316"/>
        <v>1047565.8988271485</v>
      </c>
      <c r="AE539" s="1">
        <f t="shared" si="317"/>
        <v>962600.60362743796</v>
      </c>
      <c r="AF539" s="78">
        <f t="shared" si="318"/>
        <v>1069564.7827025184</v>
      </c>
      <c r="AG539" s="141">
        <f t="shared" si="294"/>
        <v>975114.41147459461</v>
      </c>
      <c r="AH539" s="140">
        <f t="shared" si="295"/>
        <v>1083469.124877651</v>
      </c>
      <c r="AI539" s="141">
        <f t="shared" si="296"/>
        <v>994616.69970408652</v>
      </c>
      <c r="AJ539" s="140">
        <f t="shared" si="297"/>
        <v>1105138.507375204</v>
      </c>
      <c r="AK539" s="141">
        <f t="shared" si="298"/>
        <v>1023460.583995505</v>
      </c>
      <c r="AL539" s="140">
        <f t="shared" si="299"/>
        <v>1137187.5240890849</v>
      </c>
      <c r="AM539" s="141">
        <f t="shared" si="300"/>
        <v>1087938.6007872217</v>
      </c>
      <c r="AN539" s="141">
        <f t="shared" si="301"/>
        <v>1208830.3381066972</v>
      </c>
    </row>
    <row r="540" spans="2:40">
      <c r="B540" s="170"/>
      <c r="C540" s="50" t="s">
        <v>626</v>
      </c>
      <c r="D540" s="54">
        <v>757579.58925000008</v>
      </c>
      <c r="E540" s="55">
        <f t="shared" si="319"/>
        <v>795458.56871250016</v>
      </c>
      <c r="F540" s="75">
        <f>E540*1.045</f>
        <v>831254.20430456265</v>
      </c>
      <c r="G540" s="75">
        <f t="shared" si="286"/>
        <v>860181.85061436135</v>
      </c>
      <c r="H540" s="75">
        <f t="shared" si="287"/>
        <v>955765.25785462931</v>
      </c>
      <c r="I540" s="75">
        <f t="shared" si="288"/>
        <v>883406.76058094902</v>
      </c>
      <c r="J540" s="75">
        <f t="shared" si="288"/>
        <v>981570.91981670423</v>
      </c>
      <c r="K540" s="75">
        <f t="shared" si="289"/>
        <v>904608.5228348918</v>
      </c>
      <c r="L540" s="71">
        <f t="shared" si="289"/>
        <v>1005128.6218923052</v>
      </c>
      <c r="M540" s="71">
        <f t="shared" si="290"/>
        <v>929032.95295143384</v>
      </c>
      <c r="N540" s="71">
        <f t="shared" si="290"/>
        <v>1032267.0946833973</v>
      </c>
      <c r="O540" s="79">
        <f t="shared" si="291"/>
        <v>949471.67791636544</v>
      </c>
      <c r="P540" s="79">
        <f t="shared" si="291"/>
        <v>1054976.9707664321</v>
      </c>
      <c r="Q540" s="100">
        <f t="shared" si="303"/>
        <v>972258.99818635825</v>
      </c>
      <c r="R540" s="79">
        <f t="shared" si="304"/>
        <v>1080296.4180648264</v>
      </c>
      <c r="S540" s="100">
        <f t="shared" si="305"/>
        <v>1008232.5811192534</v>
      </c>
      <c r="T540" s="79">
        <f t="shared" si="306"/>
        <v>1120267.3855332248</v>
      </c>
      <c r="U540" s="100">
        <f t="shared" si="307"/>
        <v>1036463.0933905925</v>
      </c>
      <c r="V540" s="119">
        <f t="shared" si="308"/>
        <v>1151634.8723281552</v>
      </c>
      <c r="W540" s="79">
        <f t="shared" si="309"/>
        <v>1052010.0397914513</v>
      </c>
      <c r="X540" s="79">
        <f t="shared" si="310"/>
        <v>1168909.3954130774</v>
      </c>
      <c r="Y540" s="79">
        <f t="shared" si="311"/>
        <v>1068842.2004281145</v>
      </c>
      <c r="Z540" s="79">
        <f t="shared" si="312"/>
        <v>1187611.9457396867</v>
      </c>
      <c r="AA540" s="79">
        <f t="shared" si="313"/>
        <v>1089150.2022362486</v>
      </c>
      <c r="AB540" s="79">
        <f t="shared" si="314"/>
        <v>1210176.5727087406</v>
      </c>
      <c r="AC540" s="100">
        <f t="shared" si="315"/>
        <v>1109844.0560787374</v>
      </c>
      <c r="AD540" s="79">
        <f t="shared" si="316"/>
        <v>1233169.9275902065</v>
      </c>
      <c r="AE540" s="100">
        <f t="shared" si="317"/>
        <v>1133150.7812563907</v>
      </c>
      <c r="AF540" s="79">
        <f t="shared" si="318"/>
        <v>1259066.4960696008</v>
      </c>
      <c r="AG540" s="142">
        <f t="shared" si="294"/>
        <v>1147881.7414127237</v>
      </c>
      <c r="AH540" s="174">
        <f t="shared" si="295"/>
        <v>1275434.3605185056</v>
      </c>
      <c r="AI540" s="142">
        <f t="shared" si="296"/>
        <v>1170839.3762409783</v>
      </c>
      <c r="AJ540" s="174">
        <f t="shared" si="297"/>
        <v>1300943.0477288757</v>
      </c>
      <c r="AK540" s="142">
        <f t="shared" si="298"/>
        <v>1204793.7181519666</v>
      </c>
      <c r="AL540" s="174">
        <f t="shared" si="299"/>
        <v>1338670.3961130129</v>
      </c>
      <c r="AM540" s="142">
        <f t="shared" si="300"/>
        <v>1280695.7223955404</v>
      </c>
      <c r="AN540" s="142">
        <f t="shared" si="301"/>
        <v>1423006.6310681326</v>
      </c>
    </row>
    <row r="541" spans="2:40" ht="15" customHeight="1">
      <c r="B541" s="180" t="s">
        <v>627</v>
      </c>
      <c r="C541" s="181"/>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182"/>
      <c r="AH541" s="182"/>
      <c r="AI541" s="182"/>
      <c r="AJ541" s="182"/>
      <c r="AK541" s="180"/>
      <c r="AL541" s="183"/>
      <c r="AM541" s="183"/>
      <c r="AN541" s="181"/>
    </row>
    <row r="542" spans="2:40">
      <c r="B542" s="168"/>
      <c r="C542" s="51" t="s">
        <v>628</v>
      </c>
      <c r="D542" s="112">
        <v>327250.00000000006</v>
      </c>
      <c r="E542" s="118">
        <f t="shared" si="319"/>
        <v>343612.50000000006</v>
      </c>
      <c r="F542" s="70">
        <f>E542*1.045</f>
        <v>359075.06250000006</v>
      </c>
      <c r="G542" s="70">
        <f t="shared" si="286"/>
        <v>371570.87467500003</v>
      </c>
      <c r="H542" s="70">
        <f t="shared" si="287"/>
        <v>412859.83026888606</v>
      </c>
      <c r="I542" s="70">
        <f t="shared" si="288"/>
        <v>381603.28829122498</v>
      </c>
      <c r="J542" s="70">
        <f t="shared" si="288"/>
        <v>424007.04568614595</v>
      </c>
      <c r="K542" s="70">
        <f t="shared" si="289"/>
        <v>390761.7672102144</v>
      </c>
      <c r="L542" s="58">
        <f t="shared" si="289"/>
        <v>434183.21478261345</v>
      </c>
      <c r="M542" s="58">
        <f t="shared" si="290"/>
        <v>401312.33492489014</v>
      </c>
      <c r="N542" s="58">
        <f t="shared" si="290"/>
        <v>445906.16158174397</v>
      </c>
      <c r="O542" s="80">
        <f t="shared" si="291"/>
        <v>410141.20629323774</v>
      </c>
      <c r="P542" s="80">
        <f t="shared" si="291"/>
        <v>455716.09713654238</v>
      </c>
      <c r="Q542" s="101"/>
      <c r="R542" s="80">
        <f t="shared" si="304"/>
        <v>466653.28346781939</v>
      </c>
      <c r="S542" s="101"/>
      <c r="T542" s="80">
        <f t="shared" si="306"/>
        <v>483919.45495612867</v>
      </c>
      <c r="U542" s="101"/>
      <c r="V542" s="114">
        <f t="shared" si="308"/>
        <v>497469.19969490031</v>
      </c>
      <c r="W542" s="80"/>
      <c r="X542" s="80">
        <f t="shared" si="310"/>
        <v>504931.23769032379</v>
      </c>
      <c r="Y542" s="80"/>
      <c r="Z542" s="80">
        <f t="shared" si="312"/>
        <v>513010.13749336899</v>
      </c>
      <c r="AA542" s="80"/>
      <c r="AB542" s="80">
        <f t="shared" si="314"/>
        <v>522757.33010574296</v>
      </c>
      <c r="AC542" s="101"/>
      <c r="AD542" s="80">
        <f t="shared" si="316"/>
        <v>532689.71937775204</v>
      </c>
      <c r="AE542" s="101"/>
      <c r="AF542" s="80">
        <f t="shared" si="318"/>
        <v>543876.20348468481</v>
      </c>
      <c r="AG542" s="143"/>
      <c r="AH542" s="152">
        <f t="shared" si="295"/>
        <v>550946.59412998566</v>
      </c>
      <c r="AI542" s="143"/>
      <c r="AJ542" s="152">
        <f t="shared" si="297"/>
        <v>561965.52601258538</v>
      </c>
      <c r="AK542" s="143"/>
      <c r="AL542" s="152">
        <f t="shared" si="299"/>
        <v>578262.5262669503</v>
      </c>
      <c r="AM542" s="143"/>
      <c r="AN542" s="143">
        <f t="shared" si="301"/>
        <v>614693.06542176811</v>
      </c>
    </row>
    <row r="543" spans="2:40">
      <c r="B543" s="169"/>
      <c r="C543" s="52" t="s">
        <v>629</v>
      </c>
      <c r="D543" s="16">
        <v>374000.00000000006</v>
      </c>
      <c r="E543" s="17">
        <f t="shared" si="319"/>
        <v>392700.00000000006</v>
      </c>
      <c r="F543" s="57">
        <f>E543*1.045</f>
        <v>410371.50000000006</v>
      </c>
      <c r="G543" s="57">
        <f t="shared" si="286"/>
        <v>424652.42820000002</v>
      </c>
      <c r="H543" s="57">
        <f t="shared" si="287"/>
        <v>471839.80602158408</v>
      </c>
      <c r="I543" s="57">
        <f t="shared" si="288"/>
        <v>436118.04376139998</v>
      </c>
      <c r="J543" s="57">
        <f t="shared" si="288"/>
        <v>484579.48078416684</v>
      </c>
      <c r="K543" s="57">
        <f t="shared" si="289"/>
        <v>446584.87681167357</v>
      </c>
      <c r="L543" s="9">
        <f t="shared" si="289"/>
        <v>496209.38832298684</v>
      </c>
      <c r="M543" s="9">
        <f t="shared" si="290"/>
        <v>458642.66848558874</v>
      </c>
      <c r="N543" s="9">
        <f t="shared" si="290"/>
        <v>509607.04180770746</v>
      </c>
      <c r="O543" s="78">
        <f>M543*1.022</f>
        <v>468732.80719227169</v>
      </c>
      <c r="P543" s="78">
        <f t="shared" si="291"/>
        <v>520818.39672747703</v>
      </c>
      <c r="Q543" s="1"/>
      <c r="R543" s="78">
        <f t="shared" si="304"/>
        <v>533318.03824893653</v>
      </c>
      <c r="S543" s="1"/>
      <c r="T543" s="78">
        <f t="shared" si="306"/>
        <v>553050.80566414713</v>
      </c>
      <c r="U543" s="1"/>
      <c r="V543" s="99">
        <f t="shared" si="308"/>
        <v>568536.22822274326</v>
      </c>
      <c r="W543" s="78"/>
      <c r="X543" s="78">
        <f t="shared" si="310"/>
        <v>577064.27164608438</v>
      </c>
      <c r="Y543" s="78"/>
      <c r="Z543" s="78">
        <f t="shared" si="312"/>
        <v>586297.29999242176</v>
      </c>
      <c r="AA543" s="78"/>
      <c r="AB543" s="78">
        <f t="shared" si="314"/>
        <v>597436.94869227777</v>
      </c>
      <c r="AC543" s="1"/>
      <c r="AD543" s="78">
        <f t="shared" si="316"/>
        <v>608788.25071743096</v>
      </c>
      <c r="AE543" s="1"/>
      <c r="AF543" s="78">
        <f t="shared" si="318"/>
        <v>621572.80398249696</v>
      </c>
      <c r="AG543" s="141"/>
      <c r="AH543" s="140">
        <f t="shared" si="295"/>
        <v>629653.25043426931</v>
      </c>
      <c r="AI543" s="141"/>
      <c r="AJ543" s="140">
        <f t="shared" si="297"/>
        <v>642246.31544295466</v>
      </c>
      <c r="AK543" s="141"/>
      <c r="AL543" s="140">
        <f t="shared" si="299"/>
        <v>660871.45859080029</v>
      </c>
      <c r="AM543" s="141"/>
      <c r="AN543" s="141">
        <f t="shared" si="301"/>
        <v>702506.36048202065</v>
      </c>
    </row>
    <row r="544" spans="2:40">
      <c r="B544" s="169"/>
      <c r="C544" s="52" t="s">
        <v>630</v>
      </c>
      <c r="D544" s="16">
        <v>420750.00000000006</v>
      </c>
      <c r="E544" s="17">
        <f t="shared" si="319"/>
        <v>441787.50000000006</v>
      </c>
      <c r="F544" s="57">
        <f>E544*1.045</f>
        <v>461667.93750000006</v>
      </c>
      <c r="G544" s="57">
        <f t="shared" si="286"/>
        <v>477733.98172500002</v>
      </c>
      <c r="H544" s="57">
        <f t="shared" si="287"/>
        <v>530819.78177428211</v>
      </c>
      <c r="I544" s="57">
        <f t="shared" si="288"/>
        <v>490632.79923157499</v>
      </c>
      <c r="J544" s="57">
        <f t="shared" si="288"/>
        <v>545151.91588218766</v>
      </c>
      <c r="K544" s="57">
        <f t="shared" si="289"/>
        <v>502407.98641313281</v>
      </c>
      <c r="L544" s="9">
        <f t="shared" si="289"/>
        <v>558235.56186336023</v>
      </c>
      <c r="M544" s="9">
        <f t="shared" si="290"/>
        <v>515973.00204628735</v>
      </c>
      <c r="N544" s="9">
        <f t="shared" si="290"/>
        <v>573307.92203367094</v>
      </c>
      <c r="O544" s="78">
        <f t="shared" si="291"/>
        <v>527324.40809130564</v>
      </c>
      <c r="P544" s="78">
        <f t="shared" si="291"/>
        <v>585920.69631841173</v>
      </c>
      <c r="Q544" s="1"/>
      <c r="R544" s="78">
        <f t="shared" si="304"/>
        <v>599982.79303005361</v>
      </c>
      <c r="S544" s="1"/>
      <c r="T544" s="78">
        <f t="shared" si="306"/>
        <v>622182.15637216554</v>
      </c>
      <c r="U544" s="1"/>
      <c r="V544" s="99">
        <f t="shared" si="308"/>
        <v>639603.25675058621</v>
      </c>
      <c r="W544" s="78"/>
      <c r="X544" s="78">
        <f t="shared" si="310"/>
        <v>649197.30560184491</v>
      </c>
      <c r="Y544" s="78"/>
      <c r="Z544" s="78">
        <f t="shared" si="312"/>
        <v>659584.46249147446</v>
      </c>
      <c r="AA544" s="78"/>
      <c r="AB544" s="78">
        <f t="shared" si="314"/>
        <v>672116.56727881241</v>
      </c>
      <c r="AC544" s="1"/>
      <c r="AD544" s="78">
        <f t="shared" si="316"/>
        <v>684886.78205710975</v>
      </c>
      <c r="AE544" s="1"/>
      <c r="AF544" s="78">
        <f t="shared" si="318"/>
        <v>699269.40448030899</v>
      </c>
      <c r="AG544" s="141"/>
      <c r="AH544" s="140">
        <f t="shared" si="295"/>
        <v>708359.90673855296</v>
      </c>
      <c r="AI544" s="141"/>
      <c r="AJ544" s="140">
        <f t="shared" si="297"/>
        <v>722527.10487332405</v>
      </c>
      <c r="AK544" s="141"/>
      <c r="AL544" s="140">
        <f t="shared" si="299"/>
        <v>743480.3909146504</v>
      </c>
      <c r="AM544" s="141"/>
      <c r="AN544" s="141">
        <f t="shared" si="301"/>
        <v>790319.65554227331</v>
      </c>
    </row>
    <row r="545" spans="1:40">
      <c r="B545" s="170"/>
      <c r="C545" s="53" t="s">
        <v>631</v>
      </c>
      <c r="D545" s="54">
        <v>467500</v>
      </c>
      <c r="E545" s="55">
        <f t="shared" si="319"/>
        <v>490875</v>
      </c>
      <c r="F545" s="75">
        <f>E545*1.045</f>
        <v>512964.37499999994</v>
      </c>
      <c r="G545" s="75">
        <f t="shared" si="286"/>
        <v>530815.53524999996</v>
      </c>
      <c r="H545" s="75">
        <f t="shared" si="287"/>
        <v>589799.75752698001</v>
      </c>
      <c r="I545" s="75">
        <f t="shared" si="288"/>
        <v>545147.55470174993</v>
      </c>
      <c r="J545" s="75">
        <f t="shared" si="288"/>
        <v>605724.35098020837</v>
      </c>
      <c r="K545" s="75">
        <f t="shared" si="289"/>
        <v>558231.09601459198</v>
      </c>
      <c r="L545" s="71">
        <f t="shared" si="289"/>
        <v>620261.73540373333</v>
      </c>
      <c r="M545" s="71">
        <f t="shared" si="290"/>
        <v>573303.33560698596</v>
      </c>
      <c r="N545" s="71">
        <f>L545*1.027</f>
        <v>637008.80225963402</v>
      </c>
      <c r="O545" s="78">
        <f t="shared" si="291"/>
        <v>585916.0089903397</v>
      </c>
      <c r="P545" s="78">
        <f t="shared" si="291"/>
        <v>651022.99590934603</v>
      </c>
      <c r="Q545" s="1"/>
      <c r="R545" s="78">
        <f t="shared" si="304"/>
        <v>666647.54781117034</v>
      </c>
      <c r="S545" s="1"/>
      <c r="T545" s="78">
        <f t="shared" si="306"/>
        <v>691313.5070801836</v>
      </c>
      <c r="U545" s="1"/>
      <c r="V545" s="99">
        <f t="shared" si="308"/>
        <v>710670.28527842881</v>
      </c>
      <c r="W545" s="78"/>
      <c r="X545" s="78">
        <f t="shared" si="310"/>
        <v>721330.33955760521</v>
      </c>
      <c r="Y545" s="78"/>
      <c r="Z545" s="78">
        <f t="shared" si="312"/>
        <v>732871.62499052694</v>
      </c>
      <c r="AA545" s="78"/>
      <c r="AB545" s="78">
        <f t="shared" si="314"/>
        <v>746796.18586534692</v>
      </c>
      <c r="AC545" s="1"/>
      <c r="AD545" s="78">
        <f t="shared" si="316"/>
        <v>760985.31339678844</v>
      </c>
      <c r="AE545" s="1"/>
      <c r="AF545" s="78">
        <f t="shared" si="318"/>
        <v>776966.00497812091</v>
      </c>
      <c r="AG545" s="141"/>
      <c r="AH545" s="140">
        <f t="shared" si="295"/>
        <v>787066.56304283638</v>
      </c>
      <c r="AI545" s="141"/>
      <c r="AJ545" s="140">
        <f t="shared" si="297"/>
        <v>802807.89430369309</v>
      </c>
      <c r="AK545" s="141"/>
      <c r="AL545" s="140">
        <f t="shared" si="299"/>
        <v>826089.32323850016</v>
      </c>
      <c r="AM545" s="141"/>
      <c r="AN545" s="141">
        <f t="shared" si="301"/>
        <v>878132.95060252561</v>
      </c>
    </row>
    <row r="546" spans="1:40">
      <c r="A546" s="7">
        <v>121902</v>
      </c>
      <c r="B546" s="171">
        <v>121902</v>
      </c>
      <c r="C546" s="8" t="s">
        <v>632</v>
      </c>
      <c r="D546" s="9"/>
      <c r="E546" s="10"/>
      <c r="F546" s="11"/>
      <c r="G546" s="12"/>
      <c r="H546" s="11"/>
      <c r="I546" s="11"/>
      <c r="J546" s="11"/>
      <c r="K546" s="11"/>
      <c r="L546" s="12"/>
      <c r="M546" s="13">
        <v>18758.849999999999</v>
      </c>
      <c r="N546" s="13">
        <v>22510.61</v>
      </c>
      <c r="O546" s="78">
        <f t="shared" si="291"/>
        <v>19171.544699999999</v>
      </c>
      <c r="P546" s="78">
        <f t="shared" si="291"/>
        <v>23005.843420000001</v>
      </c>
      <c r="Q546" s="1">
        <f t="shared" si="303"/>
        <v>19631.661772799998</v>
      </c>
      <c r="R546" s="78">
        <f t="shared" si="304"/>
        <v>23557.983662080002</v>
      </c>
      <c r="S546" s="1">
        <f t="shared" si="305"/>
        <v>20358.033258393596</v>
      </c>
      <c r="T546" s="78">
        <f t="shared" si="306"/>
        <v>24429.62905757696</v>
      </c>
      <c r="U546" s="1">
        <f t="shared" si="307"/>
        <v>20928.058189628617</v>
      </c>
      <c r="V546" s="99">
        <f t="shared" si="308"/>
        <v>25113.658671189114</v>
      </c>
      <c r="W546" s="78">
        <f t="shared" si="309"/>
        <v>21241.979062473045</v>
      </c>
      <c r="X546" s="78">
        <f t="shared" si="310"/>
        <v>25490.363551256949</v>
      </c>
      <c r="Y546" s="78">
        <f t="shared" si="311"/>
        <v>21581.850727472614</v>
      </c>
      <c r="Z546" s="78">
        <f t="shared" si="312"/>
        <v>25898.209368077059</v>
      </c>
      <c r="AA546" s="78">
        <f t="shared" si="313"/>
        <v>21991.905891294591</v>
      </c>
      <c r="AB546" s="78">
        <f t="shared" si="314"/>
        <v>26390.275346070521</v>
      </c>
      <c r="AC546" s="1">
        <f t="shared" si="315"/>
        <v>22409.752103229188</v>
      </c>
      <c r="AD546" s="78">
        <f t="shared" si="316"/>
        <v>26891.690577645859</v>
      </c>
      <c r="AE546" s="1">
        <f t="shared" si="317"/>
        <v>22880.356897397</v>
      </c>
      <c r="AF546" s="78">
        <f t="shared" si="318"/>
        <v>27456.41607977642</v>
      </c>
      <c r="AG546" s="141">
        <f t="shared" si="294"/>
        <v>23177.801537063158</v>
      </c>
      <c r="AH546" s="140">
        <f t="shared" si="295"/>
        <v>27813.34948881351</v>
      </c>
      <c r="AI546" s="141">
        <f t="shared" si="296"/>
        <v>23641.357567804422</v>
      </c>
      <c r="AJ546" s="140">
        <f t="shared" si="297"/>
        <v>28369.616478589782</v>
      </c>
      <c r="AK546" s="141">
        <f t="shared" si="298"/>
        <v>24326.956937270748</v>
      </c>
      <c r="AL546" s="140">
        <f t="shared" si="299"/>
        <v>29192.335356468884</v>
      </c>
      <c r="AM546" s="141">
        <f t="shared" si="300"/>
        <v>25859.555224318803</v>
      </c>
      <c r="AN546" s="141">
        <f t="shared" si="301"/>
        <v>31031.452483926423</v>
      </c>
    </row>
    <row r="547" spans="1:40">
      <c r="A547" s="14">
        <v>121903</v>
      </c>
      <c r="B547" s="172">
        <v>121903</v>
      </c>
      <c r="C547" s="15" t="s">
        <v>633</v>
      </c>
      <c r="D547" s="9"/>
      <c r="E547" s="10"/>
      <c r="F547" s="11"/>
      <c r="G547" s="12"/>
      <c r="H547" s="11"/>
      <c r="I547" s="11"/>
      <c r="J547" s="11"/>
      <c r="K547" s="11"/>
      <c r="L547" s="12"/>
      <c r="M547" s="13">
        <v>187761.71</v>
      </c>
      <c r="N547" s="13">
        <v>225314.05</v>
      </c>
      <c r="O547" s="78">
        <f t="shared" si="291"/>
        <v>191892.46761999998</v>
      </c>
      <c r="P547" s="78">
        <f t="shared" si="291"/>
        <v>230270.95909999998</v>
      </c>
      <c r="Q547" s="1">
        <f t="shared" si="303"/>
        <v>196497.88684287999</v>
      </c>
      <c r="R547" s="78">
        <f t="shared" si="304"/>
        <v>235797.46211839997</v>
      </c>
      <c r="S547" s="1">
        <f t="shared" si="305"/>
        <v>203768.30865606654</v>
      </c>
      <c r="T547" s="78">
        <f t="shared" si="306"/>
        <v>244521.96821678075</v>
      </c>
      <c r="U547" s="1">
        <f t="shared" si="307"/>
        <v>209473.82129843641</v>
      </c>
      <c r="V547" s="99">
        <f t="shared" si="308"/>
        <v>251368.58332685061</v>
      </c>
      <c r="W547" s="78">
        <f t="shared" si="309"/>
        <v>212615.92861791293</v>
      </c>
      <c r="X547" s="78">
        <f t="shared" si="310"/>
        <v>255139.11207675334</v>
      </c>
      <c r="Y547" s="78">
        <f t="shared" si="311"/>
        <v>216017.78347579954</v>
      </c>
      <c r="Z547" s="78">
        <f t="shared" si="312"/>
        <v>259221.33786998139</v>
      </c>
      <c r="AA547" s="78">
        <f t="shared" si="313"/>
        <v>220122.1213618397</v>
      </c>
      <c r="AB547" s="78">
        <f t="shared" si="314"/>
        <v>264146.543289511</v>
      </c>
      <c r="AC547" s="1">
        <f t="shared" si="315"/>
        <v>224304.44166771462</v>
      </c>
      <c r="AD547" s="78">
        <f t="shared" si="316"/>
        <v>269165.32761201169</v>
      </c>
      <c r="AE547" s="1">
        <f t="shared" si="317"/>
        <v>229014.8349427366</v>
      </c>
      <c r="AF547" s="78">
        <f t="shared" si="318"/>
        <v>274817.79949186393</v>
      </c>
      <c r="AG547" s="141">
        <f t="shared" si="294"/>
        <v>231992.02779699216</v>
      </c>
      <c r="AH547" s="140">
        <f t="shared" si="295"/>
        <v>278390.43088525813</v>
      </c>
      <c r="AI547" s="141">
        <f t="shared" si="296"/>
        <v>236631.86835293201</v>
      </c>
      <c r="AJ547" s="140">
        <f t="shared" si="297"/>
        <v>283958.23950296332</v>
      </c>
      <c r="AK547" s="141">
        <f t="shared" si="298"/>
        <v>243494.19253516701</v>
      </c>
      <c r="AL547" s="140">
        <f t="shared" si="299"/>
        <v>292193.02844854922</v>
      </c>
      <c r="AM547" s="141">
        <f t="shared" si="300"/>
        <v>258834.32666488251</v>
      </c>
      <c r="AN547" s="141">
        <f t="shared" si="301"/>
        <v>310601.18924080778</v>
      </c>
    </row>
    <row r="548" spans="1:40">
      <c r="A548" s="14">
        <v>121911</v>
      </c>
      <c r="B548" s="172">
        <v>121911</v>
      </c>
      <c r="C548" s="15" t="s">
        <v>634</v>
      </c>
      <c r="D548" s="9"/>
      <c r="E548" s="10"/>
      <c r="F548" s="11"/>
      <c r="G548" s="12"/>
      <c r="H548" s="11"/>
      <c r="I548" s="11"/>
      <c r="J548" s="11"/>
      <c r="K548" s="11"/>
      <c r="L548" s="12"/>
      <c r="M548" s="13">
        <v>43817.89</v>
      </c>
      <c r="N548" s="13">
        <v>52581.47</v>
      </c>
      <c r="O548" s="78">
        <f t="shared" si="291"/>
        <v>44781.883580000002</v>
      </c>
      <c r="P548" s="78">
        <f t="shared" si="291"/>
        <v>53738.262340000001</v>
      </c>
      <c r="Q548" s="1">
        <f t="shared" si="303"/>
        <v>45856.648785920006</v>
      </c>
      <c r="R548" s="78">
        <f t="shared" si="304"/>
        <v>55027.980636160006</v>
      </c>
      <c r="S548" s="1">
        <f t="shared" si="305"/>
        <v>47553.344790999043</v>
      </c>
      <c r="T548" s="78">
        <f t="shared" si="306"/>
        <v>57064.015919697922</v>
      </c>
      <c r="U548" s="1">
        <f t="shared" si="307"/>
        <v>48884.838445147019</v>
      </c>
      <c r="V548" s="99">
        <f t="shared" si="308"/>
        <v>58661.808365449462</v>
      </c>
      <c r="W548" s="78">
        <f t="shared" si="309"/>
        <v>49618.111021824217</v>
      </c>
      <c r="X548" s="78">
        <f t="shared" si="310"/>
        <v>59541.735490931198</v>
      </c>
      <c r="Y548" s="78">
        <f t="shared" si="311"/>
        <v>50412.000798173409</v>
      </c>
      <c r="Z548" s="78">
        <f t="shared" si="312"/>
        <v>60494.4032587861</v>
      </c>
      <c r="AA548" s="78">
        <f t="shared" si="313"/>
        <v>51369.828813338696</v>
      </c>
      <c r="AB548" s="78">
        <f t="shared" si="314"/>
        <v>61643.796920703033</v>
      </c>
      <c r="AC548" s="1">
        <f t="shared" si="315"/>
        <v>52345.85556079213</v>
      </c>
      <c r="AD548" s="78">
        <f t="shared" si="316"/>
        <v>62815.029062196387</v>
      </c>
      <c r="AE548" s="1">
        <f t="shared" si="317"/>
        <v>53445.11852756876</v>
      </c>
      <c r="AF548" s="78">
        <f t="shared" si="318"/>
        <v>64134.144672502502</v>
      </c>
      <c r="AG548" s="141">
        <f t="shared" si="294"/>
        <v>54139.90506842715</v>
      </c>
      <c r="AH548" s="140">
        <f t="shared" si="295"/>
        <v>64967.888553245029</v>
      </c>
      <c r="AI548" s="141">
        <f t="shared" si="296"/>
        <v>55222.703169795692</v>
      </c>
      <c r="AJ548" s="140">
        <f t="shared" si="297"/>
        <v>66267.246324309934</v>
      </c>
      <c r="AK548" s="141">
        <f t="shared" si="298"/>
        <v>56824.16156171976</v>
      </c>
      <c r="AL548" s="140">
        <f t="shared" si="299"/>
        <v>68188.996467714911</v>
      </c>
      <c r="AM548" s="141">
        <f t="shared" si="300"/>
        <v>60404.083740108101</v>
      </c>
      <c r="AN548" s="141">
        <f t="shared" si="301"/>
        <v>72484.903245180947</v>
      </c>
    </row>
    <row r="549" spans="1:40">
      <c r="A549" s="14">
        <v>121912</v>
      </c>
      <c r="B549" s="172">
        <v>121912</v>
      </c>
      <c r="C549" s="15" t="s">
        <v>635</v>
      </c>
      <c r="D549" s="9"/>
      <c r="E549" s="10"/>
      <c r="F549" s="11"/>
      <c r="G549" s="12"/>
      <c r="H549" s="11"/>
      <c r="I549" s="11"/>
      <c r="J549" s="11"/>
      <c r="K549" s="11"/>
      <c r="L549" s="12"/>
      <c r="M549" s="13">
        <v>37604.32</v>
      </c>
      <c r="N549" s="13">
        <v>45125.18</v>
      </c>
      <c r="O549" s="78">
        <f t="shared" si="291"/>
        <v>38431.615039999997</v>
      </c>
      <c r="P549" s="78">
        <f t="shared" si="291"/>
        <v>46117.933960000002</v>
      </c>
      <c r="Q549" s="1">
        <f t="shared" si="303"/>
        <v>39353.973800959997</v>
      </c>
      <c r="R549" s="78">
        <f t="shared" si="304"/>
        <v>47224.764375040002</v>
      </c>
      <c r="S549" s="1">
        <f t="shared" si="305"/>
        <v>40810.070831595513</v>
      </c>
      <c r="T549" s="78">
        <f t="shared" si="306"/>
        <v>48972.080656916478</v>
      </c>
      <c r="U549" s="1">
        <f t="shared" si="307"/>
        <v>41952.752814880187</v>
      </c>
      <c r="V549" s="99">
        <f t="shared" si="308"/>
        <v>50343.298915310137</v>
      </c>
      <c r="W549" s="78">
        <f t="shared" si="309"/>
        <v>42582.044107103386</v>
      </c>
      <c r="X549" s="78">
        <f t="shared" si="310"/>
        <v>51098.448399039786</v>
      </c>
      <c r="Y549" s="78">
        <f t="shared" si="311"/>
        <v>43263.356812817037</v>
      </c>
      <c r="Z549" s="78">
        <f t="shared" si="312"/>
        <v>51916.02357342442</v>
      </c>
      <c r="AA549" s="78">
        <f t="shared" si="313"/>
        <v>44085.360592260557</v>
      </c>
      <c r="AB549" s="78">
        <f t="shared" si="314"/>
        <v>52902.42802131948</v>
      </c>
      <c r="AC549" s="1">
        <f t="shared" si="315"/>
        <v>44922.982443513501</v>
      </c>
      <c r="AD549" s="78">
        <f t="shared" si="316"/>
        <v>53907.574153724541</v>
      </c>
      <c r="AE549" s="1">
        <f t="shared" si="317"/>
        <v>45866.365074827278</v>
      </c>
      <c r="AF549" s="78">
        <f t="shared" si="318"/>
        <v>55039.63321095275</v>
      </c>
      <c r="AG549" s="141">
        <f t="shared" si="294"/>
        <v>46462.627820800029</v>
      </c>
      <c r="AH549" s="140">
        <f t="shared" si="295"/>
        <v>55755.148442695128</v>
      </c>
      <c r="AI549" s="141">
        <f t="shared" si="296"/>
        <v>47391.880377216032</v>
      </c>
      <c r="AJ549" s="140">
        <f t="shared" si="297"/>
        <v>56870.251411549034</v>
      </c>
      <c r="AK549" s="141">
        <f t="shared" si="298"/>
        <v>48766.244908155291</v>
      </c>
      <c r="AL549" s="140">
        <f t="shared" si="299"/>
        <v>58519.488702483948</v>
      </c>
      <c r="AM549" s="141">
        <f t="shared" si="300"/>
        <v>51838.518337369074</v>
      </c>
      <c r="AN549" s="141">
        <f t="shared" si="301"/>
        <v>62206.216490740437</v>
      </c>
    </row>
    <row r="550" spans="1:40">
      <c r="A550" s="14">
        <v>121915</v>
      </c>
      <c r="B550" s="172">
        <v>121915</v>
      </c>
      <c r="C550" s="15" t="s">
        <v>636</v>
      </c>
      <c r="D550" s="9"/>
      <c r="E550" s="10"/>
      <c r="F550" s="11"/>
      <c r="G550" s="12"/>
      <c r="H550" s="11"/>
      <c r="I550" s="11"/>
      <c r="J550" s="11"/>
      <c r="K550" s="11"/>
      <c r="L550" s="12"/>
      <c r="M550" s="13">
        <v>36328.53</v>
      </c>
      <c r="N550" s="13">
        <v>43594.23</v>
      </c>
      <c r="O550" s="78">
        <f t="shared" si="291"/>
        <v>37127.757660000003</v>
      </c>
      <c r="P550" s="78">
        <f t="shared" si="291"/>
        <v>44553.303060000006</v>
      </c>
      <c r="Q550" s="1">
        <f t="shared" si="303"/>
        <v>38018.82384384</v>
      </c>
      <c r="R550" s="78">
        <f t="shared" si="304"/>
        <v>45622.582333440005</v>
      </c>
      <c r="S550" s="1">
        <f t="shared" si="305"/>
        <v>39425.520326062076</v>
      </c>
      <c r="T550" s="78">
        <f t="shared" si="306"/>
        <v>47310.617879777281</v>
      </c>
      <c r="U550" s="1">
        <f t="shared" si="307"/>
        <v>40529.434895191815</v>
      </c>
      <c r="V550" s="99">
        <f t="shared" si="308"/>
        <v>48635.315180411046</v>
      </c>
      <c r="W550" s="78">
        <f t="shared" si="309"/>
        <v>41137.376418619686</v>
      </c>
      <c r="X550" s="78">
        <f t="shared" si="310"/>
        <v>49364.844908117208</v>
      </c>
      <c r="Y550" s="78">
        <f t="shared" si="311"/>
        <v>41795.5744413176</v>
      </c>
      <c r="Z550" s="78">
        <f t="shared" si="312"/>
        <v>50154.682426647087</v>
      </c>
      <c r="AA550" s="78">
        <f t="shared" si="313"/>
        <v>42589.690355702631</v>
      </c>
      <c r="AB550" s="78">
        <f t="shared" si="314"/>
        <v>51107.621392753375</v>
      </c>
      <c r="AC550" s="1">
        <f t="shared" si="315"/>
        <v>43398.894472460976</v>
      </c>
      <c r="AD550" s="78">
        <f t="shared" si="316"/>
        <v>52078.666199215688</v>
      </c>
      <c r="AE550" s="1">
        <f t="shared" si="317"/>
        <v>44310.27125638265</v>
      </c>
      <c r="AF550" s="78">
        <f t="shared" si="318"/>
        <v>53172.318189399215</v>
      </c>
      <c r="AG550" s="141">
        <f t="shared" si="294"/>
        <v>44886.304782715619</v>
      </c>
      <c r="AH550" s="140">
        <f t="shared" si="295"/>
        <v>53863.558325861399</v>
      </c>
      <c r="AI550" s="141">
        <f t="shared" si="296"/>
        <v>45784.030878369929</v>
      </c>
      <c r="AJ550" s="140">
        <f t="shared" si="297"/>
        <v>54940.829492378631</v>
      </c>
      <c r="AK550" s="141">
        <f t="shared" si="298"/>
        <v>47111.76777384265</v>
      </c>
      <c r="AL550" s="140">
        <f t="shared" si="299"/>
        <v>56534.113547657609</v>
      </c>
      <c r="AM550" s="141">
        <f t="shared" si="300"/>
        <v>50079.809143594735</v>
      </c>
      <c r="AN550" s="141">
        <f t="shared" si="301"/>
        <v>60095.762701160034</v>
      </c>
    </row>
    <row r="551" spans="1:40">
      <c r="A551" s="14">
        <v>121914</v>
      </c>
      <c r="B551" s="172">
        <v>121914</v>
      </c>
      <c r="C551" s="15" t="s">
        <v>637</v>
      </c>
      <c r="D551" s="9"/>
      <c r="E551" s="10"/>
      <c r="F551" s="11"/>
      <c r="G551" s="12"/>
      <c r="H551" s="11"/>
      <c r="I551" s="11"/>
      <c r="J551" s="11"/>
      <c r="K551" s="11"/>
      <c r="L551" s="12"/>
      <c r="M551" s="13">
        <v>50118.09</v>
      </c>
      <c r="N551" s="13">
        <v>60141.71</v>
      </c>
      <c r="O551" s="78">
        <f t="shared" si="291"/>
        <v>51220.687979999995</v>
      </c>
      <c r="P551" s="78">
        <f t="shared" si="291"/>
        <v>61464.827620000004</v>
      </c>
      <c r="Q551" s="1">
        <f t="shared" si="303"/>
        <v>52449.984491519994</v>
      </c>
      <c r="R551" s="78">
        <f t="shared" si="304"/>
        <v>62939.983482880009</v>
      </c>
      <c r="S551" s="1">
        <f t="shared" si="305"/>
        <v>54390.633917706233</v>
      </c>
      <c r="T551" s="78">
        <f t="shared" si="306"/>
        <v>65268.762871746563</v>
      </c>
      <c r="U551" s="1">
        <f t="shared" si="307"/>
        <v>55913.571667402008</v>
      </c>
      <c r="V551" s="99">
        <f t="shared" si="308"/>
        <v>67096.288232155464</v>
      </c>
      <c r="W551" s="78">
        <f t="shared" si="309"/>
        <v>56752.27524241303</v>
      </c>
      <c r="X551" s="78">
        <f t="shared" si="310"/>
        <v>68102.732555637791</v>
      </c>
      <c r="Y551" s="78">
        <f t="shared" si="311"/>
        <v>57660.311646291637</v>
      </c>
      <c r="Z551" s="78">
        <f t="shared" si="312"/>
        <v>69192.376276527997</v>
      </c>
      <c r="AA551" s="78">
        <f t="shared" si="313"/>
        <v>58755.857567571169</v>
      </c>
      <c r="AB551" s="78">
        <f t="shared" si="314"/>
        <v>70507.031425782028</v>
      </c>
      <c r="AC551" s="1">
        <f t="shared" si="315"/>
        <v>59872.218861355017</v>
      </c>
      <c r="AD551" s="78">
        <f t="shared" si="316"/>
        <v>71846.665022871879</v>
      </c>
      <c r="AE551" s="1">
        <f t="shared" si="317"/>
        <v>61129.535457443468</v>
      </c>
      <c r="AF551" s="78">
        <f t="shared" si="318"/>
        <v>73355.444988352188</v>
      </c>
      <c r="AG551" s="141">
        <f t="shared" si="294"/>
        <v>61924.219418390225</v>
      </c>
      <c r="AH551" s="140">
        <f t="shared" si="295"/>
        <v>74309.065773200753</v>
      </c>
      <c r="AI551" s="141">
        <f t="shared" si="296"/>
        <v>63162.703806758029</v>
      </c>
      <c r="AJ551" s="140">
        <f t="shared" si="297"/>
        <v>75795.247088664764</v>
      </c>
      <c r="AK551" s="141">
        <f t="shared" si="298"/>
        <v>64994.42221715401</v>
      </c>
      <c r="AL551" s="140">
        <f t="shared" si="299"/>
        <v>77993.309254236039</v>
      </c>
      <c r="AM551" s="141">
        <f t="shared" si="300"/>
        <v>69089.070816834705</v>
      </c>
      <c r="AN551" s="141">
        <f t="shared" si="301"/>
        <v>82906.88773725291</v>
      </c>
    </row>
    <row r="552" spans="1:40">
      <c r="A552" s="14">
        <v>120916</v>
      </c>
      <c r="B552" s="172">
        <v>121916</v>
      </c>
      <c r="C552" s="15" t="s">
        <v>638</v>
      </c>
      <c r="D552" s="9"/>
      <c r="E552" s="10"/>
      <c r="F552" s="11"/>
      <c r="G552" s="12"/>
      <c r="H552" s="11"/>
      <c r="I552" s="11"/>
      <c r="J552" s="11"/>
      <c r="K552" s="11"/>
      <c r="L552" s="12"/>
      <c r="M552" s="13">
        <v>52937.43</v>
      </c>
      <c r="N552" s="13">
        <v>63524.92</v>
      </c>
      <c r="O552" s="78">
        <f t="shared" si="291"/>
        <v>54102.053460000003</v>
      </c>
      <c r="P552" s="78">
        <f t="shared" si="291"/>
        <v>64922.468240000002</v>
      </c>
      <c r="Q552" s="1">
        <f t="shared" si="303"/>
        <v>55400.50274304</v>
      </c>
      <c r="R552" s="78">
        <f t="shared" si="304"/>
        <v>66480.607477760001</v>
      </c>
      <c r="S552" s="1">
        <f t="shared" si="305"/>
        <v>57450.321344532473</v>
      </c>
      <c r="T552" s="78">
        <f t="shared" si="306"/>
        <v>68940.389954437109</v>
      </c>
      <c r="U552" s="1">
        <f t="shared" si="307"/>
        <v>59058.930342179381</v>
      </c>
      <c r="V552" s="99">
        <f t="shared" si="308"/>
        <v>70870.72087316135</v>
      </c>
      <c r="W552" s="78">
        <f t="shared" si="309"/>
        <v>59944.814297312063</v>
      </c>
      <c r="X552" s="78">
        <f>V552*1.015</f>
        <v>71933.781686258764</v>
      </c>
      <c r="Y552" s="78">
        <f t="shared" si="311"/>
        <v>60903.931326069054</v>
      </c>
      <c r="Z552" s="78">
        <f t="shared" si="312"/>
        <v>73084.722193238907</v>
      </c>
      <c r="AA552" s="78">
        <f t="shared" si="313"/>
        <v>62061.106021264357</v>
      </c>
      <c r="AB552" s="78">
        <f t="shared" si="314"/>
        <v>74473.331914910435</v>
      </c>
      <c r="AC552" s="1">
        <f t="shared" si="315"/>
        <v>63240.267035668374</v>
      </c>
      <c r="AD552" s="78">
        <f t="shared" si="316"/>
        <v>75888.325221293722</v>
      </c>
      <c r="AE552" s="1">
        <f t="shared" si="317"/>
        <v>64568.312643417405</v>
      </c>
      <c r="AF552" s="78">
        <f t="shared" si="318"/>
        <v>77481.980050940881</v>
      </c>
      <c r="AG552" s="141">
        <f t="shared" si="294"/>
        <v>65407.700707781827</v>
      </c>
      <c r="AH552" s="140">
        <f t="shared" si="295"/>
        <v>78489.245791603098</v>
      </c>
      <c r="AI552" s="141">
        <f t="shared" si="296"/>
        <v>66715.85472193746</v>
      </c>
      <c r="AJ552" s="140">
        <f t="shared" si="297"/>
        <v>80059.030707435159</v>
      </c>
      <c r="AK552" s="141">
        <f t="shared" si="298"/>
        <v>68650.614508873638</v>
      </c>
      <c r="AL552" s="140">
        <f t="shared" si="299"/>
        <v>82380.742597950768</v>
      </c>
      <c r="AM552" s="141">
        <f t="shared" si="300"/>
        <v>72975.603222932667</v>
      </c>
      <c r="AN552" s="141">
        <f t="shared" si="301"/>
        <v>87570.729381621655</v>
      </c>
    </row>
    <row r="553" spans="1:40">
      <c r="A553" s="14">
        <v>121917</v>
      </c>
      <c r="B553" s="172">
        <v>121917</v>
      </c>
      <c r="C553" s="15" t="s">
        <v>639</v>
      </c>
      <c r="D553" s="9"/>
      <c r="E553" s="10"/>
      <c r="F553" s="11"/>
      <c r="G553" s="12"/>
      <c r="H553" s="11"/>
      <c r="I553" s="11"/>
      <c r="J553" s="11"/>
      <c r="K553" s="11"/>
      <c r="L553" s="12"/>
      <c r="M553" s="13">
        <v>75098.38</v>
      </c>
      <c r="N553" s="13">
        <v>90118.06</v>
      </c>
      <c r="O553" s="78">
        <f t="shared" si="291"/>
        <v>76750.54436</v>
      </c>
      <c r="P553" s="78">
        <f t="shared" si="291"/>
        <v>92100.657319999998</v>
      </c>
      <c r="Q553" s="1">
        <f t="shared" si="303"/>
        <v>78592.557424640007</v>
      </c>
      <c r="R553" s="78">
        <f t="shared" si="304"/>
        <v>94311.073095679996</v>
      </c>
      <c r="S553" s="1">
        <f t="shared" si="305"/>
        <v>81500.482049351675</v>
      </c>
      <c r="T553" s="78">
        <f t="shared" si="306"/>
        <v>97800.582800220145</v>
      </c>
      <c r="U553" s="1">
        <f t="shared" si="307"/>
        <v>83782.495546733524</v>
      </c>
      <c r="V553" s="99">
        <f t="shared" si="308"/>
        <v>100538.99911862631</v>
      </c>
      <c r="W553" s="78">
        <f t="shared" si="309"/>
        <v>85039.232979934517</v>
      </c>
      <c r="X553" s="78">
        <f t="shared" si="310"/>
        <v>102047.08410540569</v>
      </c>
      <c r="Y553" s="78">
        <f t="shared" si="311"/>
        <v>86399.860707613465</v>
      </c>
      <c r="Z553" s="78">
        <f t="shared" si="312"/>
        <v>103679.83745109219</v>
      </c>
      <c r="AA553" s="78">
        <f t="shared" si="313"/>
        <v>88041.458061058118</v>
      </c>
      <c r="AB553" s="78">
        <f t="shared" si="314"/>
        <v>105649.75436266293</v>
      </c>
      <c r="AC553" s="1">
        <f t="shared" si="315"/>
        <v>89714.245764218213</v>
      </c>
      <c r="AD553" s="78">
        <f t="shared" si="316"/>
        <v>107657.09969555352</v>
      </c>
      <c r="AE553" s="1">
        <f t="shared" si="317"/>
        <v>91598.244925266787</v>
      </c>
      <c r="AF553" s="78">
        <f t="shared" si="318"/>
        <v>109917.89878916014</v>
      </c>
      <c r="AG553" s="141">
        <f t="shared" si="294"/>
        <v>92789.022109295242</v>
      </c>
      <c r="AH553" s="140">
        <f t="shared" si="295"/>
        <v>111346.83147341921</v>
      </c>
      <c r="AI553" s="141">
        <f t="shared" si="296"/>
        <v>94644.802551481145</v>
      </c>
      <c r="AJ553" s="140">
        <f t="shared" si="297"/>
        <v>113573.7681028876</v>
      </c>
      <c r="AK553" s="141">
        <f t="shared" si="298"/>
        <v>97389.501825474086</v>
      </c>
      <c r="AL553" s="140">
        <f t="shared" si="299"/>
        <v>116867.40737787132</v>
      </c>
      <c r="AM553" s="141">
        <f t="shared" si="300"/>
        <v>103525.04044047894</v>
      </c>
      <c r="AN553" s="141">
        <f t="shared" si="301"/>
        <v>124230.05404267721</v>
      </c>
    </row>
    <row r="554" spans="1:40">
      <c r="A554" s="14">
        <v>121919</v>
      </c>
      <c r="B554" s="172">
        <v>121919</v>
      </c>
      <c r="C554" s="15" t="s">
        <v>640</v>
      </c>
      <c r="D554" s="9"/>
      <c r="E554" s="10"/>
      <c r="F554" s="11"/>
      <c r="G554" s="12"/>
      <c r="H554" s="11"/>
      <c r="I554" s="11"/>
      <c r="J554" s="11"/>
      <c r="K554" s="11"/>
      <c r="L554" s="12"/>
      <c r="M554" s="13">
        <v>67412.14</v>
      </c>
      <c r="N554" s="13">
        <v>80894.570000000007</v>
      </c>
      <c r="O554" s="78">
        <f t="shared" si="291"/>
        <v>68895.207080000007</v>
      </c>
      <c r="P554" s="78">
        <f t="shared" si="291"/>
        <v>82674.250540000008</v>
      </c>
      <c r="Q554" s="1">
        <f t="shared" si="303"/>
        <v>70548.692049920006</v>
      </c>
      <c r="R554" s="78">
        <f t="shared" si="304"/>
        <v>84658.432552960017</v>
      </c>
      <c r="S554" s="1">
        <f t="shared" si="305"/>
        <v>73158.993655767044</v>
      </c>
      <c r="T554" s="78">
        <f t="shared" si="306"/>
        <v>87790.794557419533</v>
      </c>
      <c r="U554" s="1">
        <f t="shared" si="307"/>
        <v>75207.445478128517</v>
      </c>
      <c r="V554" s="99">
        <f t="shared" si="308"/>
        <v>90248.936805027275</v>
      </c>
      <c r="W554" s="78">
        <f t="shared" si="309"/>
        <v>76335.557160300435</v>
      </c>
      <c r="X554" s="78">
        <f t="shared" si="310"/>
        <v>91602.670857102668</v>
      </c>
      <c r="Y554" s="78">
        <f t="shared" si="311"/>
        <v>77556.926074865245</v>
      </c>
      <c r="Z554" s="78">
        <f t="shared" si="312"/>
        <v>93068.313590816309</v>
      </c>
      <c r="AA554" s="78">
        <f t="shared" si="313"/>
        <v>79030.507670287683</v>
      </c>
      <c r="AB554" s="78">
        <f t="shared" si="314"/>
        <v>94836.611549041816</v>
      </c>
      <c r="AC554" s="1">
        <f t="shared" si="315"/>
        <v>80532.087316023142</v>
      </c>
      <c r="AD554" s="78">
        <f t="shared" si="316"/>
        <v>96638.507168473603</v>
      </c>
      <c r="AE554" s="1">
        <f t="shared" si="317"/>
        <v>82223.261149659622</v>
      </c>
      <c r="AF554" s="78">
        <f t="shared" si="318"/>
        <v>98667.915819011541</v>
      </c>
      <c r="AG554" s="141">
        <f t="shared" si="294"/>
        <v>83292.163544605195</v>
      </c>
      <c r="AH554" s="140">
        <f t="shared" si="295"/>
        <v>99950.598724658688</v>
      </c>
      <c r="AI554" s="141">
        <f t="shared" si="296"/>
        <v>84958.006815497298</v>
      </c>
      <c r="AJ554" s="140">
        <f t="shared" si="297"/>
        <v>101949.61069915186</v>
      </c>
      <c r="AK554" s="141">
        <f t="shared" si="298"/>
        <v>87421.789013146714</v>
      </c>
      <c r="AL554" s="140">
        <f t="shared" si="299"/>
        <v>104906.14940942725</v>
      </c>
      <c r="AM554" s="141">
        <f t="shared" si="300"/>
        <v>92929.36172097495</v>
      </c>
      <c r="AN554" s="141">
        <f t="shared" si="301"/>
        <v>111515.23682222117</v>
      </c>
    </row>
    <row r="555" spans="1:40">
      <c r="A555" s="14">
        <v>121920</v>
      </c>
      <c r="B555" s="172">
        <v>121920</v>
      </c>
      <c r="C555" s="15" t="s">
        <v>641</v>
      </c>
      <c r="D555" s="9"/>
      <c r="E555" s="10"/>
      <c r="F555" s="11"/>
      <c r="G555" s="12"/>
      <c r="H555" s="11"/>
      <c r="I555" s="11"/>
      <c r="J555" s="11"/>
      <c r="K555" s="11"/>
      <c r="L555" s="12"/>
      <c r="M555" s="13">
        <v>31280.49</v>
      </c>
      <c r="N555" s="13">
        <v>37536.589999999997</v>
      </c>
      <c r="O555" s="78">
        <f t="shared" si="291"/>
        <v>31968.660780000002</v>
      </c>
      <c r="P555" s="78">
        <f t="shared" si="291"/>
        <v>38362.394979999997</v>
      </c>
      <c r="Q555" s="1">
        <f t="shared" si="303"/>
        <v>32735.908638720004</v>
      </c>
      <c r="R555" s="78">
        <f t="shared" si="304"/>
        <v>39283.092459519998</v>
      </c>
      <c r="S555" s="1">
        <f t="shared" si="305"/>
        <v>33947.137258352639</v>
      </c>
      <c r="T555" s="78">
        <f t="shared" si="306"/>
        <v>40736.566880522238</v>
      </c>
      <c r="U555" s="1">
        <f t="shared" si="307"/>
        <v>34897.657101586512</v>
      </c>
      <c r="V555" s="99">
        <f t="shared" si="308"/>
        <v>41877.190753176859</v>
      </c>
      <c r="W555" s="78">
        <f t="shared" si="309"/>
        <v>35421.121958110307</v>
      </c>
      <c r="X555" s="78">
        <f t="shared" si="310"/>
        <v>42505.348614474511</v>
      </c>
      <c r="Y555" s="78">
        <f t="shared" si="311"/>
        <v>35987.859909440071</v>
      </c>
      <c r="Z555" s="78">
        <f t="shared" si="312"/>
        <v>43185.434192306107</v>
      </c>
      <c r="AA555" s="78">
        <f t="shared" si="313"/>
        <v>36671.629247719429</v>
      </c>
      <c r="AB555" s="78">
        <f t="shared" si="314"/>
        <v>44005.957441959923</v>
      </c>
      <c r="AC555" s="1">
        <f t="shared" si="315"/>
        <v>37368.390203426097</v>
      </c>
      <c r="AD555" s="78">
        <f t="shared" si="316"/>
        <v>44842.070633357158</v>
      </c>
      <c r="AE555" s="1">
        <f t="shared" si="317"/>
        <v>38153.126397698041</v>
      </c>
      <c r="AF555" s="78">
        <f t="shared" si="318"/>
        <v>45783.754116657656</v>
      </c>
      <c r="AG555" s="141">
        <f t="shared" si="294"/>
        <v>38649.117040868114</v>
      </c>
      <c r="AH555" s="140">
        <f t="shared" si="295"/>
        <v>46378.942920174202</v>
      </c>
      <c r="AI555" s="141">
        <f t="shared" si="296"/>
        <v>39422.099381685475</v>
      </c>
      <c r="AJ555" s="140">
        <f t="shared" si="297"/>
        <v>47306.521778577684</v>
      </c>
      <c r="AK555" s="141">
        <f t="shared" si="298"/>
        <v>40565.340263754348</v>
      </c>
      <c r="AL555" s="140">
        <f t="shared" si="299"/>
        <v>48678.410910156432</v>
      </c>
      <c r="AM555" s="141">
        <f t="shared" si="300"/>
        <v>43120.956700370873</v>
      </c>
      <c r="AN555" s="141">
        <f t="shared" si="301"/>
        <v>51745.150797496288</v>
      </c>
    </row>
    <row r="556" spans="1:40">
      <c r="A556" s="14">
        <v>121921</v>
      </c>
      <c r="B556" s="172">
        <v>121921</v>
      </c>
      <c r="C556" s="15" t="s">
        <v>642</v>
      </c>
      <c r="D556" s="9"/>
      <c r="E556" s="10"/>
      <c r="F556" s="11"/>
      <c r="G556" s="12"/>
      <c r="H556" s="11"/>
      <c r="I556" s="11"/>
      <c r="J556" s="11"/>
      <c r="K556" s="11"/>
      <c r="L556" s="12"/>
      <c r="M556" s="13">
        <v>37604.32</v>
      </c>
      <c r="N556" s="13">
        <v>45125.18</v>
      </c>
      <c r="O556" s="78">
        <f t="shared" si="291"/>
        <v>38431.615039999997</v>
      </c>
      <c r="P556" s="78">
        <f t="shared" si="291"/>
        <v>46117.933960000002</v>
      </c>
      <c r="Q556" s="1">
        <f t="shared" si="303"/>
        <v>39353.973800959997</v>
      </c>
      <c r="R556" s="78">
        <f t="shared" si="304"/>
        <v>47224.764375040002</v>
      </c>
      <c r="S556" s="1">
        <f t="shared" si="305"/>
        <v>40810.070831595513</v>
      </c>
      <c r="T556" s="78">
        <f t="shared" si="306"/>
        <v>48972.080656916478</v>
      </c>
      <c r="U556" s="1">
        <f t="shared" si="307"/>
        <v>41952.752814880187</v>
      </c>
      <c r="V556" s="99">
        <f t="shared" si="308"/>
        <v>50343.298915310137</v>
      </c>
      <c r="W556" s="78">
        <f t="shared" si="309"/>
        <v>42582.044107103386</v>
      </c>
      <c r="X556" s="78">
        <f t="shared" si="310"/>
        <v>51098.448399039786</v>
      </c>
      <c r="Y556" s="78">
        <f t="shared" si="311"/>
        <v>43263.356812817037</v>
      </c>
      <c r="Z556" s="78">
        <f t="shared" si="312"/>
        <v>51916.02357342442</v>
      </c>
      <c r="AA556" s="78">
        <f t="shared" si="313"/>
        <v>44085.360592260557</v>
      </c>
      <c r="AB556" s="78">
        <f t="shared" si="314"/>
        <v>52902.42802131948</v>
      </c>
      <c r="AC556" s="1">
        <f t="shared" si="315"/>
        <v>44922.982443513501</v>
      </c>
      <c r="AD556" s="78">
        <f t="shared" si="316"/>
        <v>53907.574153724541</v>
      </c>
      <c r="AE556" s="1">
        <f t="shared" si="317"/>
        <v>45866.365074827278</v>
      </c>
      <c r="AF556" s="78">
        <f t="shared" si="318"/>
        <v>55039.63321095275</v>
      </c>
      <c r="AG556" s="141">
        <f t="shared" si="294"/>
        <v>46462.627820800029</v>
      </c>
      <c r="AH556" s="140">
        <f t="shared" si="295"/>
        <v>55755.148442695128</v>
      </c>
      <c r="AI556" s="141">
        <f t="shared" si="296"/>
        <v>47391.880377216032</v>
      </c>
      <c r="AJ556" s="140">
        <f t="shared" si="297"/>
        <v>56870.251411549034</v>
      </c>
      <c r="AK556" s="141">
        <f t="shared" si="298"/>
        <v>48766.244908155291</v>
      </c>
      <c r="AL556" s="140">
        <f t="shared" si="299"/>
        <v>58519.488702483948</v>
      </c>
      <c r="AM556" s="141">
        <f t="shared" si="300"/>
        <v>51838.518337369074</v>
      </c>
      <c r="AN556" s="141">
        <f t="shared" si="301"/>
        <v>62206.216490740437</v>
      </c>
    </row>
    <row r="557" spans="1:40">
      <c r="A557" s="14">
        <v>121922</v>
      </c>
      <c r="B557" s="172">
        <v>121922</v>
      </c>
      <c r="C557" s="15" t="s">
        <v>643</v>
      </c>
      <c r="D557" s="9"/>
      <c r="E557" s="10"/>
      <c r="F557" s="11"/>
      <c r="G557" s="12"/>
      <c r="H557" s="11"/>
      <c r="I557" s="11"/>
      <c r="J557" s="11"/>
      <c r="K557" s="11"/>
      <c r="L557" s="12"/>
      <c r="M557" s="13">
        <v>32540.53</v>
      </c>
      <c r="N557" s="13">
        <v>39048.639999999999</v>
      </c>
      <c r="O557" s="78">
        <f t="shared" si="291"/>
        <v>33256.42166</v>
      </c>
      <c r="P557" s="78">
        <f t="shared" si="291"/>
        <v>39907.710079999997</v>
      </c>
      <c r="Q557" s="1">
        <f t="shared" si="303"/>
        <v>34054.575779840001</v>
      </c>
      <c r="R557" s="78">
        <f t="shared" si="304"/>
        <v>40865.495121920001</v>
      </c>
      <c r="S557" s="1">
        <f t="shared" si="305"/>
        <v>35314.595083694076</v>
      </c>
      <c r="T557" s="78">
        <f t="shared" si="306"/>
        <v>42377.518441431035</v>
      </c>
      <c r="U557" s="1">
        <f t="shared" si="307"/>
        <v>36303.403746037511</v>
      </c>
      <c r="V557" s="99">
        <f t="shared" si="308"/>
        <v>43564.088957791108</v>
      </c>
      <c r="W557" s="78">
        <f t="shared" si="309"/>
        <v>36847.954802228072</v>
      </c>
      <c r="X557" s="78">
        <f t="shared" si="310"/>
        <v>44217.550292157968</v>
      </c>
      <c r="Y557" s="78">
        <f t="shared" si="311"/>
        <v>37437.522079063725</v>
      </c>
      <c r="Z557" s="78">
        <f t="shared" si="312"/>
        <v>44925.031096832499</v>
      </c>
      <c r="AA557" s="78">
        <f t="shared" si="313"/>
        <v>38148.83499856593</v>
      </c>
      <c r="AB557" s="78">
        <f t="shared" si="314"/>
        <v>45778.606687672313</v>
      </c>
      <c r="AC557" s="1">
        <f t="shared" si="315"/>
        <v>38873.662863538681</v>
      </c>
      <c r="AD557" s="78">
        <f t="shared" si="316"/>
        <v>46648.400214738082</v>
      </c>
      <c r="AE557" s="1">
        <f t="shared" si="317"/>
        <v>39690.009783672991</v>
      </c>
      <c r="AF557" s="78">
        <f t="shared" si="318"/>
        <v>47628.016619247574</v>
      </c>
      <c r="AG557" s="141">
        <f t="shared" si="294"/>
        <v>40205.979910860733</v>
      </c>
      <c r="AH557" s="140">
        <f t="shared" si="295"/>
        <v>48247.18083529779</v>
      </c>
      <c r="AI557" s="141">
        <f t="shared" si="296"/>
        <v>41010.099509077947</v>
      </c>
      <c r="AJ557" s="140">
        <f t="shared" si="297"/>
        <v>49212.124452003743</v>
      </c>
      <c r="AK557" s="141">
        <f t="shared" si="298"/>
        <v>42199.392394841205</v>
      </c>
      <c r="AL557" s="140">
        <f t="shared" si="299"/>
        <v>50639.27606111185</v>
      </c>
      <c r="AM557" s="141">
        <f t="shared" si="300"/>
        <v>44857.954115716195</v>
      </c>
      <c r="AN557" s="141">
        <f t="shared" si="301"/>
        <v>53829.550452961892</v>
      </c>
    </row>
    <row r="558" spans="1:40">
      <c r="A558" s="14">
        <v>121923</v>
      </c>
      <c r="B558" s="172">
        <v>121923</v>
      </c>
      <c r="C558" s="15" t="s">
        <v>644</v>
      </c>
      <c r="D558" s="9"/>
      <c r="E558" s="10"/>
      <c r="F558" s="11"/>
      <c r="G558" s="12"/>
      <c r="H558" s="11"/>
      <c r="I558" s="11"/>
      <c r="J558" s="11"/>
      <c r="K558" s="11"/>
      <c r="L558" s="12"/>
      <c r="M558" s="13">
        <v>156481.22</v>
      </c>
      <c r="N558" s="13">
        <v>187777.46</v>
      </c>
      <c r="O558" s="78">
        <f t="shared" si="291"/>
        <v>159923.80684</v>
      </c>
      <c r="P558" s="78">
        <f t="shared" si="291"/>
        <v>191908.56412</v>
      </c>
      <c r="Q558" s="1">
        <f t="shared" si="303"/>
        <v>163761.97820416</v>
      </c>
      <c r="R558" s="78">
        <f t="shared" si="304"/>
        <v>196514.36965887999</v>
      </c>
      <c r="S558" s="1">
        <f t="shared" si="305"/>
        <v>169821.17139771392</v>
      </c>
      <c r="T558" s="78">
        <f t="shared" si="306"/>
        <v>203785.40133625854</v>
      </c>
      <c r="U558" s="1">
        <f t="shared" si="307"/>
        <v>174576.16419684992</v>
      </c>
      <c r="V558" s="99">
        <f t="shared" si="308"/>
        <v>209491.39257367377</v>
      </c>
      <c r="W558" s="78">
        <f t="shared" si="309"/>
        <v>177194.80665980265</v>
      </c>
      <c r="X558" s="78">
        <f t="shared" si="310"/>
        <v>212633.76346227885</v>
      </c>
      <c r="Y558" s="78">
        <f t="shared" si="311"/>
        <v>180029.9235663595</v>
      </c>
      <c r="Z558" s="78">
        <f t="shared" si="312"/>
        <v>216035.90367767532</v>
      </c>
      <c r="AA558" s="78">
        <f t="shared" si="313"/>
        <v>183450.49211412031</v>
      </c>
      <c r="AB558" s="78">
        <f t="shared" si="314"/>
        <v>220140.58584755112</v>
      </c>
      <c r="AC558" s="1">
        <f t="shared" si="315"/>
        <v>186936.05146428858</v>
      </c>
      <c r="AD558" s="78">
        <f t="shared" si="316"/>
        <v>224323.25697865456</v>
      </c>
      <c r="AE558" s="1">
        <f t="shared" si="317"/>
        <v>190861.70854503862</v>
      </c>
      <c r="AF558" s="78">
        <f t="shared" si="318"/>
        <v>229034.0453752063</v>
      </c>
      <c r="AG558" s="141">
        <f t="shared" si="294"/>
        <v>193342.9107561241</v>
      </c>
      <c r="AH558" s="140">
        <f t="shared" si="295"/>
        <v>232011.48796508397</v>
      </c>
      <c r="AI558" s="141">
        <f t="shared" si="296"/>
        <v>197209.76897124658</v>
      </c>
      <c r="AJ558" s="140">
        <f t="shared" si="297"/>
        <v>236651.71772438564</v>
      </c>
      <c r="AK558" s="141">
        <f t="shared" si="298"/>
        <v>202928.8522714127</v>
      </c>
      <c r="AL558" s="140">
        <f t="shared" si="299"/>
        <v>243514.61753839281</v>
      </c>
      <c r="AM558" s="141">
        <f t="shared" si="300"/>
        <v>215713.36996451169</v>
      </c>
      <c r="AN558" s="141">
        <f t="shared" si="301"/>
        <v>258856.03844331153</v>
      </c>
    </row>
    <row r="559" spans="1:40">
      <c r="A559" s="14">
        <v>121924</v>
      </c>
      <c r="B559" s="172">
        <v>121924</v>
      </c>
      <c r="C559" s="15" t="s">
        <v>645</v>
      </c>
      <c r="D559" s="9"/>
      <c r="E559" s="10"/>
      <c r="F559" s="11"/>
      <c r="G559" s="12"/>
      <c r="H559" s="11"/>
      <c r="I559" s="11"/>
      <c r="J559" s="11"/>
      <c r="K559" s="11"/>
      <c r="L559" s="12"/>
      <c r="M559" s="13">
        <v>93935.98</v>
      </c>
      <c r="N559" s="13">
        <v>112723.18</v>
      </c>
      <c r="O559" s="78">
        <f t="shared" si="291"/>
        <v>96002.571559999997</v>
      </c>
      <c r="P559" s="78">
        <f t="shared" si="291"/>
        <v>115203.08996</v>
      </c>
      <c r="Q559" s="1">
        <f t="shared" si="303"/>
        <v>98306.633277439993</v>
      </c>
      <c r="R559" s="78">
        <f t="shared" si="304"/>
        <v>117967.96411904</v>
      </c>
      <c r="S559" s="1">
        <f t="shared" si="305"/>
        <v>101943.97870870527</v>
      </c>
      <c r="T559" s="78">
        <f t="shared" si="306"/>
        <v>122332.77879144446</v>
      </c>
      <c r="U559" s="1">
        <f t="shared" si="307"/>
        <v>104798.41011254901</v>
      </c>
      <c r="V559" s="99">
        <f t="shared" si="308"/>
        <v>125758.0965976049</v>
      </c>
      <c r="W559" s="78">
        <f t="shared" si="309"/>
        <v>106370.38626423724</v>
      </c>
      <c r="X559" s="78">
        <f t="shared" si="310"/>
        <v>127644.46804656896</v>
      </c>
      <c r="Y559" s="78">
        <f t="shared" si="311"/>
        <v>108072.31244446503</v>
      </c>
      <c r="Z559" s="78">
        <f t="shared" si="312"/>
        <v>129686.77953531407</v>
      </c>
      <c r="AA559" s="78">
        <f t="shared" si="313"/>
        <v>110125.68638090986</v>
      </c>
      <c r="AB559" s="78">
        <f t="shared" si="314"/>
        <v>132150.82834648501</v>
      </c>
      <c r="AC559" s="1">
        <f t="shared" si="315"/>
        <v>112218.07442214714</v>
      </c>
      <c r="AD559" s="78">
        <f t="shared" si="316"/>
        <v>134661.69408506821</v>
      </c>
      <c r="AE559" s="1">
        <f t="shared" si="317"/>
        <v>114574.65398501222</v>
      </c>
      <c r="AF559" s="78">
        <f t="shared" si="318"/>
        <v>137489.58966085463</v>
      </c>
      <c r="AG559" s="141">
        <f t="shared" si="294"/>
        <v>116064.12448681737</v>
      </c>
      <c r="AH559" s="140">
        <f t="shared" si="295"/>
        <v>139276.95432644573</v>
      </c>
      <c r="AI559" s="141">
        <f t="shared" si="296"/>
        <v>118385.40697655371</v>
      </c>
      <c r="AJ559" s="140">
        <f t="shared" si="297"/>
        <v>142062.49341297464</v>
      </c>
      <c r="AK559" s="141">
        <f t="shared" si="298"/>
        <v>121818.58377887376</v>
      </c>
      <c r="AL559" s="140">
        <f t="shared" si="299"/>
        <v>146182.30572195089</v>
      </c>
      <c r="AM559" s="141">
        <f t="shared" si="300"/>
        <v>129493.1545569428</v>
      </c>
      <c r="AN559" s="141">
        <f t="shared" si="301"/>
        <v>155391.7909824338</v>
      </c>
    </row>
    <row r="560" spans="1:40">
      <c r="A560" s="14">
        <v>121925</v>
      </c>
      <c r="B560" s="172">
        <v>121925</v>
      </c>
      <c r="C560" s="15" t="s">
        <v>646</v>
      </c>
      <c r="D560" s="9"/>
      <c r="E560" s="10"/>
      <c r="F560" s="11"/>
      <c r="G560" s="12"/>
      <c r="H560" s="11"/>
      <c r="I560" s="11"/>
      <c r="J560" s="11"/>
      <c r="K560" s="11"/>
      <c r="L560" s="12"/>
      <c r="M560" s="13">
        <v>81398.58</v>
      </c>
      <c r="N560" s="13">
        <v>97678.3</v>
      </c>
      <c r="O560" s="78">
        <f t="shared" si="291"/>
        <v>83189.348760000008</v>
      </c>
      <c r="P560" s="78">
        <f t="shared" si="291"/>
        <v>99827.222600000008</v>
      </c>
      <c r="Q560" s="1">
        <f t="shared" si="303"/>
        <v>85185.893130240016</v>
      </c>
      <c r="R560" s="78">
        <f t="shared" si="304"/>
        <v>102223.07594240001</v>
      </c>
      <c r="S560" s="1">
        <f t="shared" si="305"/>
        <v>88337.771176058886</v>
      </c>
      <c r="T560" s="78">
        <f t="shared" si="306"/>
        <v>106005.32975226881</v>
      </c>
      <c r="U560" s="1">
        <f t="shared" si="307"/>
        <v>90811.228768988542</v>
      </c>
      <c r="V560" s="99">
        <f t="shared" si="308"/>
        <v>108973.47898533233</v>
      </c>
      <c r="W560" s="78">
        <f t="shared" si="309"/>
        <v>92173.397200523366</v>
      </c>
      <c r="X560" s="78">
        <f t="shared" si="310"/>
        <v>110608.0811701123</v>
      </c>
      <c r="Y560" s="78">
        <f t="shared" si="311"/>
        <v>93648.171555731737</v>
      </c>
      <c r="Z560" s="78">
        <f t="shared" si="312"/>
        <v>112377.8104688341</v>
      </c>
      <c r="AA560" s="78">
        <f t="shared" si="313"/>
        <v>95427.486815290627</v>
      </c>
      <c r="AB560" s="78">
        <f t="shared" si="314"/>
        <v>114512.98886774194</v>
      </c>
      <c r="AC560" s="1">
        <f t="shared" si="315"/>
        <v>97240.609064781136</v>
      </c>
      <c r="AD560" s="78">
        <f t="shared" si="316"/>
        <v>116688.73565622902</v>
      </c>
      <c r="AE560" s="1">
        <f t="shared" si="317"/>
        <v>99282.66185514153</v>
      </c>
      <c r="AF560" s="78">
        <f t="shared" si="318"/>
        <v>119139.19910500981</v>
      </c>
      <c r="AG560" s="141">
        <f t="shared" si="294"/>
        <v>100573.33645925837</v>
      </c>
      <c r="AH560" s="140">
        <f t="shared" si="295"/>
        <v>120688.00869337493</v>
      </c>
      <c r="AI560" s="141">
        <f t="shared" si="296"/>
        <v>102584.80318844353</v>
      </c>
      <c r="AJ560" s="140">
        <f t="shared" si="297"/>
        <v>123101.76886724243</v>
      </c>
      <c r="AK560" s="141">
        <f t="shared" si="298"/>
        <v>105559.76248090839</v>
      </c>
      <c r="AL560" s="140">
        <f t="shared" si="299"/>
        <v>126671.72016439245</v>
      </c>
      <c r="AM560" s="141">
        <f t="shared" si="300"/>
        <v>112210.02751720561</v>
      </c>
      <c r="AN560" s="141">
        <f t="shared" si="301"/>
        <v>134652.03853474915</v>
      </c>
    </row>
    <row r="561" spans="1:40">
      <c r="A561" s="14">
        <v>121926</v>
      </c>
      <c r="B561" s="172">
        <v>121926</v>
      </c>
      <c r="C561" s="15" t="s">
        <v>647</v>
      </c>
      <c r="D561" s="9"/>
      <c r="E561" s="10"/>
      <c r="F561" s="11"/>
      <c r="G561" s="12"/>
      <c r="H561" s="11"/>
      <c r="I561" s="11"/>
      <c r="J561" s="11"/>
      <c r="K561" s="11"/>
      <c r="L561" s="12"/>
      <c r="M561" s="13">
        <v>93935.98</v>
      </c>
      <c r="N561" s="13">
        <v>112723.18</v>
      </c>
      <c r="O561" s="78">
        <f t="shared" si="291"/>
        <v>96002.571559999997</v>
      </c>
      <c r="P561" s="78">
        <f t="shared" si="291"/>
        <v>115203.08996</v>
      </c>
      <c r="Q561" s="1">
        <f t="shared" si="303"/>
        <v>98306.633277439993</v>
      </c>
      <c r="R561" s="78">
        <f t="shared" si="304"/>
        <v>117967.96411904</v>
      </c>
      <c r="S561" s="1">
        <f t="shared" si="305"/>
        <v>101943.97870870527</v>
      </c>
      <c r="T561" s="78">
        <f t="shared" si="306"/>
        <v>122332.77879144446</v>
      </c>
      <c r="U561" s="1">
        <f t="shared" si="307"/>
        <v>104798.41011254901</v>
      </c>
      <c r="V561" s="99">
        <f t="shared" si="308"/>
        <v>125758.0965976049</v>
      </c>
      <c r="W561" s="78">
        <f t="shared" si="309"/>
        <v>106370.38626423724</v>
      </c>
      <c r="X561" s="78">
        <f t="shared" si="310"/>
        <v>127644.46804656896</v>
      </c>
      <c r="Y561" s="78">
        <f t="shared" si="311"/>
        <v>108072.31244446503</v>
      </c>
      <c r="Z561" s="78">
        <f t="shared" si="312"/>
        <v>129686.77953531407</v>
      </c>
      <c r="AA561" s="78">
        <f t="shared" si="313"/>
        <v>110125.68638090986</v>
      </c>
      <c r="AB561" s="78">
        <f t="shared" si="314"/>
        <v>132150.82834648501</v>
      </c>
      <c r="AC561" s="1">
        <f t="shared" si="315"/>
        <v>112218.07442214714</v>
      </c>
      <c r="AD561" s="78">
        <f t="shared" si="316"/>
        <v>134661.69408506821</v>
      </c>
      <c r="AE561" s="1">
        <f t="shared" si="317"/>
        <v>114574.65398501222</v>
      </c>
      <c r="AF561" s="78">
        <f t="shared" si="318"/>
        <v>137489.58966085463</v>
      </c>
      <c r="AG561" s="141">
        <f t="shared" si="294"/>
        <v>116064.12448681737</v>
      </c>
      <c r="AH561" s="140">
        <f t="shared" si="295"/>
        <v>139276.95432644573</v>
      </c>
      <c r="AI561" s="141">
        <f t="shared" si="296"/>
        <v>118385.40697655371</v>
      </c>
      <c r="AJ561" s="140">
        <f t="shared" si="297"/>
        <v>142062.49341297464</v>
      </c>
      <c r="AK561" s="141">
        <f t="shared" si="298"/>
        <v>121818.58377887376</v>
      </c>
      <c r="AL561" s="140">
        <f t="shared" si="299"/>
        <v>146182.30572195089</v>
      </c>
      <c r="AM561" s="141">
        <f t="shared" si="300"/>
        <v>129493.1545569428</v>
      </c>
      <c r="AN561" s="141">
        <f t="shared" si="301"/>
        <v>155391.7909824338</v>
      </c>
    </row>
    <row r="562" spans="1:40">
      <c r="A562" s="14">
        <v>121927</v>
      </c>
      <c r="B562" s="172">
        <v>121927</v>
      </c>
      <c r="C562" s="15" t="s">
        <v>648</v>
      </c>
      <c r="D562" s="9"/>
      <c r="E562" s="10"/>
      <c r="F562" s="11"/>
      <c r="G562" s="12"/>
      <c r="H562" s="11"/>
      <c r="I562" s="11"/>
      <c r="J562" s="11"/>
      <c r="K562" s="11"/>
      <c r="L562" s="12"/>
      <c r="M562" s="13">
        <v>81398.58</v>
      </c>
      <c r="N562" s="13">
        <v>97678.3</v>
      </c>
      <c r="O562" s="78">
        <f t="shared" si="291"/>
        <v>83189.348760000008</v>
      </c>
      <c r="P562" s="78">
        <f t="shared" si="291"/>
        <v>99827.222600000008</v>
      </c>
      <c r="Q562" s="1">
        <f t="shared" si="303"/>
        <v>85185.893130240016</v>
      </c>
      <c r="R562" s="78">
        <f t="shared" si="304"/>
        <v>102223.07594240001</v>
      </c>
      <c r="S562" s="1">
        <f t="shared" si="305"/>
        <v>88337.771176058886</v>
      </c>
      <c r="T562" s="78">
        <f t="shared" si="306"/>
        <v>106005.32975226881</v>
      </c>
      <c r="U562" s="1">
        <f t="shared" si="307"/>
        <v>90811.228768988542</v>
      </c>
      <c r="V562" s="99">
        <f t="shared" si="308"/>
        <v>108973.47898533233</v>
      </c>
      <c r="W562" s="78">
        <f t="shared" si="309"/>
        <v>92173.397200523366</v>
      </c>
      <c r="X562" s="78">
        <f t="shared" si="310"/>
        <v>110608.0811701123</v>
      </c>
      <c r="Y562" s="78">
        <f t="shared" si="311"/>
        <v>93648.171555731737</v>
      </c>
      <c r="Z562" s="78">
        <f t="shared" si="312"/>
        <v>112377.8104688341</v>
      </c>
      <c r="AA562" s="78">
        <f t="shared" si="313"/>
        <v>95427.486815290627</v>
      </c>
      <c r="AB562" s="78">
        <f t="shared" si="314"/>
        <v>114512.98886774194</v>
      </c>
      <c r="AC562" s="1">
        <f t="shared" si="315"/>
        <v>97240.609064781136</v>
      </c>
      <c r="AD562" s="78">
        <f t="shared" si="316"/>
        <v>116688.73565622902</v>
      </c>
      <c r="AE562" s="1">
        <f t="shared" si="317"/>
        <v>99282.66185514153</v>
      </c>
      <c r="AF562" s="78">
        <f t="shared" si="318"/>
        <v>119139.19910500981</v>
      </c>
      <c r="AG562" s="141">
        <f t="shared" si="294"/>
        <v>100573.33645925837</v>
      </c>
      <c r="AH562" s="140">
        <f t="shared" si="295"/>
        <v>120688.00869337493</v>
      </c>
      <c r="AI562" s="141">
        <f t="shared" si="296"/>
        <v>102584.80318844353</v>
      </c>
      <c r="AJ562" s="140">
        <f t="shared" si="297"/>
        <v>123101.76886724243</v>
      </c>
      <c r="AK562" s="141">
        <f t="shared" si="298"/>
        <v>105559.76248090839</v>
      </c>
      <c r="AL562" s="140">
        <f t="shared" si="299"/>
        <v>126671.72016439245</v>
      </c>
      <c r="AM562" s="141">
        <f t="shared" si="300"/>
        <v>112210.02751720561</v>
      </c>
      <c r="AN562" s="141">
        <f t="shared" si="301"/>
        <v>134652.03853474915</v>
      </c>
    </row>
    <row r="563" spans="1:40">
      <c r="A563" s="14">
        <v>121929</v>
      </c>
      <c r="B563" s="172">
        <v>121929</v>
      </c>
      <c r="C563" s="15" t="s">
        <v>649</v>
      </c>
      <c r="D563" s="9"/>
      <c r="E563" s="10"/>
      <c r="F563" s="11"/>
      <c r="G563" s="12"/>
      <c r="H563" s="11"/>
      <c r="I563" s="11"/>
      <c r="J563" s="11"/>
      <c r="K563" s="11"/>
      <c r="L563" s="12"/>
      <c r="M563" s="13">
        <v>37604.32</v>
      </c>
      <c r="N563" s="13">
        <v>45125.18</v>
      </c>
      <c r="O563" s="78">
        <f t="shared" si="291"/>
        <v>38431.615039999997</v>
      </c>
      <c r="P563" s="78">
        <f t="shared" si="291"/>
        <v>46117.933960000002</v>
      </c>
      <c r="Q563" s="1">
        <f t="shared" si="303"/>
        <v>39353.973800959997</v>
      </c>
      <c r="R563" s="78">
        <f t="shared" si="304"/>
        <v>47224.764375040002</v>
      </c>
      <c r="S563" s="1">
        <f t="shared" si="305"/>
        <v>40810.070831595513</v>
      </c>
      <c r="T563" s="78">
        <f t="shared" si="306"/>
        <v>48972.080656916478</v>
      </c>
      <c r="U563" s="1">
        <f t="shared" si="307"/>
        <v>41952.752814880187</v>
      </c>
      <c r="V563" s="99">
        <f t="shared" si="308"/>
        <v>50343.298915310137</v>
      </c>
      <c r="W563" s="78">
        <f t="shared" si="309"/>
        <v>42582.044107103386</v>
      </c>
      <c r="X563" s="78">
        <f t="shared" si="310"/>
        <v>51098.448399039786</v>
      </c>
      <c r="Y563" s="78">
        <f t="shared" si="311"/>
        <v>43263.356812817037</v>
      </c>
      <c r="Z563" s="78">
        <f t="shared" si="312"/>
        <v>51916.02357342442</v>
      </c>
      <c r="AA563" s="78">
        <f t="shared" si="313"/>
        <v>44085.360592260557</v>
      </c>
      <c r="AB563" s="78">
        <f t="shared" si="314"/>
        <v>52902.42802131948</v>
      </c>
      <c r="AC563" s="1">
        <f t="shared" si="315"/>
        <v>44922.982443513501</v>
      </c>
      <c r="AD563" s="78">
        <f t="shared" si="316"/>
        <v>53907.574153724541</v>
      </c>
      <c r="AE563" s="1">
        <f t="shared" si="317"/>
        <v>45866.365074827278</v>
      </c>
      <c r="AF563" s="78">
        <f t="shared" si="318"/>
        <v>55039.63321095275</v>
      </c>
      <c r="AG563" s="141">
        <f t="shared" si="294"/>
        <v>46462.627820800029</v>
      </c>
      <c r="AH563" s="140">
        <f t="shared" si="295"/>
        <v>55755.148442695128</v>
      </c>
      <c r="AI563" s="141">
        <f t="shared" si="296"/>
        <v>47391.880377216032</v>
      </c>
      <c r="AJ563" s="140">
        <f t="shared" si="297"/>
        <v>56870.251411549034</v>
      </c>
      <c r="AK563" s="141">
        <f t="shared" si="298"/>
        <v>48766.244908155291</v>
      </c>
      <c r="AL563" s="140">
        <f t="shared" si="299"/>
        <v>58519.488702483948</v>
      </c>
      <c r="AM563" s="141">
        <f t="shared" si="300"/>
        <v>51838.518337369074</v>
      </c>
      <c r="AN563" s="141">
        <f t="shared" si="301"/>
        <v>62206.216490740437</v>
      </c>
    </row>
    <row r="564" spans="1:40">
      <c r="A564" s="14">
        <v>121930</v>
      </c>
      <c r="B564" s="172">
        <v>121930</v>
      </c>
      <c r="C564" s="15" t="s">
        <v>650</v>
      </c>
      <c r="D564" s="9"/>
      <c r="E564" s="10"/>
      <c r="F564" s="11"/>
      <c r="G564" s="12"/>
      <c r="H564" s="11"/>
      <c r="I564" s="11"/>
      <c r="J564" s="11"/>
      <c r="K564" s="11"/>
      <c r="L564" s="12"/>
      <c r="M564" s="13">
        <v>33217.800000000003</v>
      </c>
      <c r="N564" s="13">
        <v>39861.370000000003</v>
      </c>
      <c r="O564" s="78">
        <f t="shared" si="291"/>
        <v>33948.591600000007</v>
      </c>
      <c r="P564" s="78">
        <f t="shared" si="291"/>
        <v>40738.320140000003</v>
      </c>
      <c r="Q564" s="1">
        <f t="shared" si="303"/>
        <v>34763.357798400008</v>
      </c>
      <c r="R564" s="78">
        <f t="shared" si="304"/>
        <v>41716.039823360006</v>
      </c>
      <c r="S564" s="1">
        <f t="shared" si="305"/>
        <v>36049.602036940807</v>
      </c>
      <c r="T564" s="78">
        <f t="shared" si="306"/>
        <v>43259.533296824324</v>
      </c>
      <c r="U564" s="1">
        <f t="shared" si="307"/>
        <v>37058.990893975148</v>
      </c>
      <c r="V564" s="99">
        <f t="shared" si="308"/>
        <v>44470.800229135406</v>
      </c>
      <c r="W564" s="78">
        <f t="shared" si="309"/>
        <v>37614.875757384769</v>
      </c>
      <c r="X564" s="78">
        <f t="shared" si="310"/>
        <v>45137.862232572435</v>
      </c>
      <c r="Y564" s="78">
        <f t="shared" si="311"/>
        <v>38216.713769502923</v>
      </c>
      <c r="Z564" s="78">
        <f t="shared" si="312"/>
        <v>45860.068028293594</v>
      </c>
      <c r="AA564" s="78">
        <f t="shared" si="313"/>
        <v>38942.831331123474</v>
      </c>
      <c r="AB564" s="78">
        <f t="shared" si="314"/>
        <v>46731.409320831168</v>
      </c>
      <c r="AC564" s="1">
        <f t="shared" si="315"/>
        <v>39682.745126414819</v>
      </c>
      <c r="AD564" s="78">
        <f t="shared" si="316"/>
        <v>47619.306097926958</v>
      </c>
      <c r="AE564" s="1">
        <f t="shared" si="317"/>
        <v>40516.082774069524</v>
      </c>
      <c r="AF564" s="78">
        <f t="shared" si="318"/>
        <v>48619.311525983416</v>
      </c>
      <c r="AG564" s="141">
        <f t="shared" si="294"/>
        <v>41042.791850132424</v>
      </c>
      <c r="AH564" s="140">
        <f t="shared" si="295"/>
        <v>49251.362575821193</v>
      </c>
      <c r="AI564" s="141">
        <f t="shared" si="296"/>
        <v>41863.647687135075</v>
      </c>
      <c r="AJ564" s="140">
        <f t="shared" si="297"/>
        <v>50236.389827337618</v>
      </c>
      <c r="AK564" s="141">
        <f t="shared" si="298"/>
        <v>43077.69347006199</v>
      </c>
      <c r="AL564" s="140">
        <f t="shared" si="299"/>
        <v>51693.245132330405</v>
      </c>
      <c r="AM564" s="141">
        <f t="shared" si="300"/>
        <v>45791.588158675891</v>
      </c>
      <c r="AN564" s="141">
        <f t="shared" si="301"/>
        <v>54949.91957566722</v>
      </c>
    </row>
    <row r="565" spans="1:40">
      <c r="A565" s="14">
        <v>121931</v>
      </c>
      <c r="B565" s="172">
        <v>121931</v>
      </c>
      <c r="C565" s="15" t="s">
        <v>651</v>
      </c>
      <c r="D565" s="9"/>
      <c r="E565" s="10"/>
      <c r="F565" s="11"/>
      <c r="G565" s="12"/>
      <c r="H565" s="11"/>
      <c r="I565" s="11"/>
      <c r="J565" s="11"/>
      <c r="K565" s="11"/>
      <c r="L565" s="12"/>
      <c r="M565" s="13">
        <v>31280.49</v>
      </c>
      <c r="N565" s="13">
        <v>37536.589999999997</v>
      </c>
      <c r="O565" s="78">
        <f t="shared" si="291"/>
        <v>31968.660780000002</v>
      </c>
      <c r="P565" s="78">
        <f t="shared" si="291"/>
        <v>38362.394979999997</v>
      </c>
      <c r="Q565" s="1">
        <f t="shared" si="303"/>
        <v>32735.908638720004</v>
      </c>
      <c r="R565" s="78">
        <f t="shared" si="304"/>
        <v>39283.092459519998</v>
      </c>
      <c r="S565" s="1">
        <f t="shared" si="305"/>
        <v>33947.137258352639</v>
      </c>
      <c r="T565" s="78">
        <f t="shared" si="306"/>
        <v>40736.566880522238</v>
      </c>
      <c r="U565" s="1">
        <f t="shared" si="307"/>
        <v>34897.657101586512</v>
      </c>
      <c r="V565" s="99">
        <f t="shared" si="308"/>
        <v>41877.190753176859</v>
      </c>
      <c r="W565" s="78">
        <f t="shared" si="309"/>
        <v>35421.121958110307</v>
      </c>
      <c r="X565" s="78">
        <f t="shared" si="310"/>
        <v>42505.348614474511</v>
      </c>
      <c r="Y565" s="78">
        <f t="shared" si="311"/>
        <v>35987.859909440071</v>
      </c>
      <c r="Z565" s="78">
        <f t="shared" si="312"/>
        <v>43185.434192306107</v>
      </c>
      <c r="AA565" s="78">
        <f t="shared" si="313"/>
        <v>36671.629247719429</v>
      </c>
      <c r="AB565" s="78">
        <f t="shared" si="314"/>
        <v>44005.957441959923</v>
      </c>
      <c r="AC565" s="1">
        <f t="shared" si="315"/>
        <v>37368.390203426097</v>
      </c>
      <c r="AD565" s="78">
        <f t="shared" si="316"/>
        <v>44842.070633357158</v>
      </c>
      <c r="AE565" s="1">
        <f t="shared" si="317"/>
        <v>38153.126397698041</v>
      </c>
      <c r="AF565" s="78">
        <f t="shared" si="318"/>
        <v>45783.754116657656</v>
      </c>
      <c r="AG565" s="141">
        <f t="shared" si="294"/>
        <v>38649.117040868114</v>
      </c>
      <c r="AH565" s="140">
        <f t="shared" si="295"/>
        <v>46378.942920174202</v>
      </c>
      <c r="AI565" s="141">
        <f t="shared" si="296"/>
        <v>39422.099381685475</v>
      </c>
      <c r="AJ565" s="140">
        <f t="shared" si="297"/>
        <v>47306.521778577684</v>
      </c>
      <c r="AK565" s="141">
        <f t="shared" si="298"/>
        <v>40565.340263754348</v>
      </c>
      <c r="AL565" s="140">
        <f t="shared" si="299"/>
        <v>48678.410910156432</v>
      </c>
      <c r="AM565" s="141">
        <f t="shared" si="300"/>
        <v>43120.956700370873</v>
      </c>
      <c r="AN565" s="141">
        <f t="shared" si="301"/>
        <v>51745.150797496288</v>
      </c>
    </row>
  </sheetData>
  <autoFilter ref="B1:B565" xr:uid="{73E6F22B-6490-4302-86CA-6643917EBCBA}">
    <filterColumn colId="0">
      <filters blank="1"/>
    </filterColumn>
  </autoFilter>
  <mergeCells count="44">
    <mergeCell ref="B133:AN133"/>
    <mergeCell ref="B121:AN121"/>
    <mergeCell ref="B115:AN115"/>
    <mergeCell ref="B112:AN112"/>
    <mergeCell ref="B105:AN105"/>
    <mergeCell ref="B419:AN419"/>
    <mergeCell ref="B415:AN415"/>
    <mergeCell ref="B225:AN225"/>
    <mergeCell ref="B207:AN207"/>
    <mergeCell ref="B177:AN177"/>
    <mergeCell ref="B440:AN440"/>
    <mergeCell ref="B443:AN443"/>
    <mergeCell ref="B448:AN448"/>
    <mergeCell ref="B433:AN433"/>
    <mergeCell ref="B428:AN428"/>
    <mergeCell ref="B7:AN7"/>
    <mergeCell ref="B541:AN541"/>
    <mergeCell ref="B537:AN537"/>
    <mergeCell ref="B531:AN531"/>
    <mergeCell ref="B523:AN523"/>
    <mergeCell ref="B517:AN517"/>
    <mergeCell ref="B510:AN510"/>
    <mergeCell ref="B490:AN490"/>
    <mergeCell ref="B479:AN479"/>
    <mergeCell ref="B477:AN477"/>
    <mergeCell ref="B466:AN466"/>
    <mergeCell ref="B470:AN470"/>
    <mergeCell ref="B464:AN464"/>
    <mergeCell ref="B454:AN454"/>
    <mergeCell ref="B455:AN455"/>
    <mergeCell ref="B458:AN458"/>
    <mergeCell ref="B97:AN97"/>
    <mergeCell ref="B85:AN85"/>
    <mergeCell ref="B83:AN83"/>
    <mergeCell ref="B70:AN70"/>
    <mergeCell ref="B59:AN59"/>
    <mergeCell ref="B33:AN33"/>
    <mergeCell ref="B19:AN19"/>
    <mergeCell ref="B18:AN18"/>
    <mergeCell ref="B52:AN52"/>
    <mergeCell ref="B48:AN48"/>
    <mergeCell ref="B44:AN44"/>
    <mergeCell ref="B45:AN45"/>
    <mergeCell ref="B35:AN35"/>
  </mergeCells>
  <pageMargins left="0.25" right="0.25" top="0.75" bottom="0.75" header="0.3" footer="0.3"/>
  <pageSetup paperSize="9"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2b4ffa8-8282-4b15-8ec0-68052d376a9c">
      <Terms xmlns="http://schemas.microsoft.com/office/infopath/2007/PartnerControls"/>
    </lcf76f155ced4ddcb4097134ff3c332f>
    <TaxCatchAll xmlns="da2c8c85-7722-4b1f-bb19-6e65de5f0ce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0B751F510BF7644A51CB6ECD2E6356E" ma:contentTypeVersion="15" ma:contentTypeDescription="Crear nuevo documento." ma:contentTypeScope="" ma:versionID="b1fdb3678b9c7e654933a6f2773b6b18">
  <xsd:schema xmlns:xsd="http://www.w3.org/2001/XMLSchema" xmlns:xs="http://www.w3.org/2001/XMLSchema" xmlns:p="http://schemas.microsoft.com/office/2006/metadata/properties" xmlns:ns2="e2b4ffa8-8282-4b15-8ec0-68052d376a9c" xmlns:ns3="da2c8c85-7722-4b1f-bb19-6e65de5f0ce8" targetNamespace="http://schemas.microsoft.com/office/2006/metadata/properties" ma:root="true" ma:fieldsID="ff43d7661679526d26e90a1db8dc9d22" ns2:_="" ns3:_="">
    <xsd:import namespace="e2b4ffa8-8282-4b15-8ec0-68052d376a9c"/>
    <xsd:import namespace="da2c8c85-7722-4b1f-bb19-6e65de5f0ce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b4ffa8-8282-4b15-8ec0-68052d376a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4af2cb81-df6c-43ce-b17a-8fdc97a250b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2c8c85-7722-4b1f-bb19-6e65de5f0ce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0349eb5-0a03-4c1f-b3a9-3388030a35d4}" ma:internalName="TaxCatchAll" ma:showField="CatchAllData" ma:web="da2c8c85-7722-4b1f-bb19-6e65de5f0ce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36FF0D-346D-43FE-95A6-FF95DA94FE97}"/>
</file>

<file path=customXml/itemProps2.xml><?xml version="1.0" encoding="utf-8"?>
<ds:datastoreItem xmlns:ds="http://schemas.openxmlformats.org/officeDocument/2006/customXml" ds:itemID="{CECD6782-F1C6-48AC-BA4B-B80E0485B018}"/>
</file>

<file path=customXml/itemProps3.xml><?xml version="1.0" encoding="utf-8"?>
<ds:datastoreItem xmlns:ds="http://schemas.openxmlformats.org/officeDocument/2006/customXml" ds:itemID="{BDF63B55-45FD-4542-A044-4B31652D45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Lucía Olivieri</dc:creator>
  <cp:keywords/>
  <dc:description/>
  <cp:lastModifiedBy/>
  <cp:revision/>
  <dcterms:created xsi:type="dcterms:W3CDTF">2024-07-29T13:44:14Z</dcterms:created>
  <dcterms:modified xsi:type="dcterms:W3CDTF">2026-04-28T16:29:34Z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0x010100C0B751F510BF7644A51CB6ECD2E6356E</vt:lpwstr>
  </property>
  <property fmtid="{D5CDD505-2E9C-101B-9397-08002B2CF9AE}" pid="3" name="MediaServiceImageTags">
    <vt:lpwstr/>
  </property>
</Properties>
</file>